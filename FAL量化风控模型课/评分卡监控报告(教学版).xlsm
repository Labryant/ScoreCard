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jackieliang/Documents/BiAnTi/线下培训/量化风控全线条训练营系列/风控训练营复习资料包/风控模型/"/>
    </mc:Choice>
  </mc:AlternateContent>
  <xr:revisionPtr revIDLastSave="0" documentId="13_ncr:1_{A05C7638-9928-EB44-B854-281CCCCB883F}" xr6:coauthVersionLast="36" xr6:coauthVersionMax="36" xr10:uidLastSave="{00000000-0000-0000-0000-000000000000}"/>
  <bookViews>
    <workbookView xWindow="0" yWindow="0" windowWidth="28800" windowHeight="18000" tabRatio="728" activeTab="1" xr2:uid="{00000000-000D-0000-FFFF-FFFF00000000}"/>
  </bookViews>
  <sheets>
    <sheet name="code" sheetId="20" state="hidden" r:id="rId1"/>
    <sheet name="SVC" sheetId="33" r:id="rId2"/>
    <sheet name="SVC_lift" sheetId="34" r:id="rId3"/>
    <sheet name="SVC_pivot" sheetId="35" state="hidden" r:id="rId4"/>
  </sheets>
  <calcPr calcId="181029"/>
  <pivotCaches>
    <pivotCache cacheId="17" r:id="rId5"/>
    <pivotCache cacheId="18" r:id="rId6"/>
  </pivotCaches>
</workbook>
</file>

<file path=xl/calcChain.xml><?xml version="1.0" encoding="utf-8"?>
<calcChain xmlns="http://schemas.openxmlformats.org/spreadsheetml/2006/main">
  <c r="B27" i="34" l="1"/>
  <c r="X36" i="34" l="1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X35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X33" i="34"/>
  <c r="W33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X32" i="34"/>
  <c r="W32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X31" i="34"/>
  <c r="W31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X30" i="34"/>
  <c r="W30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X29" i="34"/>
  <c r="W29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X28" i="34"/>
  <c r="W28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X25" i="34"/>
  <c r="W25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X24" i="34"/>
  <c r="W24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J17" i="34"/>
  <c r="I17" i="34"/>
  <c r="J16" i="34"/>
  <c r="I16" i="34"/>
  <c r="J15" i="34"/>
  <c r="I15" i="34"/>
  <c r="J14" i="34"/>
  <c r="I14" i="34"/>
  <c r="J13" i="34"/>
  <c r="I13" i="34"/>
  <c r="J12" i="34"/>
  <c r="I12" i="34"/>
  <c r="J11" i="34"/>
  <c r="I11" i="34"/>
  <c r="J10" i="34"/>
  <c r="I10" i="34"/>
  <c r="J9" i="34"/>
  <c r="I9" i="34"/>
  <c r="J8" i="34"/>
  <c r="I8" i="34"/>
  <c r="J7" i="34"/>
  <c r="I7" i="34"/>
  <c r="J6" i="34"/>
  <c r="I6" i="34"/>
  <c r="J5" i="34"/>
  <c r="I5" i="34"/>
  <c r="J4" i="34"/>
  <c r="I4" i="34"/>
  <c r="B26" i="34" l="1"/>
  <c r="C26" i="34"/>
  <c r="M26" i="34"/>
  <c r="G26" i="34"/>
  <c r="K26" i="34"/>
  <c r="O26" i="34"/>
  <c r="S26" i="34"/>
  <c r="W26" i="34"/>
  <c r="D26" i="34"/>
  <c r="H26" i="34"/>
  <c r="L26" i="34"/>
  <c r="P26" i="34"/>
  <c r="T26" i="34"/>
  <c r="X26" i="34"/>
  <c r="E26" i="34"/>
  <c r="I26" i="34"/>
  <c r="Q26" i="34"/>
  <c r="U26" i="34"/>
  <c r="F26" i="34"/>
  <c r="J26" i="34"/>
  <c r="N26" i="34"/>
  <c r="R26" i="34"/>
  <c r="V26" i="34"/>
</calcChain>
</file>

<file path=xl/sharedStrings.xml><?xml version="1.0" encoding="utf-8"?>
<sst xmlns="http://schemas.openxmlformats.org/spreadsheetml/2006/main" count="207" uniqueCount="65">
  <si>
    <t>行标签</t>
  </si>
  <si>
    <t>列标签</t>
  </si>
  <si>
    <t xml:space="preserve"> CNT</t>
  </si>
  <si>
    <t xml:space="preserve"> 通过率</t>
  </si>
  <si>
    <t xml:space="preserve"> AGR</t>
  </si>
  <si>
    <t>IS_AGR</t>
  </si>
  <si>
    <t>APP&amp;APPR_RATE</t>
    <phoneticPr fontId="1" type="noConversion"/>
  </si>
  <si>
    <t>总计</t>
  </si>
  <si>
    <t xml:space="preserve"> KS</t>
  </si>
  <si>
    <t xml:space="preserve"> LIFT</t>
  </si>
  <si>
    <t xml:space="preserve"> BAD_RATE</t>
  </si>
  <si>
    <t>measurable</t>
  </si>
  <si>
    <t>Target</t>
    <phoneticPr fontId="1" type="noConversion"/>
  </si>
  <si>
    <t>psi</t>
    <phoneticPr fontId="1" type="noConversion"/>
  </si>
  <si>
    <t>avg_score</t>
    <phoneticPr fontId="1" type="noConversion"/>
  </si>
  <si>
    <t>psi&amp;avg_score</t>
    <phoneticPr fontId="1" type="noConversion"/>
  </si>
  <si>
    <t>A7变量分组</t>
    <phoneticPr fontId="1" type="noConversion"/>
  </si>
  <si>
    <t xml:space="preserve"> select  * from   xn_scoring_gini_records   a  where scoring_date=date'2016-11-22'  and   a.data_week&gt;trunc(sysdate,'iw')-7*24</t>
    <phoneticPr fontId="1" type="noConversion"/>
  </si>
  <si>
    <t>select *  from   xn_scoring_gini_records   a  where scoring_date=date'2017-01-11'  and    a.data_week&gt;trunc(sysdate,'iw')-7*24</t>
    <phoneticPr fontId="1" type="noConversion"/>
  </si>
  <si>
    <t>a7模型效果</t>
    <phoneticPr fontId="1" type="noConversion"/>
  </si>
  <si>
    <t>A1模型效果</t>
    <phoneticPr fontId="1" type="noConversion"/>
  </si>
  <si>
    <t xml:space="preserve">select  a.app_week,/*变量分组*/
a.maturitydate_y,a.m_cur_work,a.qqno_group,a.app_hour,a.goods_amt,a.marrige_education,a.pay_a,a.rate_total,a.sex
,case when  a1_score&gt;=0.1759      then 1
when a1_score&gt;=0.151        then 2
when a1_score&gt;=0.11965     then 3
when a1_score&gt;=0.10255     then 4
when a1_score&gt;=0.08231       then 5
when a1_score&gt;=0.0666       then 6
when a1_score&gt;=0.05606        then 7
when a1_score&gt;=0.04309     then 8
when a1_score&gt;=0.03063       then 9
else  10   end  as   score_group1
,sum(case  when  lg.status  in ('a','k','n','d','r')  then 1   else 0  end )  as  appr
,count(1)  as  cnt
,sum(b.fpd30)  as   fpd30
,sum(case  when   a.app_week&lt;=trunc(sysdate,'iw') -7*10  then b.measurable_1_30  else  null  end  )  as  agr
,case  when a.app_week&lt;=trunc(sysdate,'iw') -7*10   then 1  else 0  end   as is_agr
,sum(a.a1_score)  as  score
from  score_a1_lg  a
left join xn_contract_lg  lg on  lg.serialno=a.serialno
left  join zd_due_sum  b  on  a.serialno=b.putoutno
where  a.app_week&gt;trunc(sysdate,'iw')-7*24  and   a.app_week&lt;trunc(sysdate,'iw')
group by   a.app_week,
a.maturitydate_y,a.m_cur_work,a.qqno_group,a.app_hour,a.goods_amt,a.marrige_education,a.pay_a,a.rate_total,a.sex
,case when  a1_score&gt;=0.1759      then 1
when a1_score&gt;=0.151        then 2
when a1_score&gt;=0.11965     then 3
when a1_score&gt;=0.10255     then 4
when a1_score&gt;=0.08231       then 5
when a1_score&gt;=0.0666       then 6
when a1_score&gt;=0.05606        then 7
when a1_score&gt;=0.04309     then 8
when a1_score&gt;=0.03063       then 9
else  10   end  
,case  when a.app_week&lt;=trunc(sysdate,'iw') -7*10   then 1  else 0  end 
</t>
    <phoneticPr fontId="1" type="noConversion"/>
  </si>
  <si>
    <t>KS&amp;LIFT——a8</t>
    <phoneticPr fontId="1" type="noConversion"/>
  </si>
  <si>
    <t>A8评分卡KS/Lift</t>
    <phoneticPr fontId="1" type="noConversion"/>
  </si>
  <si>
    <t>A8Target</t>
    <phoneticPr fontId="1" type="noConversion"/>
  </si>
  <si>
    <t>用来算PSI</t>
    <phoneticPr fontId="1" type="noConversion"/>
  </si>
  <si>
    <t>用来算avg score</t>
    <phoneticPr fontId="1" type="noConversion"/>
  </si>
  <si>
    <t>Sheet1!$S:$AA</t>
    <phoneticPr fontId="1" type="noConversion"/>
  </si>
  <si>
    <t>Sheet1!$A:$O</t>
    <phoneticPr fontId="1" type="noConversion"/>
  </si>
  <si>
    <t>KS Lift Badrate</t>
    <phoneticPr fontId="1" type="noConversion"/>
  </si>
  <si>
    <t>WITH cntr_with_score AS (
  SELECT objectno FROM bi.call_rule_info r
  WHERE r.key='OutDefaultRate' AND r.value IS NOT NULL
  UNION ALL
  SELECT objectno FROM bi.call_rule_info_20161031 r1
  WHERE r1.key='OutDefaultRate' AND r1.value IS NOT NULL
  AND r1.objectno NOT IN (SELECT objectno FROM mike_dupli_cntr_bt_calls)
)
select  a.app_week,/*变量分组*/
a.sex,a.marrge_eduacttion,a.goods_amt
,a.extra_dp,a.app_hour,a.qh_score,a.max_al,a.maturitydate_y,a.acm_m1_m12_debit_balance
,case when score&lt;0.021452602 then 1
when score&gt;=0.021452602              and score&lt;0.0305404422 then 2
when score&gt;=0.0305404422             and score&lt;0.0417610145 then 3
when score&gt;=0.0417610145             and score&lt;0.0531463211 then 4
when score&gt;=0.0531463211             and score&lt;0.0662766542 then 5
when score&gt;=0.0662766542             and score&lt;0.0863115086 then 6
when score&gt;=0.0863115086             and score&lt;0.108207451 then 7
when score&gt;=0.108207451              and score&lt;0.1451631891 then 8
when score&gt;=0.1451631891             and score&lt;0.1985343961 then 9
when score&gt;=0.1985343961             then 10 end  as  score_group
,sum(a.approvode)  as  appr
,count(1)  as  cnt
,sum(b.fpd30)  as   fpd30
,sum(case  when   a.app_week&lt;=trunc(sysdate,'iw') -7*10  then b.measurable_1_30  else  null  end  )  as  agr
,case  when a.app_week&lt;=trunc(sysdate,'iw') -7*10   then 1  else 0  end   as is_agr
,sum(a.score)  as  score
from  score_a7_lg  a
join cntr_with_score  d  on  a.serialno=d.objectno
left  join zd_due_sum  b  on  a.serialno=b.putoutno
where  a.app_week&gt;trunc(sysdate,'iw')-7*24  and   a.app_week&lt;trunc(sysdate,'iw')
group by   a.app_week,a.sex,a.marrge_eduacttion,a.goods_amt
,a.extra_dp,a.app_hour,a.qh_score,a.max_al,a.maturitydate_y,a.acm_m1_m12_debit_balance
,case when score&lt;0.021452602 then 1
when score&gt;=0.021452602              and score&lt;0.0305404422 then 2
when score&gt;=0.0305404422             and score&lt;0.0417610145 then 3
when score&gt;=0.0417610145             and score&lt;0.0531463211 then 4
when score&gt;=0.0531463211             and score&lt;0.0662766542 then 5
when score&gt;=0.0662766542             and score&lt;0.0863115086 then 6
when score&gt;=0.0863115086             and score&lt;0.108207451 then 7
when score&gt;=0.108207451              and score&lt;0.1451631891 then 8
when score&gt;=0.1451631891             and score&lt;0.1985343961 then 9
when score&gt;=0.1985343961             then 10 end
,case  when a.app_week&lt;=trunc(sysdate,'iw') -7*10   then 1  else 0  end</t>
  </si>
  <si>
    <t>A1变量分组</t>
    <phoneticPr fontId="1" type="noConversion"/>
  </si>
  <si>
    <t>服务贷变量分组</t>
    <phoneticPr fontId="1" type="noConversion"/>
  </si>
  <si>
    <t>服务贷模型效果</t>
    <phoneticPr fontId="1" type="noConversion"/>
  </si>
  <si>
    <t xml:space="preserve"> select  * from   xn_scoring_gini_records   a  where scoring_date=date'2017-3-3'  and   a.data_week&gt;trunc(sysdate,'iw')-7*28</t>
    <phoneticPr fontId="1" type="noConversion"/>
  </si>
  <si>
    <t>求和项:avg score</t>
  </si>
  <si>
    <t>年龄[20,27)</t>
  </si>
  <si>
    <t>时点low-10,18-High</t>
  </si>
  <si>
    <t>学历硕大中专</t>
  </si>
  <si>
    <t>百融分v2_580-640</t>
  </si>
  <si>
    <t>男</t>
  </si>
  <si>
    <t>百融消费次数&gt;=1</t>
  </si>
  <si>
    <t>百同最大多头数=2</t>
  </si>
  <si>
    <t>时点[10,18)</t>
  </si>
  <si>
    <t>学历其他</t>
  </si>
  <si>
    <t>女</t>
  </si>
  <si>
    <t>百融消费次数=0/missing</t>
  </si>
  <si>
    <t>百同最大多头数&gt;=3</t>
  </si>
  <si>
    <t>学历本科</t>
  </si>
  <si>
    <t>百融分v2&lt;580</t>
  </si>
  <si>
    <t>百同最大多头数low-2</t>
  </si>
  <si>
    <t>百融分v2_missing</t>
  </si>
  <si>
    <t>百融分v2&gt;=640</t>
  </si>
  <si>
    <t>年龄low-20,27-High</t>
  </si>
  <si>
    <t>FSTPD10(%)</t>
  </si>
  <si>
    <t>百融余额/收入[0,0.12)/missing</t>
  </si>
  <si>
    <t>百融余额/收入&gt;=0.12</t>
  </si>
  <si>
    <t>A9模型效果</t>
    <phoneticPr fontId="1" type="noConversion"/>
  </si>
  <si>
    <t>A9变量分组</t>
    <phoneticPr fontId="1" type="noConversion"/>
  </si>
  <si>
    <t>svc psi&amp;avg_score 从上到下1-10,1为最好,对建模数据（彩翔提供，含每单打分）中实际到达A8的单10等分得到阈值，再算比例</t>
    <phoneticPr fontId="1" type="noConversion"/>
  </si>
  <si>
    <t>WITH cntr_with_score AS (
  SELECT objectno FROM bi.call_rule_info r
  WHERE r.key='OutDefaultRate' AND r.value IS NOT NULL
  UNION ALL
  SELECT objectno FROM bi.call_rule_info_20161031 r1
  WHERE r1.key='OutDefaultRate' AND r1.value IS NOT NULL
  AND r1.objectno NOT IN (SELECT objectno FROM mike_dupli_cntr_bt_calls)
)
select  a.app_week
,a.GRP_AGE
,a.GRP_APP_HOUR_2
,a.GRP_EDUEXPERIENCE
,a.GRP_SCORE_SCORECONSOFFV2
,a.GRP_SEX
,a.GRP_CONS_TOT_M3_NUM
,a.GRP_ACM_M1M12_DEBIT_BAL2IN
,a.GRP_MAX_TYPE_AL
,case
when a.svc_defrate&lt;0.014486749 then 1
when a.svc_defrate&lt;0.021484564 then 2
when a.svc_defrate&lt;0.030364761 then 3
when a.svc_defrate&lt;0.042045949 then 4
when a.svc_defrate&lt;0.044349003 then 5
when a.svc_defrate&lt;0.058625354 then 6
when a.svc_defrate&lt;0.064783961 then 7
when a.svc_defrate&lt;0.084456755 then 8
when a.svc_defrate&lt;0.12518788 then 9
else 10 END  as  score_group
,sum(a.approvode)  as  appr
,count(1)  as  cnt
,sum(nvl(b.fpd10,0)+nvl(b.spd10,0)+nvl(b.tpd10,0))  as   fstpd10
,sum(case  when   a.app_week&lt;=trunc(sysdate,'iw') -7*16  then b.measurable_3_10  else  null  end  )  as  agr
,case  when a.app_week&lt;=trunc(sysdate,'iw') -7*16   then 1  else 0  end   as is_agr
,sum(a.svc_defrate)  as  score
from  risk_uw.mike_svc_score  a
join cntr_with_score  d  on  a.serialno=d.objectno
left  join zd_due_sum  b  on  a.serialno=b.putoutno
where  a.app_week&gt;trunc(sysdate,'iw')-7*24  and   a.app_week&lt;trunc(sysdate,'iw')
group by  a.APP_WEEK
,a.GRP_AGE
,a.GRP_APP_HOUR_2
,a.GRP_EDUEXPERIENCE
,a.GRP_SCORE_SCORECONSOFFV2
,a.GRP_SEX
,a.GRP_CONS_TOT_M3_NUM
,a.GRP_ACM_M1M12_DEBIT_BAL2IN
,a.GRP_MAX_TYPE_AL
,case
when a.svc_defrate&lt;0.014486749 then 1
when a.svc_defrate&lt;0.021484564 then 2
when a.svc_defrate&lt;0.030364761 then 3
when a.svc_defrate&lt;0.042045949 then 4
when a.svc_defrate&lt;0.044349003 then 5
when a.svc_defrate&lt;0.058625354 then 6
when a.svc_defrate&lt;0.064783961 then 7
when a.svc_defrate&lt;0.084456755 then 8
when a.svc_defrate&lt;0.12518788 then 9
else 10 END
,case  when a.app_week&lt;=trunc(sysdate,'iw') -7*16   then 1  else 0  END</t>
    <phoneticPr fontId="1" type="noConversion"/>
  </si>
  <si>
    <t xml:space="preserve"> select  * from   xn_scoring_gini_records   a  where scoring_date=date'2016-10-28'  and   a.data_week&gt;trunc(sysdate,'iw')-7*24</t>
    <phoneticPr fontId="1" type="noConversion"/>
  </si>
  <si>
    <t>FSTPD10%</t>
    <phoneticPr fontId="1" type="noConversion"/>
  </si>
  <si>
    <t>select  
 a.app_week
,a.GRP_WORKTELTYPE_CNTID
,a.GRP_APPHOUR
,a.GRP_GOODS_PRICE1
,a.GRP_EXTR_DP1
,a.GRP_TEL_SUCCESS_RATE
,a.GRP_EXTRA_FILES
,a.GRP_ID_DEADLINE
,a.GRP_QQNO_1
,a.GRP_GENDER
,a.GRP_MARRIAGE
,a.GRP_AL_M3_NOTBANK_ORGNUM
,a.GRP_BR_LAG_SCORE
,case
when a.a9_defrate&lt;0.0302985727796983 then 1
when a.a9_defrate&lt;0.0461355485426766 then 2
when a.a9_defrate&lt;0.0620767217315609 then 3
when a.a9_defrate&lt;0.0797876941629173 then 4
when a.a9_defrate&lt;0.099652294453013 then 5
when a.a9_defrate&lt;0.12273300475081 then 6
when a.a9_defrate&lt;0.149968724889559 then 7
when a.a9_defrate&lt;0.187845025263712 then 8
when a.a9_defrate&lt;0.245319889507766 then 9
else 10 end  as  score_group
,sum(a.approvode)  as  appr
,count(1)  as  cnt
,sum(nvl(b.fpd30,0))  as   fpd30
,sum(case  WHEN  a.app_week&lt;=trunc(sysdate,'iw') -7*10  then b.measurable_1_30  else  null  end  )  as  agr
,case  when a.app_week&lt;=trunc(sysdate,'iw') -7*10   then 1  else 0  end   as is_agr
,sum(a.a9_defrate)  as  score
from  risk_uw.mike_a9_score  a
left  join zd_due_sum  b  on  a.serialno=b.putoutno
where  a.app_week&gt;trunc(sysdate,'iw')-7*24  and   a.app_week&lt;trunc(sysdate,'iw') and a.a9_defrate is not null
group by  a.app_week
,a.GRP_WORKTELTYPE_CNTID
,a.GRP_APPHOUR
,a.GRP_GOODS_PRICE1
,a.GRP_EXTR_DP1
,a.GRP_TEL_SUCCESS_RATE
,a.GRP_EXTRA_FILES
,a.GRP_ID_DEADLINE
,a.GRP_QQNO_1
,a.GRP_GENDER
,a.GRP_MARRIAGE
,a.GRP_AL_M3_NOTBANK_ORGNUM
,a.GRP_BR_LAG_SCORE
,case
when a.a9_defrate&lt;0.0302985727796983 then 1
when a.a9_defrate&lt;0.0461355485426766 then 2
when a.a9_defrate&lt;0.0620767217315609 then 3
when a.a9_defrate&lt;0.0797876941629173 then 4
when a.a9_defrate&lt;0.099652294453013 then 5
when a.a9_defrate&lt;0.12273300475081 then 6
when a.a9_defrate&lt;0.149968724889559 then 7
when a.a9_defrate&lt;0.187845025263712 then 8
when a.a9_defrate&lt;0.245319889507766 then 9
else 10 end
,case  when a.app_week&lt;=trunc(sysdate,'iw') -7*10   then 1  else 0  END</t>
    <phoneticPr fontId="1" type="noConversion"/>
  </si>
  <si>
    <t>评分卡监控报告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</si>
</sst>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.000_);[Red]\(0.000\)"/>
    <numFmt numFmtId="178" formatCode="0.0%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0" fontId="2" fillId="0" borderId="0" xfId="0" applyFont="1" applyFill="1">
      <alignment vertical="center"/>
    </xf>
    <xf numFmtId="14" fontId="0" fillId="0" borderId="0" xfId="1" applyNumberFormat="1" applyFont="1">
      <alignment vertical="center"/>
    </xf>
    <xf numFmtId="0" fontId="0" fillId="5" borderId="0" xfId="0" applyFill="1">
      <alignment vertical="center"/>
    </xf>
    <xf numFmtId="178" fontId="0" fillId="6" borderId="0" xfId="1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4" fillId="4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3399FF"/>
      <color rgb="FFC1E2BE"/>
      <color rgb="FFB2C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BR</a:t>
            </a:r>
            <a:r>
              <a:rPr lang="en-US" altLang="zh-CN" baseline="0"/>
              <a:t> score2.0</a:t>
            </a:r>
            <a:endParaRPr lang="zh-CN" altLang="en-US"/>
          </a:p>
        </c:rich>
      </c:tx>
      <c:layout>
        <c:manualLayout>
          <c:xMode val="edge"/>
          <c:yMode val="edge"/>
          <c:x val="0.400460241559338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6144860439550618E-2"/>
          <c:y val="0.24543214626691251"/>
          <c:w val="0.86424830409252196"/>
          <c:h val="0.5406840996509658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SVC_pivot!$B$3:$B$5</c:f>
              <c:strCache>
                <c:ptCount val="1"/>
                <c:pt idx="0">
                  <c:v> CNT - 百融分v2_580-640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SVC_pivot!$B$6:$B$28</c:f>
              <c:numCache>
                <c:formatCode>General</c:formatCode>
                <c:ptCount val="23"/>
                <c:pt idx="0">
                  <c:v>272</c:v>
                </c:pt>
                <c:pt idx="1">
                  <c:v>322</c:v>
                </c:pt>
                <c:pt idx="2">
                  <c:v>307</c:v>
                </c:pt>
                <c:pt idx="3">
                  <c:v>366</c:v>
                </c:pt>
                <c:pt idx="4">
                  <c:v>351</c:v>
                </c:pt>
                <c:pt idx="5">
                  <c:v>291</c:v>
                </c:pt>
                <c:pt idx="6">
                  <c:v>231</c:v>
                </c:pt>
                <c:pt idx="7">
                  <c:v>196</c:v>
                </c:pt>
                <c:pt idx="8">
                  <c:v>38</c:v>
                </c:pt>
                <c:pt idx="9">
                  <c:v>66</c:v>
                </c:pt>
                <c:pt idx="10">
                  <c:v>139</c:v>
                </c:pt>
                <c:pt idx="11">
                  <c:v>258</c:v>
                </c:pt>
                <c:pt idx="12">
                  <c:v>283</c:v>
                </c:pt>
                <c:pt idx="13">
                  <c:v>293</c:v>
                </c:pt>
                <c:pt idx="14">
                  <c:v>336</c:v>
                </c:pt>
                <c:pt idx="15">
                  <c:v>269</c:v>
                </c:pt>
                <c:pt idx="16">
                  <c:v>269</c:v>
                </c:pt>
                <c:pt idx="17">
                  <c:v>243</c:v>
                </c:pt>
                <c:pt idx="18">
                  <c:v>247</c:v>
                </c:pt>
                <c:pt idx="19">
                  <c:v>313</c:v>
                </c:pt>
                <c:pt idx="20">
                  <c:v>249</c:v>
                </c:pt>
                <c:pt idx="21">
                  <c:v>295</c:v>
                </c:pt>
                <c:pt idx="22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3-0146-BAC9-EEAAAE59B18E}"/>
            </c:ext>
          </c:extLst>
        </c:ser>
        <c:ser>
          <c:idx val="1"/>
          <c:order val="1"/>
          <c:tx>
            <c:strRef>
              <c:f>SVC_pivot!$C$3:$C$5</c:f>
              <c:strCache>
                <c:ptCount val="1"/>
                <c:pt idx="0">
                  <c:v> CNT - 百融分v2_missing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SVC_pivot!$C$6:$C$28</c:f>
              <c:numCache>
                <c:formatCode>General</c:formatCode>
                <c:ptCount val="23"/>
                <c:pt idx="0">
                  <c:v>809</c:v>
                </c:pt>
                <c:pt idx="1">
                  <c:v>833</c:v>
                </c:pt>
                <c:pt idx="2">
                  <c:v>849</c:v>
                </c:pt>
                <c:pt idx="3">
                  <c:v>867</c:v>
                </c:pt>
                <c:pt idx="4">
                  <c:v>981</c:v>
                </c:pt>
                <c:pt idx="5">
                  <c:v>736</c:v>
                </c:pt>
                <c:pt idx="6">
                  <c:v>696</c:v>
                </c:pt>
                <c:pt idx="7">
                  <c:v>526</c:v>
                </c:pt>
                <c:pt idx="8">
                  <c:v>98</c:v>
                </c:pt>
                <c:pt idx="9">
                  <c:v>184</c:v>
                </c:pt>
                <c:pt idx="10">
                  <c:v>675</c:v>
                </c:pt>
                <c:pt idx="11">
                  <c:v>738</c:v>
                </c:pt>
                <c:pt idx="12">
                  <c:v>761</c:v>
                </c:pt>
                <c:pt idx="13">
                  <c:v>843</c:v>
                </c:pt>
                <c:pt idx="14">
                  <c:v>807</c:v>
                </c:pt>
                <c:pt idx="15">
                  <c:v>751</c:v>
                </c:pt>
                <c:pt idx="16">
                  <c:v>740</c:v>
                </c:pt>
                <c:pt idx="17">
                  <c:v>692</c:v>
                </c:pt>
                <c:pt idx="18">
                  <c:v>667</c:v>
                </c:pt>
                <c:pt idx="19">
                  <c:v>734</c:v>
                </c:pt>
                <c:pt idx="20">
                  <c:v>842</c:v>
                </c:pt>
                <c:pt idx="21">
                  <c:v>789</c:v>
                </c:pt>
                <c:pt idx="22">
                  <c:v>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3-0146-BAC9-EEAAAE59B18E}"/>
            </c:ext>
          </c:extLst>
        </c:ser>
        <c:ser>
          <c:idx val="2"/>
          <c:order val="2"/>
          <c:tx>
            <c:strRef>
              <c:f>SVC_pivot!$D$3:$D$5</c:f>
              <c:strCache>
                <c:ptCount val="1"/>
                <c:pt idx="0">
                  <c:v> CNT - 百融分v2&lt;580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SVC_pivot!$D$6:$D$28</c:f>
              <c:numCache>
                <c:formatCode>General</c:formatCode>
                <c:ptCount val="23"/>
                <c:pt idx="0">
                  <c:v>62</c:v>
                </c:pt>
                <c:pt idx="1">
                  <c:v>106</c:v>
                </c:pt>
                <c:pt idx="2">
                  <c:v>99</c:v>
                </c:pt>
                <c:pt idx="3">
                  <c:v>90</c:v>
                </c:pt>
                <c:pt idx="4">
                  <c:v>116</c:v>
                </c:pt>
                <c:pt idx="5">
                  <c:v>79</c:v>
                </c:pt>
                <c:pt idx="6">
                  <c:v>70</c:v>
                </c:pt>
                <c:pt idx="7">
                  <c:v>65</c:v>
                </c:pt>
                <c:pt idx="8">
                  <c:v>8</c:v>
                </c:pt>
                <c:pt idx="9">
                  <c:v>17</c:v>
                </c:pt>
                <c:pt idx="10">
                  <c:v>41</c:v>
                </c:pt>
                <c:pt idx="11">
                  <c:v>89</c:v>
                </c:pt>
                <c:pt idx="12">
                  <c:v>78</c:v>
                </c:pt>
                <c:pt idx="13">
                  <c:v>94</c:v>
                </c:pt>
                <c:pt idx="14">
                  <c:v>74</c:v>
                </c:pt>
                <c:pt idx="15">
                  <c:v>89</c:v>
                </c:pt>
                <c:pt idx="16">
                  <c:v>70</c:v>
                </c:pt>
                <c:pt idx="17">
                  <c:v>103</c:v>
                </c:pt>
                <c:pt idx="18">
                  <c:v>73</c:v>
                </c:pt>
                <c:pt idx="19">
                  <c:v>70</c:v>
                </c:pt>
                <c:pt idx="20">
                  <c:v>85</c:v>
                </c:pt>
                <c:pt idx="21">
                  <c:v>80</c:v>
                </c:pt>
                <c:pt idx="2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33-0146-BAC9-EEAAAE59B18E}"/>
            </c:ext>
          </c:extLst>
        </c:ser>
        <c:ser>
          <c:idx val="3"/>
          <c:order val="3"/>
          <c:tx>
            <c:strRef>
              <c:f>SVC_pivot!$E$3:$E$5</c:f>
              <c:strCache>
                <c:ptCount val="1"/>
                <c:pt idx="0">
                  <c:v> CNT - 百融分v2&gt;=640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SVC_pivot!$E$6:$E$28</c:f>
              <c:numCache>
                <c:formatCode>General</c:formatCode>
                <c:ptCount val="23"/>
                <c:pt idx="0">
                  <c:v>613</c:v>
                </c:pt>
                <c:pt idx="1">
                  <c:v>746</c:v>
                </c:pt>
                <c:pt idx="2">
                  <c:v>696</c:v>
                </c:pt>
                <c:pt idx="3">
                  <c:v>760</c:v>
                </c:pt>
                <c:pt idx="4">
                  <c:v>897</c:v>
                </c:pt>
                <c:pt idx="5">
                  <c:v>711</c:v>
                </c:pt>
                <c:pt idx="6">
                  <c:v>606</c:v>
                </c:pt>
                <c:pt idx="7">
                  <c:v>466</c:v>
                </c:pt>
                <c:pt idx="8">
                  <c:v>82</c:v>
                </c:pt>
                <c:pt idx="9">
                  <c:v>124</c:v>
                </c:pt>
                <c:pt idx="10">
                  <c:v>335</c:v>
                </c:pt>
                <c:pt idx="11">
                  <c:v>617</c:v>
                </c:pt>
                <c:pt idx="12">
                  <c:v>599</c:v>
                </c:pt>
                <c:pt idx="13">
                  <c:v>644</c:v>
                </c:pt>
                <c:pt idx="14">
                  <c:v>628</c:v>
                </c:pt>
                <c:pt idx="15">
                  <c:v>533</c:v>
                </c:pt>
                <c:pt idx="16">
                  <c:v>549</c:v>
                </c:pt>
                <c:pt idx="17">
                  <c:v>479</c:v>
                </c:pt>
                <c:pt idx="18">
                  <c:v>498</c:v>
                </c:pt>
                <c:pt idx="19">
                  <c:v>485</c:v>
                </c:pt>
                <c:pt idx="20">
                  <c:v>582</c:v>
                </c:pt>
                <c:pt idx="21">
                  <c:v>560</c:v>
                </c:pt>
                <c:pt idx="22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33-0146-BAC9-EEAAAE59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353664"/>
        <c:axId val="787375232"/>
      </c:barChart>
      <c:lineChart>
        <c:grouping val="standard"/>
        <c:varyColors val="0"/>
        <c:ser>
          <c:idx val="4"/>
          <c:order val="4"/>
          <c:tx>
            <c:strRef>
              <c:f>SVC_pivot!$F$3:$F$5</c:f>
              <c:strCache>
                <c:ptCount val="1"/>
                <c:pt idx="0">
                  <c:v> 通过率 - 百融分v2_580-640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SVC_pivot!$F$6:$F$28</c:f>
              <c:numCache>
                <c:formatCode>0.00%</c:formatCode>
                <c:ptCount val="23"/>
                <c:pt idx="0">
                  <c:v>0.83088235294117652</c:v>
                </c:pt>
                <c:pt idx="1">
                  <c:v>0.85403726708074534</c:v>
                </c:pt>
                <c:pt idx="2">
                  <c:v>0.87622149837133545</c:v>
                </c:pt>
                <c:pt idx="3">
                  <c:v>0.86065573770491799</c:v>
                </c:pt>
                <c:pt idx="4">
                  <c:v>0.81766381766381768</c:v>
                </c:pt>
                <c:pt idx="5">
                  <c:v>0.79725085910652926</c:v>
                </c:pt>
                <c:pt idx="6">
                  <c:v>0.83116883116883122</c:v>
                </c:pt>
                <c:pt idx="7">
                  <c:v>0.8214285714285714</c:v>
                </c:pt>
                <c:pt idx="8">
                  <c:v>0.78947368421052633</c:v>
                </c:pt>
                <c:pt idx="9">
                  <c:v>0.75757575757575757</c:v>
                </c:pt>
                <c:pt idx="10">
                  <c:v>0.81294964028776984</c:v>
                </c:pt>
                <c:pt idx="11">
                  <c:v>0.77906976744186052</c:v>
                </c:pt>
                <c:pt idx="12">
                  <c:v>0.82685512367491165</c:v>
                </c:pt>
                <c:pt idx="13">
                  <c:v>0.74744027303754268</c:v>
                </c:pt>
                <c:pt idx="14">
                  <c:v>0.6517857142857143</c:v>
                </c:pt>
                <c:pt idx="15">
                  <c:v>0.65799256505576209</c:v>
                </c:pt>
                <c:pt idx="16">
                  <c:v>0.66171003717472121</c:v>
                </c:pt>
                <c:pt idx="17">
                  <c:v>0.65432098765432101</c:v>
                </c:pt>
                <c:pt idx="18">
                  <c:v>0.65182186234817818</c:v>
                </c:pt>
                <c:pt idx="19">
                  <c:v>0.63258785942492013</c:v>
                </c:pt>
                <c:pt idx="20">
                  <c:v>0.73895582329317266</c:v>
                </c:pt>
                <c:pt idx="21">
                  <c:v>0.735593220338983</c:v>
                </c:pt>
                <c:pt idx="22">
                  <c:v>0.69776119402985071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33-0146-BAC9-EEAAAE59B18E}"/>
            </c:ext>
          </c:extLst>
        </c:ser>
        <c:ser>
          <c:idx val="5"/>
          <c:order val="5"/>
          <c:tx>
            <c:strRef>
              <c:f>SVC_pivot!$G$3:$G$5</c:f>
              <c:strCache>
                <c:ptCount val="1"/>
                <c:pt idx="0">
                  <c:v> 通过率 - 百融分v2_missing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SVC_pivot!$G$6:$G$28</c:f>
              <c:numCache>
                <c:formatCode>0.00%</c:formatCode>
                <c:ptCount val="23"/>
                <c:pt idx="0">
                  <c:v>0.83807169344870214</c:v>
                </c:pt>
                <c:pt idx="1">
                  <c:v>0.86194477791116442</c:v>
                </c:pt>
                <c:pt idx="2">
                  <c:v>0.83274440518256776</c:v>
                </c:pt>
                <c:pt idx="3">
                  <c:v>0.83506343713956166</c:v>
                </c:pt>
                <c:pt idx="4">
                  <c:v>0.83282364933741082</c:v>
                </c:pt>
                <c:pt idx="5">
                  <c:v>0.82744565217391308</c:v>
                </c:pt>
                <c:pt idx="6">
                  <c:v>0.79166666666666663</c:v>
                </c:pt>
                <c:pt idx="7">
                  <c:v>0.78707224334600756</c:v>
                </c:pt>
                <c:pt idx="8">
                  <c:v>0.77551020408163263</c:v>
                </c:pt>
                <c:pt idx="9">
                  <c:v>0.77717391304347827</c:v>
                </c:pt>
                <c:pt idx="10">
                  <c:v>0.78814814814814815</c:v>
                </c:pt>
                <c:pt idx="11">
                  <c:v>0.77371273712737132</c:v>
                </c:pt>
                <c:pt idx="12">
                  <c:v>0.7187910643889619</c:v>
                </c:pt>
                <c:pt idx="13">
                  <c:v>0.69157769869513641</c:v>
                </c:pt>
                <c:pt idx="14">
                  <c:v>0.63444857496902107</c:v>
                </c:pt>
                <c:pt idx="15">
                  <c:v>0.62183754993342211</c:v>
                </c:pt>
                <c:pt idx="16">
                  <c:v>0.60540540540540544</c:v>
                </c:pt>
                <c:pt idx="17">
                  <c:v>0.59393063583815031</c:v>
                </c:pt>
                <c:pt idx="18">
                  <c:v>0.61619190404797597</c:v>
                </c:pt>
                <c:pt idx="19">
                  <c:v>0.60762942779291551</c:v>
                </c:pt>
                <c:pt idx="20">
                  <c:v>0.61282660332541572</c:v>
                </c:pt>
                <c:pt idx="21">
                  <c:v>0.66286438529784542</c:v>
                </c:pt>
                <c:pt idx="22">
                  <c:v>0.65990453460620524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33-0146-BAC9-EEAAAE59B18E}"/>
            </c:ext>
          </c:extLst>
        </c:ser>
        <c:ser>
          <c:idx val="6"/>
          <c:order val="6"/>
          <c:tx>
            <c:strRef>
              <c:f>SVC_pivot!$H$3:$H$5</c:f>
              <c:strCache>
                <c:ptCount val="1"/>
                <c:pt idx="0">
                  <c:v> 通过率 - 百融分v2&lt;580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SVC_pivot!$H$6:$H$28</c:f>
              <c:numCache>
                <c:formatCode>0.00%</c:formatCode>
                <c:ptCount val="23"/>
                <c:pt idx="0">
                  <c:v>0.82258064516129037</c:v>
                </c:pt>
                <c:pt idx="1">
                  <c:v>0.76415094339622647</c:v>
                </c:pt>
                <c:pt idx="2">
                  <c:v>0.90909090909090906</c:v>
                </c:pt>
                <c:pt idx="3">
                  <c:v>0.85555555555555551</c:v>
                </c:pt>
                <c:pt idx="4">
                  <c:v>0.87068965517241381</c:v>
                </c:pt>
                <c:pt idx="5">
                  <c:v>0.79746835443037978</c:v>
                </c:pt>
                <c:pt idx="6">
                  <c:v>0.81428571428571428</c:v>
                </c:pt>
                <c:pt idx="7">
                  <c:v>0.69230769230769229</c:v>
                </c:pt>
                <c:pt idx="8">
                  <c:v>0.875</c:v>
                </c:pt>
                <c:pt idx="9">
                  <c:v>0.70588235294117652</c:v>
                </c:pt>
                <c:pt idx="10">
                  <c:v>0.68292682926829273</c:v>
                </c:pt>
                <c:pt idx="11">
                  <c:v>0.8089887640449438</c:v>
                </c:pt>
                <c:pt idx="12">
                  <c:v>0.74358974358974361</c:v>
                </c:pt>
                <c:pt idx="13">
                  <c:v>0.48936170212765956</c:v>
                </c:pt>
                <c:pt idx="14">
                  <c:v>0.59459459459459463</c:v>
                </c:pt>
                <c:pt idx="15">
                  <c:v>0.449438202247191</c:v>
                </c:pt>
                <c:pt idx="16">
                  <c:v>0.5714285714285714</c:v>
                </c:pt>
                <c:pt idx="17">
                  <c:v>0.60194174757281549</c:v>
                </c:pt>
                <c:pt idx="18">
                  <c:v>0.63013698630136983</c:v>
                </c:pt>
                <c:pt idx="19">
                  <c:v>0.52857142857142858</c:v>
                </c:pt>
                <c:pt idx="20">
                  <c:v>0.55294117647058827</c:v>
                </c:pt>
                <c:pt idx="21">
                  <c:v>0.65</c:v>
                </c:pt>
                <c:pt idx="2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33-0146-BAC9-EEAAAE59B18E}"/>
            </c:ext>
          </c:extLst>
        </c:ser>
        <c:ser>
          <c:idx val="7"/>
          <c:order val="7"/>
          <c:tx>
            <c:strRef>
              <c:f>SVC_pivot!$I$3:$I$5</c:f>
              <c:strCache>
                <c:ptCount val="1"/>
                <c:pt idx="0">
                  <c:v> 通过率 - 百融分v2&gt;=640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SVC_pivot!$A$6:$A$28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SVC_pivot!$I$6:$I$28</c:f>
              <c:numCache>
                <c:formatCode>0.00%</c:formatCode>
                <c:ptCount val="23"/>
                <c:pt idx="0">
                  <c:v>0.8923327895595432</c:v>
                </c:pt>
                <c:pt idx="1">
                  <c:v>0.87801608579088475</c:v>
                </c:pt>
                <c:pt idx="2">
                  <c:v>0.89367816091954022</c:v>
                </c:pt>
                <c:pt idx="3">
                  <c:v>0.88026315789473686</c:v>
                </c:pt>
                <c:pt idx="4">
                  <c:v>0.850613154960981</c:v>
                </c:pt>
                <c:pt idx="5">
                  <c:v>0.85654008438818563</c:v>
                </c:pt>
                <c:pt idx="6">
                  <c:v>0.85643564356435642</c:v>
                </c:pt>
                <c:pt idx="7">
                  <c:v>0.86266094420600858</c:v>
                </c:pt>
                <c:pt idx="8">
                  <c:v>0.87804878048780488</c:v>
                </c:pt>
                <c:pt idx="9">
                  <c:v>0.81451612903225812</c:v>
                </c:pt>
                <c:pt idx="10">
                  <c:v>0.89552238805970152</c:v>
                </c:pt>
                <c:pt idx="11">
                  <c:v>0.84602917341977313</c:v>
                </c:pt>
                <c:pt idx="12">
                  <c:v>0.80634390651085142</c:v>
                </c:pt>
                <c:pt idx="13">
                  <c:v>0.80279503105590067</c:v>
                </c:pt>
                <c:pt idx="14">
                  <c:v>0.79458598726114649</c:v>
                </c:pt>
                <c:pt idx="15">
                  <c:v>0.81050656660412757</c:v>
                </c:pt>
                <c:pt idx="16">
                  <c:v>0.79234972677595628</c:v>
                </c:pt>
                <c:pt idx="17">
                  <c:v>0.76200417536534448</c:v>
                </c:pt>
                <c:pt idx="18">
                  <c:v>0.80321285140562249</c:v>
                </c:pt>
                <c:pt idx="19">
                  <c:v>0.80206185567010313</c:v>
                </c:pt>
                <c:pt idx="20">
                  <c:v>0.78522336769759449</c:v>
                </c:pt>
                <c:pt idx="21">
                  <c:v>0.81964285714285712</c:v>
                </c:pt>
                <c:pt idx="22">
                  <c:v>0.80836236933797911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33-0146-BAC9-EEAAAE59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4688"/>
        <c:axId val="787375808"/>
      </c:lineChart>
      <c:catAx>
        <c:axId val="1543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375232"/>
        <c:crosses val="autoZero"/>
        <c:auto val="1"/>
        <c:lblAlgn val="ctr"/>
        <c:lblOffset val="100"/>
        <c:noMultiLvlLbl val="0"/>
      </c:catAx>
      <c:valAx>
        <c:axId val="78737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3664"/>
        <c:crosses val="autoZero"/>
        <c:crossBetween val="between"/>
      </c:valAx>
      <c:valAx>
        <c:axId val="7873758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4688"/>
        <c:crosses val="max"/>
        <c:crossBetween val="between"/>
      </c:valAx>
      <c:catAx>
        <c:axId val="15435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375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46403001977003E-2"/>
          <c:y val="8.1899935594188428E-2"/>
          <c:w val="0.88339927349853165"/>
          <c:h val="0.141321764982118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BR score2.0</a:t>
            </a:r>
            <a:endParaRPr lang="zh-CN" altLang="en-US"/>
          </a:p>
        </c:rich>
      </c:tx>
      <c:layout>
        <c:manualLayout>
          <c:xMode val="edge"/>
          <c:yMode val="edge"/>
          <c:x val="0.4233166131464929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2045368406569874E-2"/>
          <c:y val="0.21706640490105522"/>
          <c:w val="0.86449152806369467"/>
          <c:h val="0.6949228743393625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SVC_pivot!$B$35:$B$37</c:f>
              <c:strCache>
                <c:ptCount val="1"/>
                <c:pt idx="0">
                  <c:v> AGR - 百融分v2_580-640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SVC_pivot!$B$38:$B$45</c:f>
              <c:numCache>
                <c:formatCode>General</c:formatCode>
                <c:ptCount val="8"/>
                <c:pt idx="0">
                  <c:v>226</c:v>
                </c:pt>
                <c:pt idx="1">
                  <c:v>265</c:v>
                </c:pt>
                <c:pt idx="2">
                  <c:v>266</c:v>
                </c:pt>
                <c:pt idx="3">
                  <c:v>307</c:v>
                </c:pt>
                <c:pt idx="4">
                  <c:v>280</c:v>
                </c:pt>
                <c:pt idx="5">
                  <c:v>228</c:v>
                </c:pt>
                <c:pt idx="6">
                  <c:v>187</c:v>
                </c:pt>
                <c:pt idx="7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A-724C-92D3-245AC65FF411}"/>
            </c:ext>
          </c:extLst>
        </c:ser>
        <c:ser>
          <c:idx val="1"/>
          <c:order val="1"/>
          <c:tx>
            <c:strRef>
              <c:f>SVC_pivot!$C$35:$C$37</c:f>
              <c:strCache>
                <c:ptCount val="1"/>
                <c:pt idx="0">
                  <c:v> AGR - 百融分v2_missing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SVC_pivot!$C$38:$C$45</c:f>
              <c:numCache>
                <c:formatCode>General</c:formatCode>
                <c:ptCount val="8"/>
                <c:pt idx="0">
                  <c:v>660</c:v>
                </c:pt>
                <c:pt idx="1">
                  <c:v>696</c:v>
                </c:pt>
                <c:pt idx="2">
                  <c:v>689</c:v>
                </c:pt>
                <c:pt idx="3">
                  <c:v>696</c:v>
                </c:pt>
                <c:pt idx="4">
                  <c:v>784</c:v>
                </c:pt>
                <c:pt idx="5">
                  <c:v>583</c:v>
                </c:pt>
                <c:pt idx="6">
                  <c:v>530</c:v>
                </c:pt>
                <c:pt idx="7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A-724C-92D3-245AC65FF411}"/>
            </c:ext>
          </c:extLst>
        </c:ser>
        <c:ser>
          <c:idx val="2"/>
          <c:order val="2"/>
          <c:tx>
            <c:strRef>
              <c:f>SVC_pivot!$D$35:$D$37</c:f>
              <c:strCache>
                <c:ptCount val="1"/>
                <c:pt idx="0">
                  <c:v> AGR - 百融分v2&lt;580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SVC_pivot!$D$38:$D$45</c:f>
              <c:numCache>
                <c:formatCode>General</c:formatCode>
                <c:ptCount val="8"/>
                <c:pt idx="0">
                  <c:v>49</c:v>
                </c:pt>
                <c:pt idx="1">
                  <c:v>80</c:v>
                </c:pt>
                <c:pt idx="2">
                  <c:v>89</c:v>
                </c:pt>
                <c:pt idx="3">
                  <c:v>75</c:v>
                </c:pt>
                <c:pt idx="4">
                  <c:v>100</c:v>
                </c:pt>
                <c:pt idx="5">
                  <c:v>61</c:v>
                </c:pt>
                <c:pt idx="6">
                  <c:v>56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A-724C-92D3-245AC65FF411}"/>
            </c:ext>
          </c:extLst>
        </c:ser>
        <c:ser>
          <c:idx val="3"/>
          <c:order val="3"/>
          <c:tx>
            <c:strRef>
              <c:f>SVC_pivot!$E$35:$E$37</c:f>
              <c:strCache>
                <c:ptCount val="1"/>
                <c:pt idx="0">
                  <c:v> AGR - 百融分v2&gt;=640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SVC_pivot!$E$38:$E$45</c:f>
              <c:numCache>
                <c:formatCode>General</c:formatCode>
                <c:ptCount val="8"/>
                <c:pt idx="0">
                  <c:v>521</c:v>
                </c:pt>
                <c:pt idx="1">
                  <c:v>638</c:v>
                </c:pt>
                <c:pt idx="2">
                  <c:v>595</c:v>
                </c:pt>
                <c:pt idx="3">
                  <c:v>643</c:v>
                </c:pt>
                <c:pt idx="4">
                  <c:v>736</c:v>
                </c:pt>
                <c:pt idx="5">
                  <c:v>582</c:v>
                </c:pt>
                <c:pt idx="6">
                  <c:v>495</c:v>
                </c:pt>
                <c:pt idx="7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7A-724C-92D3-245AC65FF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354176"/>
        <c:axId val="787376960"/>
      </c:barChart>
      <c:lineChart>
        <c:grouping val="standard"/>
        <c:varyColors val="0"/>
        <c:ser>
          <c:idx val="4"/>
          <c:order val="4"/>
          <c:tx>
            <c:strRef>
              <c:f>SVC_pivot!$F$35:$F$37</c:f>
              <c:strCache>
                <c:ptCount val="1"/>
                <c:pt idx="0">
                  <c:v>FSTPD10(%) - 百融分v2_580-640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SVC_pivot!$F$38:$F$45</c:f>
              <c:numCache>
                <c:formatCode>General</c:formatCode>
                <c:ptCount val="8"/>
                <c:pt idx="0">
                  <c:v>8.4070796460176997E-2</c:v>
                </c:pt>
                <c:pt idx="1">
                  <c:v>6.0377358490566038E-2</c:v>
                </c:pt>
                <c:pt idx="2">
                  <c:v>5.6390977443609019E-2</c:v>
                </c:pt>
                <c:pt idx="3">
                  <c:v>7.8175895765472306E-2</c:v>
                </c:pt>
                <c:pt idx="4">
                  <c:v>7.1428571428571425E-2</c:v>
                </c:pt>
                <c:pt idx="5">
                  <c:v>0.11842105263157894</c:v>
                </c:pt>
                <c:pt idx="6">
                  <c:v>8.0213903743315509E-2</c:v>
                </c:pt>
                <c:pt idx="7">
                  <c:v>8.9743589743589744E-2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7A-724C-92D3-245AC65FF411}"/>
            </c:ext>
          </c:extLst>
        </c:ser>
        <c:ser>
          <c:idx val="5"/>
          <c:order val="5"/>
          <c:tx>
            <c:strRef>
              <c:f>SVC_pivot!$G$35:$G$37</c:f>
              <c:strCache>
                <c:ptCount val="1"/>
                <c:pt idx="0">
                  <c:v>FSTPD10(%) - 百融分v2_missing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SVC_pivot!$G$38:$G$45</c:f>
              <c:numCache>
                <c:formatCode>General</c:formatCode>
                <c:ptCount val="8"/>
                <c:pt idx="0">
                  <c:v>8.7878787878787876E-2</c:v>
                </c:pt>
                <c:pt idx="1">
                  <c:v>0.10919540229885058</c:v>
                </c:pt>
                <c:pt idx="2">
                  <c:v>8.2728592162554432E-2</c:v>
                </c:pt>
                <c:pt idx="3">
                  <c:v>9.1954022988505746E-2</c:v>
                </c:pt>
                <c:pt idx="4">
                  <c:v>8.0357142857142863E-2</c:v>
                </c:pt>
                <c:pt idx="5">
                  <c:v>8.5763293310463118E-2</c:v>
                </c:pt>
                <c:pt idx="6">
                  <c:v>0.12452830188679245</c:v>
                </c:pt>
                <c:pt idx="7">
                  <c:v>8.8161209068010074E-2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7A-724C-92D3-245AC65FF411}"/>
            </c:ext>
          </c:extLst>
        </c:ser>
        <c:ser>
          <c:idx val="6"/>
          <c:order val="6"/>
          <c:tx>
            <c:strRef>
              <c:f>SVC_pivot!$H$35:$H$37</c:f>
              <c:strCache>
                <c:ptCount val="1"/>
                <c:pt idx="0">
                  <c:v>FSTPD10(%) - 百融分v2&lt;580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SVC_pivot!$H$38:$H$45</c:f>
              <c:numCache>
                <c:formatCode>General</c:formatCode>
                <c:ptCount val="8"/>
                <c:pt idx="0">
                  <c:v>0.12244897959183673</c:v>
                </c:pt>
                <c:pt idx="1">
                  <c:v>0.13750000000000001</c:v>
                </c:pt>
                <c:pt idx="2">
                  <c:v>0.14606741573033707</c:v>
                </c:pt>
                <c:pt idx="3">
                  <c:v>0.18666666666666668</c:v>
                </c:pt>
                <c:pt idx="4">
                  <c:v>7.0000000000000007E-2</c:v>
                </c:pt>
                <c:pt idx="5">
                  <c:v>0.18032786885245902</c:v>
                </c:pt>
                <c:pt idx="6">
                  <c:v>0.16071428571428573</c:v>
                </c:pt>
                <c:pt idx="7">
                  <c:v>6.9767441860465115E-2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7A-724C-92D3-245AC65FF411}"/>
            </c:ext>
          </c:extLst>
        </c:ser>
        <c:ser>
          <c:idx val="7"/>
          <c:order val="7"/>
          <c:tx>
            <c:strRef>
              <c:f>SVC_pivot!$I$35:$I$37</c:f>
              <c:strCache>
                <c:ptCount val="1"/>
                <c:pt idx="0">
                  <c:v>FSTPD10(%) - 百融分v2&gt;=640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SVC_pivot!$A$38:$A$45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SVC_pivot!$I$38:$I$45</c:f>
              <c:numCache>
                <c:formatCode>General</c:formatCode>
                <c:ptCount val="8"/>
                <c:pt idx="0">
                  <c:v>3.4548944337811902E-2</c:v>
                </c:pt>
                <c:pt idx="1">
                  <c:v>5.329153605015674E-2</c:v>
                </c:pt>
                <c:pt idx="2">
                  <c:v>4.3697478991596636E-2</c:v>
                </c:pt>
                <c:pt idx="3">
                  <c:v>4.1990668740279936E-2</c:v>
                </c:pt>
                <c:pt idx="4">
                  <c:v>3.8043478260869568E-2</c:v>
                </c:pt>
                <c:pt idx="5">
                  <c:v>4.8109965635738834E-2</c:v>
                </c:pt>
                <c:pt idx="6">
                  <c:v>4.6464646464646465E-2</c:v>
                </c:pt>
                <c:pt idx="7">
                  <c:v>4.3478260869565216E-2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7A-724C-92D3-245AC65FF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021312"/>
        <c:axId val="787377536"/>
      </c:lineChart>
      <c:catAx>
        <c:axId val="15435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376960"/>
        <c:crosses val="autoZero"/>
        <c:auto val="1"/>
        <c:lblAlgn val="ctr"/>
        <c:lblOffset val="100"/>
        <c:noMultiLvlLbl val="0"/>
      </c:catAx>
      <c:valAx>
        <c:axId val="7873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4176"/>
        <c:crosses val="autoZero"/>
        <c:crossBetween val="between"/>
      </c:valAx>
      <c:valAx>
        <c:axId val="78737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021312"/>
        <c:crosses val="max"/>
        <c:crossBetween val="between"/>
      </c:valAx>
      <c:catAx>
        <c:axId val="787021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377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6866629630879534E-3"/>
          <c:y val="6.8630725276353513E-2"/>
          <c:w val="0.99668722239384433"/>
          <c:h val="0.12946643549082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百融消费次数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8637952941394687E-2"/>
          <c:y val="0.21783348972570143"/>
          <c:w val="0.85913163239754042"/>
          <c:h val="0.5632957311683188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SVC_pivot!$L$3:$L$5</c:f>
              <c:strCache>
                <c:ptCount val="1"/>
                <c:pt idx="0">
                  <c:v> CNT - 百融消费次数=0/missing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SVC_pivot!$K$6:$K$28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SVC_pivot!$L$6:$L$28</c:f>
              <c:numCache>
                <c:formatCode>General</c:formatCode>
                <c:ptCount val="23"/>
                <c:pt idx="0">
                  <c:v>1531</c:v>
                </c:pt>
                <c:pt idx="1">
                  <c:v>1712</c:v>
                </c:pt>
                <c:pt idx="2">
                  <c:v>1677</c:v>
                </c:pt>
                <c:pt idx="3">
                  <c:v>1809</c:v>
                </c:pt>
                <c:pt idx="4">
                  <c:v>1992</c:v>
                </c:pt>
                <c:pt idx="5">
                  <c:v>1523</c:v>
                </c:pt>
                <c:pt idx="6">
                  <c:v>1384</c:v>
                </c:pt>
                <c:pt idx="7">
                  <c:v>1075</c:v>
                </c:pt>
                <c:pt idx="8">
                  <c:v>181</c:v>
                </c:pt>
                <c:pt idx="9">
                  <c:v>341</c:v>
                </c:pt>
                <c:pt idx="10">
                  <c:v>1045</c:v>
                </c:pt>
                <c:pt idx="11">
                  <c:v>1474</c:v>
                </c:pt>
                <c:pt idx="12">
                  <c:v>1484</c:v>
                </c:pt>
                <c:pt idx="13">
                  <c:v>1647</c:v>
                </c:pt>
                <c:pt idx="14">
                  <c:v>1593</c:v>
                </c:pt>
                <c:pt idx="15">
                  <c:v>1462</c:v>
                </c:pt>
                <c:pt idx="16">
                  <c:v>1419</c:v>
                </c:pt>
                <c:pt idx="17">
                  <c:v>1331</c:v>
                </c:pt>
                <c:pt idx="18">
                  <c:v>1307</c:v>
                </c:pt>
                <c:pt idx="19">
                  <c:v>1410</c:v>
                </c:pt>
                <c:pt idx="20">
                  <c:v>1561</c:v>
                </c:pt>
                <c:pt idx="21">
                  <c:v>1525</c:v>
                </c:pt>
                <c:pt idx="22">
                  <c:v>1558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B-F746-AD5C-B9F0D6165B9A}"/>
            </c:ext>
          </c:extLst>
        </c:ser>
        <c:ser>
          <c:idx val="1"/>
          <c:order val="1"/>
          <c:tx>
            <c:strRef>
              <c:f>SVC_pivot!$M$3:$M$5</c:f>
              <c:strCache>
                <c:ptCount val="1"/>
                <c:pt idx="0">
                  <c:v> CNT - 百融消费次数&gt;=1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SVC_pivot!$K$6:$K$28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SVC_pivot!$M$6:$M$28</c:f>
              <c:numCache>
                <c:formatCode>General</c:formatCode>
                <c:ptCount val="23"/>
                <c:pt idx="0">
                  <c:v>225</c:v>
                </c:pt>
                <c:pt idx="1">
                  <c:v>295</c:v>
                </c:pt>
                <c:pt idx="2">
                  <c:v>274</c:v>
                </c:pt>
                <c:pt idx="3">
                  <c:v>274</c:v>
                </c:pt>
                <c:pt idx="4">
                  <c:v>353</c:v>
                </c:pt>
                <c:pt idx="5">
                  <c:v>294</c:v>
                </c:pt>
                <c:pt idx="6">
                  <c:v>219</c:v>
                </c:pt>
                <c:pt idx="7">
                  <c:v>178</c:v>
                </c:pt>
                <c:pt idx="8">
                  <c:v>45</c:v>
                </c:pt>
                <c:pt idx="9">
                  <c:v>50</c:v>
                </c:pt>
                <c:pt idx="10">
                  <c:v>145</c:v>
                </c:pt>
                <c:pt idx="11">
                  <c:v>228</c:v>
                </c:pt>
                <c:pt idx="12">
                  <c:v>237</c:v>
                </c:pt>
                <c:pt idx="13">
                  <c:v>227</c:v>
                </c:pt>
                <c:pt idx="14">
                  <c:v>252</c:v>
                </c:pt>
                <c:pt idx="15">
                  <c:v>180</c:v>
                </c:pt>
                <c:pt idx="16">
                  <c:v>209</c:v>
                </c:pt>
                <c:pt idx="17">
                  <c:v>186</c:v>
                </c:pt>
                <c:pt idx="18">
                  <c:v>178</c:v>
                </c:pt>
                <c:pt idx="19">
                  <c:v>192</c:v>
                </c:pt>
                <c:pt idx="20">
                  <c:v>197</c:v>
                </c:pt>
                <c:pt idx="21">
                  <c:v>199</c:v>
                </c:pt>
                <c:pt idx="22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7B-F746-AD5C-B9F0D616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355200"/>
        <c:axId val="787159808"/>
      </c:barChart>
      <c:lineChart>
        <c:grouping val="standard"/>
        <c:varyColors val="0"/>
        <c:ser>
          <c:idx val="2"/>
          <c:order val="2"/>
          <c:tx>
            <c:strRef>
              <c:f>SVC_pivot!$N$3:$N$5</c:f>
              <c:strCache>
                <c:ptCount val="1"/>
                <c:pt idx="0">
                  <c:v> 通过率 - 百融消费次数=0/missing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SVC_pivot!$K$6:$K$28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SVC_pivot!$N$6:$N$28</c:f>
              <c:numCache>
                <c:formatCode>0.00%</c:formatCode>
                <c:ptCount val="23"/>
                <c:pt idx="0">
                  <c:v>0.84781188765512738</c:v>
                </c:pt>
                <c:pt idx="1">
                  <c:v>0.86098130841121501</c:v>
                </c:pt>
                <c:pt idx="2">
                  <c:v>0.85867620751341678</c:v>
                </c:pt>
                <c:pt idx="3">
                  <c:v>0.84853510226644557</c:v>
                </c:pt>
                <c:pt idx="4">
                  <c:v>0.83785140562248994</c:v>
                </c:pt>
                <c:pt idx="5">
                  <c:v>0.82994090610636906</c:v>
                </c:pt>
                <c:pt idx="6">
                  <c:v>0.8222543352601156</c:v>
                </c:pt>
                <c:pt idx="7">
                  <c:v>0.80930232558139537</c:v>
                </c:pt>
                <c:pt idx="8">
                  <c:v>0.79558011049723754</c:v>
                </c:pt>
                <c:pt idx="9">
                  <c:v>0.78005865102639294</c:v>
                </c:pt>
                <c:pt idx="10">
                  <c:v>0.82296650717703346</c:v>
                </c:pt>
                <c:pt idx="11">
                  <c:v>0.79308005427408412</c:v>
                </c:pt>
                <c:pt idx="12">
                  <c:v>0.75876010781671155</c:v>
                </c:pt>
                <c:pt idx="13">
                  <c:v>0.71888281724347303</c:v>
                </c:pt>
                <c:pt idx="14">
                  <c:v>0.67168863779033272</c:v>
                </c:pt>
                <c:pt idx="15">
                  <c:v>0.66689466484268123</c:v>
                </c:pt>
                <c:pt idx="16">
                  <c:v>0.66455250176180414</c:v>
                </c:pt>
                <c:pt idx="17">
                  <c:v>0.63561232156273484</c:v>
                </c:pt>
                <c:pt idx="18">
                  <c:v>0.66488140780413163</c:v>
                </c:pt>
                <c:pt idx="19">
                  <c:v>0.65035460992907801</c:v>
                </c:pt>
                <c:pt idx="20">
                  <c:v>0.67072389493914153</c:v>
                </c:pt>
                <c:pt idx="21">
                  <c:v>0.71344262295081973</c:v>
                </c:pt>
                <c:pt idx="22">
                  <c:v>0.70474967907573816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7B-F746-AD5C-B9F0D6165B9A}"/>
            </c:ext>
          </c:extLst>
        </c:ser>
        <c:ser>
          <c:idx val="3"/>
          <c:order val="3"/>
          <c:tx>
            <c:strRef>
              <c:f>SVC_pivot!$O$3:$O$5</c:f>
              <c:strCache>
                <c:ptCount val="1"/>
                <c:pt idx="0">
                  <c:v> 通过率 - 百融消费次数&gt;=1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SVC_pivot!$K$6:$K$28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SVC_pivot!$O$6:$O$28</c:f>
              <c:numCache>
                <c:formatCode>0.00%</c:formatCode>
                <c:ptCount val="23"/>
                <c:pt idx="0">
                  <c:v>0.90666666666666662</c:v>
                </c:pt>
                <c:pt idx="1">
                  <c:v>0.86440677966101698</c:v>
                </c:pt>
                <c:pt idx="2">
                  <c:v>0.9051094890510949</c:v>
                </c:pt>
                <c:pt idx="3">
                  <c:v>0.91240875912408759</c:v>
                </c:pt>
                <c:pt idx="4">
                  <c:v>0.84702549575070818</c:v>
                </c:pt>
                <c:pt idx="5">
                  <c:v>0.84693877551020413</c:v>
                </c:pt>
                <c:pt idx="6">
                  <c:v>0.82648401826484019</c:v>
                </c:pt>
                <c:pt idx="7">
                  <c:v>0.8539325842696629</c:v>
                </c:pt>
                <c:pt idx="8">
                  <c:v>0.91111111111111109</c:v>
                </c:pt>
                <c:pt idx="9">
                  <c:v>0.8</c:v>
                </c:pt>
                <c:pt idx="10">
                  <c:v>0.77931034482758621</c:v>
                </c:pt>
                <c:pt idx="11">
                  <c:v>0.86403508771929827</c:v>
                </c:pt>
                <c:pt idx="12">
                  <c:v>0.8270042194092827</c:v>
                </c:pt>
                <c:pt idx="13">
                  <c:v>0.79735682819383258</c:v>
                </c:pt>
                <c:pt idx="14">
                  <c:v>0.80952380952380953</c:v>
                </c:pt>
                <c:pt idx="15">
                  <c:v>0.78333333333333333</c:v>
                </c:pt>
                <c:pt idx="16">
                  <c:v>0.75598086124401909</c:v>
                </c:pt>
                <c:pt idx="17">
                  <c:v>0.81182795698924726</c:v>
                </c:pt>
                <c:pt idx="18">
                  <c:v>0.8370786516853933</c:v>
                </c:pt>
                <c:pt idx="19">
                  <c:v>0.796875</c:v>
                </c:pt>
                <c:pt idx="20">
                  <c:v>0.79695431472081213</c:v>
                </c:pt>
                <c:pt idx="21">
                  <c:v>0.81909547738693467</c:v>
                </c:pt>
                <c:pt idx="22">
                  <c:v>0.77540106951871657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7B-F746-AD5C-B9F0D616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6736"/>
        <c:axId val="787378112"/>
      </c:lineChart>
      <c:catAx>
        <c:axId val="15435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159808"/>
        <c:crosses val="autoZero"/>
        <c:auto val="1"/>
        <c:lblAlgn val="ctr"/>
        <c:lblOffset val="100"/>
        <c:noMultiLvlLbl val="0"/>
      </c:catAx>
      <c:valAx>
        <c:axId val="78715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5200"/>
        <c:crosses val="autoZero"/>
        <c:crossBetween val="between"/>
      </c:valAx>
      <c:valAx>
        <c:axId val="78737811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6736"/>
        <c:crosses val="max"/>
        <c:crossBetween val="between"/>
      </c:valAx>
      <c:catAx>
        <c:axId val="154356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37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5940321947389095E-2"/>
          <c:y val="0.1001727115716753"/>
          <c:w val="0.93867294856694161"/>
          <c:h val="0.1133429888621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[评分卡监控报告.xlsm]SVC_pivot!数据透视表12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百融消费次数</a:t>
            </a:r>
            <a:endParaRPr lang="en-US" altLang="zh-CN"/>
          </a:p>
        </c:rich>
      </c:tx>
      <c:layout>
        <c:manualLayout>
          <c:xMode val="edge"/>
          <c:yMode val="edge"/>
          <c:x val="0.407783903101378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3485021497155231E-2"/>
          <c:y val="0.17465559680687584"/>
          <c:w val="0.84918380315953568"/>
          <c:h val="0.6203959446778997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SVC_pivot!$L$35:$L$37</c:f>
              <c:strCache>
                <c:ptCount val="1"/>
                <c:pt idx="0">
                  <c:v> AGR - 百融消费次数=0/missing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SVC_pivot!$K$38:$K$45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SVC_pivot!$L$38:$L$45</c:f>
              <c:numCache>
                <c:formatCode>General</c:formatCode>
                <c:ptCount val="8"/>
                <c:pt idx="0">
                  <c:v>1258</c:v>
                </c:pt>
                <c:pt idx="1">
                  <c:v>1435</c:v>
                </c:pt>
                <c:pt idx="2">
                  <c:v>1402</c:v>
                </c:pt>
                <c:pt idx="3">
                  <c:v>1484</c:v>
                </c:pt>
                <c:pt idx="4">
                  <c:v>1613</c:v>
                </c:pt>
                <c:pt idx="5">
                  <c:v>1220</c:v>
                </c:pt>
                <c:pt idx="6">
                  <c:v>1093</c:v>
                </c:pt>
                <c:pt idx="7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0-6C46-8B1C-B29D1451A6B0}"/>
            </c:ext>
          </c:extLst>
        </c:ser>
        <c:ser>
          <c:idx val="1"/>
          <c:order val="1"/>
          <c:tx>
            <c:strRef>
              <c:f>SVC_pivot!$M$35:$M$37</c:f>
              <c:strCache>
                <c:ptCount val="1"/>
                <c:pt idx="0">
                  <c:v> AGR - 百融消费次数&gt;=1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SVC_pivot!$K$38:$K$45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SVC_pivot!$M$38:$M$45</c:f>
              <c:numCache>
                <c:formatCode>General</c:formatCode>
                <c:ptCount val="8"/>
                <c:pt idx="0">
                  <c:v>198</c:v>
                </c:pt>
                <c:pt idx="1">
                  <c:v>244</c:v>
                </c:pt>
                <c:pt idx="2">
                  <c:v>237</c:v>
                </c:pt>
                <c:pt idx="3">
                  <c:v>237</c:v>
                </c:pt>
                <c:pt idx="4">
                  <c:v>287</c:v>
                </c:pt>
                <c:pt idx="5">
                  <c:v>234</c:v>
                </c:pt>
                <c:pt idx="6">
                  <c:v>175</c:v>
                </c:pt>
                <c:pt idx="7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0-6C46-8B1C-B29D1451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357248"/>
        <c:axId val="787379264"/>
      </c:barChart>
      <c:lineChart>
        <c:grouping val="standard"/>
        <c:varyColors val="0"/>
        <c:ser>
          <c:idx val="2"/>
          <c:order val="2"/>
          <c:tx>
            <c:strRef>
              <c:f>SVC_pivot!$N$35:$N$37</c:f>
              <c:strCache>
                <c:ptCount val="1"/>
                <c:pt idx="0">
                  <c:v>FSTPD10(%) - 百融消费次数=0/missing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SVC_pivot!$K$38:$K$45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SVC_pivot!$N$38:$N$45</c:f>
              <c:numCache>
                <c:formatCode>General</c:formatCode>
                <c:ptCount val="8"/>
                <c:pt idx="0">
                  <c:v>7.7106518282988867E-2</c:v>
                </c:pt>
                <c:pt idx="1">
                  <c:v>9.0592334494773524E-2</c:v>
                </c:pt>
                <c:pt idx="2">
                  <c:v>7.4179743223965769E-2</c:v>
                </c:pt>
                <c:pt idx="3">
                  <c:v>7.9514824797843664E-2</c:v>
                </c:pt>
                <c:pt idx="4">
                  <c:v>6.9435833849969E-2</c:v>
                </c:pt>
                <c:pt idx="5">
                  <c:v>8.3606557377049182E-2</c:v>
                </c:pt>
                <c:pt idx="6">
                  <c:v>9.6980786825251603E-2</c:v>
                </c:pt>
                <c:pt idx="7">
                  <c:v>7.6190476190476197E-2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A0-6C46-8B1C-B29D1451A6B0}"/>
            </c:ext>
          </c:extLst>
        </c:ser>
        <c:ser>
          <c:idx val="3"/>
          <c:order val="3"/>
          <c:tx>
            <c:strRef>
              <c:f>SVC_pivot!$O$35:$O$37</c:f>
              <c:strCache>
                <c:ptCount val="1"/>
                <c:pt idx="0">
                  <c:v>FSTPD10(%) - 百融消费次数&gt;=1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SVC_pivot!$K$38:$K$45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SVC_pivot!$O$38:$O$45</c:f>
              <c:numCache>
                <c:formatCode>General</c:formatCode>
                <c:ptCount val="8"/>
                <c:pt idx="0">
                  <c:v>2.0202020202020204E-2</c:v>
                </c:pt>
                <c:pt idx="1">
                  <c:v>2.8688524590163935E-2</c:v>
                </c:pt>
                <c:pt idx="2">
                  <c:v>2.9535864978902954E-2</c:v>
                </c:pt>
                <c:pt idx="3">
                  <c:v>4.6413502109704644E-2</c:v>
                </c:pt>
                <c:pt idx="4">
                  <c:v>2.0905923344947737E-2</c:v>
                </c:pt>
                <c:pt idx="5">
                  <c:v>5.9829059829059832E-2</c:v>
                </c:pt>
                <c:pt idx="6">
                  <c:v>0.04</c:v>
                </c:pt>
                <c:pt idx="7">
                  <c:v>3.4013605442176874E-2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A0-6C46-8B1C-B29D1451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66624"/>
        <c:axId val="787379840"/>
      </c:lineChart>
      <c:catAx>
        <c:axId val="15435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379264"/>
        <c:crosses val="autoZero"/>
        <c:auto val="1"/>
        <c:lblAlgn val="ctr"/>
        <c:lblOffset val="100"/>
        <c:noMultiLvlLbl val="0"/>
      </c:catAx>
      <c:valAx>
        <c:axId val="78737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357248"/>
        <c:crosses val="autoZero"/>
        <c:crossBetween val="between"/>
      </c:valAx>
      <c:valAx>
        <c:axId val="787379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6624"/>
        <c:crosses val="max"/>
        <c:crossBetween val="between"/>
      </c:valAx>
      <c:catAx>
        <c:axId val="787866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37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969792195281735E-3"/>
          <c:y val="6.7853227181303738E-2"/>
          <c:w val="0.99180302078047178"/>
          <c:h val="8.61795486048103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百融余额</a:t>
            </a:r>
            <a:r>
              <a:rPr lang="en-US" altLang="zh-CN"/>
              <a:t>/</a:t>
            </a:r>
            <a:r>
              <a:rPr lang="zh-CN" altLang="en-US"/>
              <a:t>收入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8637952941394687E-2"/>
          <c:y val="0.2632645559357436"/>
          <c:w val="0.85913163239754042"/>
          <c:h val="0.5155728243393659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SVC_pivot!$R$3:$R$5</c:f>
              <c:strCache>
                <c:ptCount val="1"/>
                <c:pt idx="0">
                  <c:v> CNT - 百融余额/收入[0,0.12)/missing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SVC_pivot!$Q$6:$Q$28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SVC_pivot!$R$6:$R$28</c:f>
              <c:numCache>
                <c:formatCode>General</c:formatCode>
                <c:ptCount val="23"/>
                <c:pt idx="0">
                  <c:v>1364</c:v>
                </c:pt>
                <c:pt idx="1">
                  <c:v>1501</c:v>
                </c:pt>
                <c:pt idx="2">
                  <c:v>1478</c:v>
                </c:pt>
                <c:pt idx="3">
                  <c:v>1527</c:v>
                </c:pt>
                <c:pt idx="4">
                  <c:v>1727</c:v>
                </c:pt>
                <c:pt idx="5">
                  <c:v>1336</c:v>
                </c:pt>
                <c:pt idx="6">
                  <c:v>1165</c:v>
                </c:pt>
                <c:pt idx="7">
                  <c:v>923</c:v>
                </c:pt>
                <c:pt idx="8">
                  <c:v>168</c:v>
                </c:pt>
                <c:pt idx="9">
                  <c:v>307</c:v>
                </c:pt>
                <c:pt idx="10">
                  <c:v>954</c:v>
                </c:pt>
                <c:pt idx="11">
                  <c:v>1268</c:v>
                </c:pt>
                <c:pt idx="12">
                  <c:v>1301</c:v>
                </c:pt>
                <c:pt idx="13">
                  <c:v>1378</c:v>
                </c:pt>
                <c:pt idx="14">
                  <c:v>1350</c:v>
                </c:pt>
                <c:pt idx="15">
                  <c:v>1220</c:v>
                </c:pt>
                <c:pt idx="16">
                  <c:v>1226</c:v>
                </c:pt>
                <c:pt idx="17">
                  <c:v>1168</c:v>
                </c:pt>
                <c:pt idx="18">
                  <c:v>1087</c:v>
                </c:pt>
                <c:pt idx="19">
                  <c:v>1201</c:v>
                </c:pt>
                <c:pt idx="20">
                  <c:v>1329</c:v>
                </c:pt>
                <c:pt idx="21">
                  <c:v>1286</c:v>
                </c:pt>
                <c:pt idx="22">
                  <c:v>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1-5F44-B015-DDBBCA94EC5F}"/>
            </c:ext>
          </c:extLst>
        </c:ser>
        <c:ser>
          <c:idx val="1"/>
          <c:order val="1"/>
          <c:tx>
            <c:strRef>
              <c:f>SVC_pivot!$S$3:$S$5</c:f>
              <c:strCache>
                <c:ptCount val="1"/>
                <c:pt idx="0">
                  <c:v> CNT - 百融余额/收入&gt;=0.12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SVC_pivot!$Q$6:$Q$28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SVC_pivot!$S$6:$S$28</c:f>
              <c:numCache>
                <c:formatCode>General</c:formatCode>
                <c:ptCount val="23"/>
                <c:pt idx="0">
                  <c:v>392</c:v>
                </c:pt>
                <c:pt idx="1">
                  <c:v>506</c:v>
                </c:pt>
                <c:pt idx="2">
                  <c:v>473</c:v>
                </c:pt>
                <c:pt idx="3">
                  <c:v>556</c:v>
                </c:pt>
                <c:pt idx="4">
                  <c:v>618</c:v>
                </c:pt>
                <c:pt idx="5">
                  <c:v>481</c:v>
                </c:pt>
                <c:pt idx="6">
                  <c:v>438</c:v>
                </c:pt>
                <c:pt idx="7">
                  <c:v>330</c:v>
                </c:pt>
                <c:pt idx="8">
                  <c:v>58</c:v>
                </c:pt>
                <c:pt idx="9">
                  <c:v>84</c:v>
                </c:pt>
                <c:pt idx="10">
                  <c:v>236</c:v>
                </c:pt>
                <c:pt idx="11">
                  <c:v>434</c:v>
                </c:pt>
                <c:pt idx="12">
                  <c:v>420</c:v>
                </c:pt>
                <c:pt idx="13">
                  <c:v>496</c:v>
                </c:pt>
                <c:pt idx="14">
                  <c:v>495</c:v>
                </c:pt>
                <c:pt idx="15">
                  <c:v>422</c:v>
                </c:pt>
                <c:pt idx="16">
                  <c:v>402</c:v>
                </c:pt>
                <c:pt idx="17">
                  <c:v>349</c:v>
                </c:pt>
                <c:pt idx="18">
                  <c:v>398</c:v>
                </c:pt>
                <c:pt idx="19">
                  <c:v>401</c:v>
                </c:pt>
                <c:pt idx="20">
                  <c:v>429</c:v>
                </c:pt>
                <c:pt idx="21">
                  <c:v>438</c:v>
                </c:pt>
                <c:pt idx="22">
                  <c:v>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1-5F44-B015-DDBBCA94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7865600"/>
        <c:axId val="787963904"/>
      </c:barChart>
      <c:lineChart>
        <c:grouping val="standard"/>
        <c:varyColors val="0"/>
        <c:ser>
          <c:idx val="2"/>
          <c:order val="2"/>
          <c:tx>
            <c:strRef>
              <c:f>SVC_pivot!$T$3:$T$5</c:f>
              <c:strCache>
                <c:ptCount val="1"/>
                <c:pt idx="0">
                  <c:v> 通过率 - 百融余额/收入[0,0.12)/missing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SVC_pivot!$Q$6:$Q$28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SVC_pivot!$T$6:$T$28</c:f>
              <c:numCache>
                <c:formatCode>0.00%</c:formatCode>
                <c:ptCount val="23"/>
                <c:pt idx="0">
                  <c:v>0.84530791788856308</c:v>
                </c:pt>
                <c:pt idx="1">
                  <c:v>0.85609593604263823</c:v>
                </c:pt>
                <c:pt idx="2">
                  <c:v>0.85385656292286871</c:v>
                </c:pt>
                <c:pt idx="3">
                  <c:v>0.85330713817943682</c:v>
                </c:pt>
                <c:pt idx="4">
                  <c:v>0.82918355529820498</c:v>
                </c:pt>
                <c:pt idx="5">
                  <c:v>0.82335329341317365</c:v>
                </c:pt>
                <c:pt idx="6">
                  <c:v>0.81802575107296138</c:v>
                </c:pt>
                <c:pt idx="7">
                  <c:v>0.80065005417118096</c:v>
                </c:pt>
                <c:pt idx="8">
                  <c:v>0.81547619047619047</c:v>
                </c:pt>
                <c:pt idx="9">
                  <c:v>0.77524429967426711</c:v>
                </c:pt>
                <c:pt idx="10">
                  <c:v>0.8029350104821803</c:v>
                </c:pt>
                <c:pt idx="11">
                  <c:v>0.79652996845425872</c:v>
                </c:pt>
                <c:pt idx="12">
                  <c:v>0.75864719446579554</c:v>
                </c:pt>
                <c:pt idx="13">
                  <c:v>0.7053701015965167</c:v>
                </c:pt>
                <c:pt idx="14">
                  <c:v>0.66074074074074074</c:v>
                </c:pt>
                <c:pt idx="15">
                  <c:v>0.64098360655737707</c:v>
                </c:pt>
                <c:pt idx="16">
                  <c:v>0.64763458401305052</c:v>
                </c:pt>
                <c:pt idx="17">
                  <c:v>0.63184931506849318</c:v>
                </c:pt>
                <c:pt idx="18">
                  <c:v>0.65685372585096591</c:v>
                </c:pt>
                <c:pt idx="19">
                  <c:v>0.63696919233971694</c:v>
                </c:pt>
                <c:pt idx="20">
                  <c:v>0.65237020316027083</c:v>
                </c:pt>
                <c:pt idx="21">
                  <c:v>0.69906687402799383</c:v>
                </c:pt>
                <c:pt idx="22">
                  <c:v>0.69218989280245025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F1-5F44-B015-DDBBCA94EC5F}"/>
            </c:ext>
          </c:extLst>
        </c:ser>
        <c:ser>
          <c:idx val="3"/>
          <c:order val="3"/>
          <c:tx>
            <c:strRef>
              <c:f>SVC_pivot!$U$3:$U$5</c:f>
              <c:strCache>
                <c:ptCount val="1"/>
                <c:pt idx="0">
                  <c:v> 通过率 - 百融余额/收入&gt;=0.12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SVC_pivot!$Q$6:$Q$28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SVC_pivot!$U$6:$U$28</c:f>
              <c:numCache>
                <c:formatCode>0.00%</c:formatCode>
                <c:ptCount val="23"/>
                <c:pt idx="0">
                  <c:v>0.89030612244897955</c:v>
                </c:pt>
                <c:pt idx="1">
                  <c:v>0.87747035573122534</c:v>
                </c:pt>
                <c:pt idx="2">
                  <c:v>0.90063424947145876</c:v>
                </c:pt>
                <c:pt idx="3">
                  <c:v>0.86690647482014394</c:v>
                </c:pt>
                <c:pt idx="4">
                  <c:v>0.8673139158576052</c:v>
                </c:pt>
                <c:pt idx="5">
                  <c:v>0.85862785862785862</c:v>
                </c:pt>
                <c:pt idx="6">
                  <c:v>0.83561643835616439</c:v>
                </c:pt>
                <c:pt idx="7">
                  <c:v>0.85757575757575755</c:v>
                </c:pt>
                <c:pt idx="8">
                  <c:v>0.82758620689655171</c:v>
                </c:pt>
                <c:pt idx="9">
                  <c:v>0.80952380952380953</c:v>
                </c:pt>
                <c:pt idx="10">
                  <c:v>0.8771186440677966</c:v>
                </c:pt>
                <c:pt idx="11">
                  <c:v>0.82027649769585254</c:v>
                </c:pt>
                <c:pt idx="12">
                  <c:v>0.79761904761904767</c:v>
                </c:pt>
                <c:pt idx="13">
                  <c:v>0.79233870967741937</c:v>
                </c:pt>
                <c:pt idx="14">
                  <c:v>0.77171717171717169</c:v>
                </c:pt>
                <c:pt idx="15">
                  <c:v>0.79146919431279616</c:v>
                </c:pt>
                <c:pt idx="16">
                  <c:v>0.76368159203980102</c:v>
                </c:pt>
                <c:pt idx="17">
                  <c:v>0.74212034383954151</c:v>
                </c:pt>
                <c:pt idx="18">
                  <c:v>0.76381909547738691</c:v>
                </c:pt>
                <c:pt idx="19">
                  <c:v>0.76059850374064841</c:v>
                </c:pt>
                <c:pt idx="20">
                  <c:v>0.78554778554778559</c:v>
                </c:pt>
                <c:pt idx="21">
                  <c:v>0.80365296803652964</c:v>
                </c:pt>
                <c:pt idx="22">
                  <c:v>0.77220956719817768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F1-5F44-B015-DDBBCA94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93760"/>
        <c:axId val="787964480"/>
      </c:lineChart>
      <c:catAx>
        <c:axId val="78786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963904"/>
        <c:crosses val="autoZero"/>
        <c:auto val="1"/>
        <c:lblAlgn val="ctr"/>
        <c:lblOffset val="100"/>
        <c:noMultiLvlLbl val="0"/>
      </c:catAx>
      <c:valAx>
        <c:axId val="7879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5600"/>
        <c:crosses val="autoZero"/>
        <c:crossBetween val="between"/>
      </c:valAx>
      <c:valAx>
        <c:axId val="7879644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9093760"/>
        <c:crosses val="max"/>
        <c:crossBetween val="between"/>
      </c:valAx>
      <c:catAx>
        <c:axId val="719093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964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5714488869103371E-2"/>
          <c:y val="0.10994764397905761"/>
          <c:w val="0.96660777385159014"/>
          <c:h val="0.11145039729017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[评分卡监控报告.xlsm]SVC_pivot!数据透视表13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baseline="0">
                <a:effectLst/>
              </a:rPr>
              <a:t>百融余额</a:t>
            </a:r>
            <a:r>
              <a:rPr lang="en-US" altLang="zh-CN" sz="1400" b="0" i="0" baseline="0">
                <a:effectLst/>
              </a:rPr>
              <a:t>/</a:t>
            </a:r>
            <a:r>
              <a:rPr lang="zh-CN" altLang="zh-CN" sz="1400" b="0" i="0" baseline="0">
                <a:effectLst/>
              </a:rPr>
              <a:t>收入</a:t>
            </a:r>
            <a:endParaRPr lang="zh-CN" altLang="zh-CN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3485021497155231E-2"/>
          <c:y val="0.23581006286681006"/>
          <c:w val="0.84918380315953568"/>
          <c:h val="0.554348809847044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SVC_pivot!$R$35:$R$37</c:f>
              <c:strCache>
                <c:ptCount val="1"/>
                <c:pt idx="0">
                  <c:v> AGR - 百融余额/收入[0,0.12)/missing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SVC_pivot!$Q$38:$Q$45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SVC_pivot!$R$38:$R$45</c:f>
              <c:numCache>
                <c:formatCode>General</c:formatCode>
                <c:ptCount val="8"/>
                <c:pt idx="0">
                  <c:v>1116</c:v>
                </c:pt>
                <c:pt idx="1">
                  <c:v>1247</c:v>
                </c:pt>
                <c:pt idx="2">
                  <c:v>1231</c:v>
                </c:pt>
                <c:pt idx="3">
                  <c:v>1255</c:v>
                </c:pt>
                <c:pt idx="4">
                  <c:v>1376</c:v>
                </c:pt>
                <c:pt idx="5">
                  <c:v>1055</c:v>
                </c:pt>
                <c:pt idx="6">
                  <c:v>921</c:v>
                </c:pt>
                <c:pt idx="7">
                  <c:v>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C-D045-B682-1D7F9A50257A}"/>
            </c:ext>
          </c:extLst>
        </c:ser>
        <c:ser>
          <c:idx val="1"/>
          <c:order val="1"/>
          <c:tx>
            <c:strRef>
              <c:f>SVC_pivot!$S$35:$S$37</c:f>
              <c:strCache>
                <c:ptCount val="1"/>
                <c:pt idx="0">
                  <c:v> AGR - 百融余额/收入&gt;=0.12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SVC_pivot!$Q$38:$Q$45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SVC_pivot!$S$38:$S$45</c:f>
              <c:numCache>
                <c:formatCode>General</c:formatCode>
                <c:ptCount val="8"/>
                <c:pt idx="0">
                  <c:v>340</c:v>
                </c:pt>
                <c:pt idx="1">
                  <c:v>432</c:v>
                </c:pt>
                <c:pt idx="2">
                  <c:v>408</c:v>
                </c:pt>
                <c:pt idx="3">
                  <c:v>466</c:v>
                </c:pt>
                <c:pt idx="4">
                  <c:v>524</c:v>
                </c:pt>
                <c:pt idx="5">
                  <c:v>399</c:v>
                </c:pt>
                <c:pt idx="6">
                  <c:v>347</c:v>
                </c:pt>
                <c:pt idx="7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EC-D045-B682-1D7F9A502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7867136"/>
        <c:axId val="787965632"/>
      </c:barChart>
      <c:lineChart>
        <c:grouping val="standard"/>
        <c:varyColors val="0"/>
        <c:ser>
          <c:idx val="2"/>
          <c:order val="2"/>
          <c:tx>
            <c:strRef>
              <c:f>SVC_pivot!$T$35:$T$37</c:f>
              <c:strCache>
                <c:ptCount val="1"/>
                <c:pt idx="0">
                  <c:v>FSTPD10(%) - 百融余额/收入[0,0.12)/missing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SVC_pivot!$Q$38:$Q$45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SVC_pivot!$T$38:$T$45</c:f>
              <c:numCache>
                <c:formatCode>General</c:formatCode>
                <c:ptCount val="8"/>
                <c:pt idx="0">
                  <c:v>7.7956989247311828E-2</c:v>
                </c:pt>
                <c:pt idx="1">
                  <c:v>8.8211708099438652E-2</c:v>
                </c:pt>
                <c:pt idx="2">
                  <c:v>7.2298943948009745E-2</c:v>
                </c:pt>
                <c:pt idx="3">
                  <c:v>8.844621513944223E-2</c:v>
                </c:pt>
                <c:pt idx="4">
                  <c:v>7.2674418604651167E-2</c:v>
                </c:pt>
                <c:pt idx="5">
                  <c:v>8.6255924170616116E-2</c:v>
                </c:pt>
                <c:pt idx="6">
                  <c:v>0.10423452768729642</c:v>
                </c:pt>
                <c:pt idx="7">
                  <c:v>7.42296918767507E-2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EC-D045-B682-1D7F9A50257A}"/>
            </c:ext>
          </c:extLst>
        </c:ser>
        <c:ser>
          <c:idx val="3"/>
          <c:order val="3"/>
          <c:tx>
            <c:strRef>
              <c:f>SVC_pivot!$U$35:$U$37</c:f>
              <c:strCache>
                <c:ptCount val="1"/>
                <c:pt idx="0">
                  <c:v>FSTPD10(%) - 百融余额/收入&gt;=0.12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SVC_pivot!$Q$38:$Q$45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SVC_pivot!$U$38:$U$45</c:f>
              <c:numCache>
                <c:formatCode>General</c:formatCode>
                <c:ptCount val="8"/>
                <c:pt idx="0">
                  <c:v>4.1176470588235294E-2</c:v>
                </c:pt>
                <c:pt idx="1">
                  <c:v>6.25E-2</c:v>
                </c:pt>
                <c:pt idx="2">
                  <c:v>5.3921568627450983E-2</c:v>
                </c:pt>
                <c:pt idx="3">
                  <c:v>3.8626609442060089E-2</c:v>
                </c:pt>
                <c:pt idx="4">
                  <c:v>3.4351145038167941E-2</c:v>
                </c:pt>
                <c:pt idx="5">
                  <c:v>6.2656641604010022E-2</c:v>
                </c:pt>
                <c:pt idx="6">
                  <c:v>4.8991354466858789E-2</c:v>
                </c:pt>
                <c:pt idx="7">
                  <c:v>5.8608058608058608E-2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EC-D045-B682-1D7F9A502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68672"/>
        <c:axId val="787966208"/>
      </c:lineChart>
      <c:catAx>
        <c:axId val="78786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965632"/>
        <c:crosses val="autoZero"/>
        <c:auto val="1"/>
        <c:lblAlgn val="ctr"/>
        <c:lblOffset val="100"/>
        <c:noMultiLvlLbl val="0"/>
      </c:catAx>
      <c:valAx>
        <c:axId val="7879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7136"/>
        <c:crosses val="autoZero"/>
        <c:crossBetween val="between"/>
      </c:valAx>
      <c:valAx>
        <c:axId val="787966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8672"/>
        <c:crosses val="max"/>
        <c:crossBetween val="between"/>
      </c:valAx>
      <c:catAx>
        <c:axId val="78786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966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0282557681550827E-2"/>
          <c:y val="0.11091954022988508"/>
          <c:w val="0.96810011012113328"/>
          <c:h val="0.128423987477988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Age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681326419563412E-2"/>
          <c:y val="0.21515584818657443"/>
          <c:w val="0.84258934096652549"/>
          <c:h val="0.5749658336332670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SVC_pivot!$AF$3:$AF$5</c:f>
              <c:strCache>
                <c:ptCount val="1"/>
                <c:pt idx="0">
                  <c:v> CNT - 年龄[20,27)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SVC_pivot!$AE$6:$AE$28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SVC_pivot!$AF$6:$AF$28</c:f>
              <c:numCache>
                <c:formatCode>General</c:formatCode>
                <c:ptCount val="23"/>
                <c:pt idx="0">
                  <c:v>897</c:v>
                </c:pt>
                <c:pt idx="1">
                  <c:v>1101</c:v>
                </c:pt>
                <c:pt idx="2">
                  <c:v>1002</c:v>
                </c:pt>
                <c:pt idx="3">
                  <c:v>1117</c:v>
                </c:pt>
                <c:pt idx="4">
                  <c:v>1129</c:v>
                </c:pt>
                <c:pt idx="5">
                  <c:v>926</c:v>
                </c:pt>
                <c:pt idx="6">
                  <c:v>806</c:v>
                </c:pt>
                <c:pt idx="7">
                  <c:v>629</c:v>
                </c:pt>
                <c:pt idx="8">
                  <c:v>121</c:v>
                </c:pt>
                <c:pt idx="9">
                  <c:v>195</c:v>
                </c:pt>
                <c:pt idx="10">
                  <c:v>665</c:v>
                </c:pt>
                <c:pt idx="11">
                  <c:v>958</c:v>
                </c:pt>
                <c:pt idx="12">
                  <c:v>966</c:v>
                </c:pt>
                <c:pt idx="13">
                  <c:v>1004</c:v>
                </c:pt>
                <c:pt idx="14">
                  <c:v>979</c:v>
                </c:pt>
                <c:pt idx="15">
                  <c:v>919</c:v>
                </c:pt>
                <c:pt idx="16">
                  <c:v>896</c:v>
                </c:pt>
                <c:pt idx="17">
                  <c:v>813</c:v>
                </c:pt>
                <c:pt idx="18">
                  <c:v>821</c:v>
                </c:pt>
                <c:pt idx="19">
                  <c:v>909</c:v>
                </c:pt>
                <c:pt idx="20">
                  <c:v>959</c:v>
                </c:pt>
                <c:pt idx="21">
                  <c:v>955</c:v>
                </c:pt>
                <c:pt idx="22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5-3840-BE7B-A4C21025A61C}"/>
            </c:ext>
          </c:extLst>
        </c:ser>
        <c:ser>
          <c:idx val="1"/>
          <c:order val="1"/>
          <c:tx>
            <c:strRef>
              <c:f>SVC_pivot!$AG$3:$AG$5</c:f>
              <c:strCache>
                <c:ptCount val="1"/>
                <c:pt idx="0">
                  <c:v> CNT - 年龄low-20,27-High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SVC_pivot!$AE$6:$AE$28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SVC_pivot!$AG$6:$AG$28</c:f>
              <c:numCache>
                <c:formatCode>General</c:formatCode>
                <c:ptCount val="23"/>
                <c:pt idx="0">
                  <c:v>859</c:v>
                </c:pt>
                <c:pt idx="1">
                  <c:v>906</c:v>
                </c:pt>
                <c:pt idx="2">
                  <c:v>949</c:v>
                </c:pt>
                <c:pt idx="3">
                  <c:v>966</c:v>
                </c:pt>
                <c:pt idx="4">
                  <c:v>1216</c:v>
                </c:pt>
                <c:pt idx="5">
                  <c:v>891</c:v>
                </c:pt>
                <c:pt idx="6">
                  <c:v>797</c:v>
                </c:pt>
                <c:pt idx="7">
                  <c:v>624</c:v>
                </c:pt>
                <c:pt idx="8">
                  <c:v>105</c:v>
                </c:pt>
                <c:pt idx="9">
                  <c:v>196</c:v>
                </c:pt>
                <c:pt idx="10">
                  <c:v>525</c:v>
                </c:pt>
                <c:pt idx="11">
                  <c:v>744</c:v>
                </c:pt>
                <c:pt idx="12">
                  <c:v>755</c:v>
                </c:pt>
                <c:pt idx="13">
                  <c:v>870</c:v>
                </c:pt>
                <c:pt idx="14">
                  <c:v>866</c:v>
                </c:pt>
                <c:pt idx="15">
                  <c:v>723</c:v>
                </c:pt>
                <c:pt idx="16">
                  <c:v>732</c:v>
                </c:pt>
                <c:pt idx="17">
                  <c:v>704</c:v>
                </c:pt>
                <c:pt idx="18">
                  <c:v>664</c:v>
                </c:pt>
                <c:pt idx="19">
                  <c:v>693</c:v>
                </c:pt>
                <c:pt idx="20">
                  <c:v>799</c:v>
                </c:pt>
                <c:pt idx="21">
                  <c:v>769</c:v>
                </c:pt>
                <c:pt idx="22">
                  <c:v>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5-3840-BE7B-A4C21025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7867648"/>
        <c:axId val="787968512"/>
      </c:barChart>
      <c:lineChart>
        <c:grouping val="standard"/>
        <c:varyColors val="0"/>
        <c:ser>
          <c:idx val="2"/>
          <c:order val="2"/>
          <c:tx>
            <c:strRef>
              <c:f>SVC_pivot!$AH$3:$AH$5</c:f>
              <c:strCache>
                <c:ptCount val="1"/>
                <c:pt idx="0">
                  <c:v> 通过率 - 年龄[20,27)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SVC_pivot!$AE$6:$AE$28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SVC_pivot!$AH$6:$AH$28</c:f>
              <c:numCache>
                <c:formatCode>0.00%</c:formatCode>
                <c:ptCount val="23"/>
                <c:pt idx="0">
                  <c:v>0.87290969899665549</c:v>
                </c:pt>
                <c:pt idx="1">
                  <c:v>0.86466848319709355</c:v>
                </c:pt>
                <c:pt idx="2">
                  <c:v>0.86926147704590817</c:v>
                </c:pt>
                <c:pt idx="3">
                  <c:v>0.87108325872873771</c:v>
                </c:pt>
                <c:pt idx="4">
                  <c:v>0.83879539415411863</c:v>
                </c:pt>
                <c:pt idx="5">
                  <c:v>0.84125269978401729</c:v>
                </c:pt>
                <c:pt idx="6">
                  <c:v>0.83374689826302728</c:v>
                </c:pt>
                <c:pt idx="7">
                  <c:v>0.80604133545310019</c:v>
                </c:pt>
                <c:pt idx="8">
                  <c:v>0.80991735537190079</c:v>
                </c:pt>
                <c:pt idx="9">
                  <c:v>0.78974358974358971</c:v>
                </c:pt>
                <c:pt idx="10">
                  <c:v>0.83609022556390977</c:v>
                </c:pt>
                <c:pt idx="11">
                  <c:v>0.80584551148225469</c:v>
                </c:pt>
                <c:pt idx="12">
                  <c:v>0.77639751552795033</c:v>
                </c:pt>
                <c:pt idx="13">
                  <c:v>0.73406374501992033</c:v>
                </c:pt>
                <c:pt idx="14">
                  <c:v>0.72931562819203266</c:v>
                </c:pt>
                <c:pt idx="15">
                  <c:v>0.71926006528835695</c:v>
                </c:pt>
                <c:pt idx="16">
                  <c:v>0.6941964285714286</c:v>
                </c:pt>
                <c:pt idx="17">
                  <c:v>0.68880688806888068</c:v>
                </c:pt>
                <c:pt idx="18">
                  <c:v>0.71863580998781973</c:v>
                </c:pt>
                <c:pt idx="19">
                  <c:v>0.69856985698569862</c:v>
                </c:pt>
                <c:pt idx="20">
                  <c:v>0.73305526590198122</c:v>
                </c:pt>
                <c:pt idx="21">
                  <c:v>0.76544502617801047</c:v>
                </c:pt>
                <c:pt idx="22">
                  <c:v>0.74532224532224534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5-3840-BE7B-A4C21025A61C}"/>
            </c:ext>
          </c:extLst>
        </c:ser>
        <c:ser>
          <c:idx val="3"/>
          <c:order val="3"/>
          <c:tx>
            <c:strRef>
              <c:f>SVC_pivot!$AI$3:$AI$5</c:f>
              <c:strCache>
                <c:ptCount val="1"/>
                <c:pt idx="0">
                  <c:v> 通过率 - 年龄low-20,27-High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SVC_pivot!$AE$6:$AE$28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SVC_pivot!$AI$6:$AI$28</c:f>
              <c:numCache>
                <c:formatCode>0.00%</c:formatCode>
                <c:ptCount val="23"/>
                <c:pt idx="0">
                  <c:v>0.83701979045401631</c:v>
                </c:pt>
                <c:pt idx="1">
                  <c:v>0.85761589403973515</c:v>
                </c:pt>
                <c:pt idx="2">
                  <c:v>0.86090621707060067</c:v>
                </c:pt>
                <c:pt idx="3">
                  <c:v>0.84057971014492749</c:v>
                </c:pt>
                <c:pt idx="4">
                  <c:v>0.83963815789473684</c:v>
                </c:pt>
                <c:pt idx="5">
                  <c:v>0.82379349046015715</c:v>
                </c:pt>
                <c:pt idx="6">
                  <c:v>0.8117942283563363</c:v>
                </c:pt>
                <c:pt idx="7">
                  <c:v>0.82532051282051277</c:v>
                </c:pt>
                <c:pt idx="8">
                  <c:v>0.82857142857142863</c:v>
                </c:pt>
                <c:pt idx="9">
                  <c:v>0.77551020408163263</c:v>
                </c:pt>
                <c:pt idx="10">
                  <c:v>0.79428571428571426</c:v>
                </c:pt>
                <c:pt idx="11">
                  <c:v>0.79838709677419351</c:v>
                </c:pt>
                <c:pt idx="12">
                  <c:v>0.75761589403973506</c:v>
                </c:pt>
                <c:pt idx="13">
                  <c:v>0.72183908045977008</c:v>
                </c:pt>
                <c:pt idx="14">
                  <c:v>0.64665127020785218</c:v>
                </c:pt>
                <c:pt idx="15">
                  <c:v>0.62932226832641769</c:v>
                </c:pt>
                <c:pt idx="16">
                  <c:v>0.65437158469945356</c:v>
                </c:pt>
                <c:pt idx="17">
                  <c:v>0.62073863636363635</c:v>
                </c:pt>
                <c:pt idx="18">
                  <c:v>0.64457831325301207</c:v>
                </c:pt>
                <c:pt idx="19">
                  <c:v>0.62770562770562766</c:v>
                </c:pt>
                <c:pt idx="20">
                  <c:v>0.62703379224030042</c:v>
                </c:pt>
                <c:pt idx="21">
                  <c:v>0.67620286085825743</c:v>
                </c:pt>
                <c:pt idx="22">
                  <c:v>0.67177522349936147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5-3840-BE7B-A4C21025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69184"/>
        <c:axId val="787969088"/>
      </c:lineChart>
      <c:catAx>
        <c:axId val="78786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968512"/>
        <c:crosses val="autoZero"/>
        <c:auto val="1"/>
        <c:lblAlgn val="ctr"/>
        <c:lblOffset val="100"/>
        <c:noMultiLvlLbl val="0"/>
      </c:catAx>
      <c:valAx>
        <c:axId val="787968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7648"/>
        <c:crosses val="autoZero"/>
        <c:crossBetween val="between"/>
      </c:valAx>
      <c:valAx>
        <c:axId val="7879690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9184"/>
        <c:crosses val="max"/>
        <c:crossBetween val="between"/>
      </c:valAx>
      <c:catAx>
        <c:axId val="78786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969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9999999999999989E-2"/>
          <c:y val="0.11630355121564456"/>
          <c:w val="0.9"/>
          <c:h val="6.9869567938907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[评分卡监控报告.xlsm]SVC_pivot!数据透视表16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Age</a:t>
            </a:r>
            <a:endParaRPr lang="zh-CN" altLang="en-US"/>
          </a:p>
        </c:rich>
      </c:tx>
      <c:layout>
        <c:manualLayout>
          <c:xMode val="edge"/>
          <c:yMode val="edge"/>
          <c:x val="0.4720566793403708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2751088698182392E-2"/>
          <c:y val="0.19374477428548578"/>
          <c:w val="0.85069008227904097"/>
          <c:h val="0.5871136606539141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SVC_pivot!$AF$35:$AF$37</c:f>
              <c:strCache>
                <c:ptCount val="1"/>
                <c:pt idx="0">
                  <c:v> AGR - 年龄[20,27)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SVC_pivot!$AE$38:$AE$45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SVC_pivot!$AF$38:$AF$45</c:f>
              <c:numCache>
                <c:formatCode>General</c:formatCode>
                <c:ptCount val="8"/>
                <c:pt idx="0">
                  <c:v>760</c:v>
                </c:pt>
                <c:pt idx="1">
                  <c:v>922</c:v>
                </c:pt>
                <c:pt idx="2">
                  <c:v>838</c:v>
                </c:pt>
                <c:pt idx="3">
                  <c:v>937</c:v>
                </c:pt>
                <c:pt idx="4">
                  <c:v>913</c:v>
                </c:pt>
                <c:pt idx="5">
                  <c:v>740</c:v>
                </c:pt>
                <c:pt idx="6">
                  <c:v>643</c:v>
                </c:pt>
                <c:pt idx="7">
                  <c:v>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A-A74A-97F0-3D2ECECF81B9}"/>
            </c:ext>
          </c:extLst>
        </c:ser>
        <c:ser>
          <c:idx val="1"/>
          <c:order val="1"/>
          <c:tx>
            <c:strRef>
              <c:f>SVC_pivot!$AG$35:$AG$37</c:f>
              <c:strCache>
                <c:ptCount val="1"/>
                <c:pt idx="0">
                  <c:v> AGR - 年龄low-20,27-High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SVC_pivot!$AE$38:$AE$45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SVC_pivot!$AG$38:$AG$45</c:f>
              <c:numCache>
                <c:formatCode>General</c:formatCode>
                <c:ptCount val="8"/>
                <c:pt idx="0">
                  <c:v>696</c:v>
                </c:pt>
                <c:pt idx="1">
                  <c:v>757</c:v>
                </c:pt>
                <c:pt idx="2">
                  <c:v>801</c:v>
                </c:pt>
                <c:pt idx="3">
                  <c:v>784</c:v>
                </c:pt>
                <c:pt idx="4">
                  <c:v>987</c:v>
                </c:pt>
                <c:pt idx="5">
                  <c:v>714</c:v>
                </c:pt>
                <c:pt idx="6">
                  <c:v>625</c:v>
                </c:pt>
                <c:pt idx="7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0A-A74A-97F0-3D2ECECF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7868160"/>
        <c:axId val="787970240"/>
      </c:barChart>
      <c:lineChart>
        <c:grouping val="standard"/>
        <c:varyColors val="0"/>
        <c:ser>
          <c:idx val="2"/>
          <c:order val="2"/>
          <c:tx>
            <c:strRef>
              <c:f>SVC_pivot!$AH$35:$AH$37</c:f>
              <c:strCache>
                <c:ptCount val="1"/>
                <c:pt idx="0">
                  <c:v>FSTPD10(%) - 年龄[20,27)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SVC_pivot!$AE$38:$AE$45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SVC_pivot!$AH$38:$AH$45</c:f>
              <c:numCache>
                <c:formatCode>General</c:formatCode>
                <c:ptCount val="8"/>
                <c:pt idx="0">
                  <c:v>40</c:v>
                </c:pt>
                <c:pt idx="1">
                  <c:v>53</c:v>
                </c:pt>
                <c:pt idx="2">
                  <c:v>36</c:v>
                </c:pt>
                <c:pt idx="3">
                  <c:v>54</c:v>
                </c:pt>
                <c:pt idx="4">
                  <c:v>44</c:v>
                </c:pt>
                <c:pt idx="5">
                  <c:v>42</c:v>
                </c:pt>
                <c:pt idx="6">
                  <c:v>50</c:v>
                </c:pt>
                <c:pt idx="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A74A-97F0-3D2ECECF81B9}"/>
            </c:ext>
          </c:extLst>
        </c:ser>
        <c:ser>
          <c:idx val="3"/>
          <c:order val="3"/>
          <c:tx>
            <c:strRef>
              <c:f>SVC_pivot!$AI$35:$AI$37</c:f>
              <c:strCache>
                <c:ptCount val="1"/>
                <c:pt idx="0">
                  <c:v>FSTPD10(%) - 年龄low-20,27-High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SVC_pivot!$AE$38:$AE$45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SVC_pivot!$AI$38:$AI$45</c:f>
              <c:numCache>
                <c:formatCode>General</c:formatCode>
                <c:ptCount val="8"/>
                <c:pt idx="0">
                  <c:v>61</c:v>
                </c:pt>
                <c:pt idx="1">
                  <c:v>84</c:v>
                </c:pt>
                <c:pt idx="2">
                  <c:v>75</c:v>
                </c:pt>
                <c:pt idx="3">
                  <c:v>75</c:v>
                </c:pt>
                <c:pt idx="4">
                  <c:v>74</c:v>
                </c:pt>
                <c:pt idx="5">
                  <c:v>74</c:v>
                </c:pt>
                <c:pt idx="6">
                  <c:v>63</c:v>
                </c:pt>
                <c:pt idx="7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A74A-97F0-3D2ECECF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976640"/>
        <c:axId val="787970816"/>
      </c:lineChart>
      <c:catAx>
        <c:axId val="78786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970240"/>
        <c:crosses val="autoZero"/>
        <c:auto val="1"/>
        <c:lblAlgn val="ctr"/>
        <c:lblOffset val="100"/>
        <c:noMultiLvlLbl val="0"/>
      </c:catAx>
      <c:valAx>
        <c:axId val="78797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7868160"/>
        <c:crosses val="autoZero"/>
        <c:crossBetween val="between"/>
      </c:valAx>
      <c:valAx>
        <c:axId val="787970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976640"/>
        <c:crosses val="max"/>
        <c:crossBetween val="between"/>
      </c:valAx>
      <c:catAx>
        <c:axId val="78897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7970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6.8385547887683931E-2"/>
          <c:w val="0.96982135110368284"/>
          <c:h val="0.133528551085238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[评分卡监控报告.xlsm]SVC_pivot!数据透视表7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性别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9622009614389593E-2"/>
          <c:y val="0.20926509186351702"/>
          <c:w val="0.8571120142240285"/>
          <c:h val="0.5712956335003579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SVC_pivot!$AL$3:$AL$5</c:f>
              <c:strCache>
                <c:ptCount val="1"/>
                <c:pt idx="0">
                  <c:v> CNT - 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SVC_pivot!$AK$6:$AK$28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SVC_pivot!$AL$6:$AL$28</c:f>
              <c:numCache>
                <c:formatCode>General</c:formatCode>
                <c:ptCount val="23"/>
                <c:pt idx="0">
                  <c:v>419</c:v>
                </c:pt>
                <c:pt idx="1">
                  <c:v>496</c:v>
                </c:pt>
                <c:pt idx="2">
                  <c:v>466</c:v>
                </c:pt>
                <c:pt idx="3">
                  <c:v>454</c:v>
                </c:pt>
                <c:pt idx="4">
                  <c:v>529</c:v>
                </c:pt>
                <c:pt idx="5">
                  <c:v>364</c:v>
                </c:pt>
                <c:pt idx="6">
                  <c:v>294</c:v>
                </c:pt>
                <c:pt idx="7">
                  <c:v>244</c:v>
                </c:pt>
                <c:pt idx="8">
                  <c:v>40</c:v>
                </c:pt>
                <c:pt idx="9">
                  <c:v>77</c:v>
                </c:pt>
                <c:pt idx="10">
                  <c:v>258</c:v>
                </c:pt>
                <c:pt idx="11">
                  <c:v>433</c:v>
                </c:pt>
                <c:pt idx="12">
                  <c:v>380</c:v>
                </c:pt>
                <c:pt idx="13">
                  <c:v>437</c:v>
                </c:pt>
                <c:pt idx="14">
                  <c:v>359</c:v>
                </c:pt>
                <c:pt idx="15">
                  <c:v>364</c:v>
                </c:pt>
                <c:pt idx="16">
                  <c:v>367</c:v>
                </c:pt>
                <c:pt idx="17">
                  <c:v>328</c:v>
                </c:pt>
                <c:pt idx="18">
                  <c:v>338</c:v>
                </c:pt>
                <c:pt idx="19">
                  <c:v>356</c:v>
                </c:pt>
                <c:pt idx="20">
                  <c:v>352</c:v>
                </c:pt>
                <c:pt idx="21">
                  <c:v>372</c:v>
                </c:pt>
                <c:pt idx="22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A-A548-A5D7-E9EEB68F0585}"/>
            </c:ext>
          </c:extLst>
        </c:ser>
        <c:ser>
          <c:idx val="1"/>
          <c:order val="1"/>
          <c:tx>
            <c:strRef>
              <c:f>SVC_pivot!$AM$3:$AM$5</c:f>
              <c:strCache>
                <c:ptCount val="1"/>
                <c:pt idx="0">
                  <c:v> CNT - 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SVC_pivot!$AK$6:$AK$28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SVC_pivot!$AM$6:$AM$28</c:f>
              <c:numCache>
                <c:formatCode>General</c:formatCode>
                <c:ptCount val="23"/>
                <c:pt idx="0">
                  <c:v>1337</c:v>
                </c:pt>
                <c:pt idx="1">
                  <c:v>1511</c:v>
                </c:pt>
                <c:pt idx="2">
                  <c:v>1485</c:v>
                </c:pt>
                <c:pt idx="3">
                  <c:v>1629</c:v>
                </c:pt>
                <c:pt idx="4">
                  <c:v>1816</c:v>
                </c:pt>
                <c:pt idx="5">
                  <c:v>1453</c:v>
                </c:pt>
                <c:pt idx="6">
                  <c:v>1309</c:v>
                </c:pt>
                <c:pt idx="7">
                  <c:v>1009</c:v>
                </c:pt>
                <c:pt idx="8">
                  <c:v>186</c:v>
                </c:pt>
                <c:pt idx="9">
                  <c:v>314</c:v>
                </c:pt>
                <c:pt idx="10">
                  <c:v>932</c:v>
                </c:pt>
                <c:pt idx="11">
                  <c:v>1269</c:v>
                </c:pt>
                <c:pt idx="12">
                  <c:v>1341</c:v>
                </c:pt>
                <c:pt idx="13">
                  <c:v>1437</c:v>
                </c:pt>
                <c:pt idx="14">
                  <c:v>1486</c:v>
                </c:pt>
                <c:pt idx="15">
                  <c:v>1278</c:v>
                </c:pt>
                <c:pt idx="16">
                  <c:v>1261</c:v>
                </c:pt>
                <c:pt idx="17">
                  <c:v>1189</c:v>
                </c:pt>
                <c:pt idx="18">
                  <c:v>1147</c:v>
                </c:pt>
                <c:pt idx="19">
                  <c:v>1246</c:v>
                </c:pt>
                <c:pt idx="20">
                  <c:v>1406</c:v>
                </c:pt>
                <c:pt idx="21">
                  <c:v>1352</c:v>
                </c:pt>
                <c:pt idx="22">
                  <c:v>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A-A548-A5D7-E9EEB68F0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8978176"/>
        <c:axId val="788866176"/>
      </c:barChart>
      <c:lineChart>
        <c:grouping val="standard"/>
        <c:varyColors val="0"/>
        <c:ser>
          <c:idx val="2"/>
          <c:order val="2"/>
          <c:tx>
            <c:strRef>
              <c:f>SVC_pivot!$AN$3:$AN$5</c:f>
              <c:strCache>
                <c:ptCount val="1"/>
                <c:pt idx="0">
                  <c:v> 通过率 - 男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SVC_pivot!$AK$6:$AK$28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SVC_pivot!$AN$6:$AN$28</c:f>
              <c:numCache>
                <c:formatCode>0.00%</c:formatCode>
                <c:ptCount val="23"/>
                <c:pt idx="0">
                  <c:v>0.8353221957040573</c:v>
                </c:pt>
                <c:pt idx="1">
                  <c:v>0.83064516129032262</c:v>
                </c:pt>
                <c:pt idx="2">
                  <c:v>0.86480686695278974</c:v>
                </c:pt>
                <c:pt idx="3">
                  <c:v>0.83480176211453749</c:v>
                </c:pt>
                <c:pt idx="4">
                  <c:v>0.82419659735349715</c:v>
                </c:pt>
                <c:pt idx="5">
                  <c:v>0.80494505494505497</c:v>
                </c:pt>
                <c:pt idx="6">
                  <c:v>0.82993197278911568</c:v>
                </c:pt>
                <c:pt idx="7">
                  <c:v>0.79098360655737709</c:v>
                </c:pt>
                <c:pt idx="8">
                  <c:v>0.8</c:v>
                </c:pt>
                <c:pt idx="9">
                  <c:v>0.74025974025974028</c:v>
                </c:pt>
                <c:pt idx="10">
                  <c:v>0.79457364341085268</c:v>
                </c:pt>
                <c:pt idx="11">
                  <c:v>0.79214780600461898</c:v>
                </c:pt>
                <c:pt idx="12">
                  <c:v>0.70526315789473681</c:v>
                </c:pt>
                <c:pt idx="13">
                  <c:v>0.63157894736842102</c:v>
                </c:pt>
                <c:pt idx="14">
                  <c:v>0.56545961002785516</c:v>
                </c:pt>
                <c:pt idx="15">
                  <c:v>0.58241758241758246</c:v>
                </c:pt>
                <c:pt idx="16">
                  <c:v>0.5803814713896458</c:v>
                </c:pt>
                <c:pt idx="17">
                  <c:v>0.58231707317073167</c:v>
                </c:pt>
                <c:pt idx="18">
                  <c:v>0.60059171597633132</c:v>
                </c:pt>
                <c:pt idx="19">
                  <c:v>0.5786516853932584</c:v>
                </c:pt>
                <c:pt idx="20">
                  <c:v>0.60795454545454541</c:v>
                </c:pt>
                <c:pt idx="21">
                  <c:v>0.66397849462365588</c:v>
                </c:pt>
                <c:pt idx="22">
                  <c:v>0.58054711246200608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7A-A548-A5D7-E9EEB68F0585}"/>
            </c:ext>
          </c:extLst>
        </c:ser>
        <c:ser>
          <c:idx val="3"/>
          <c:order val="3"/>
          <c:tx>
            <c:strRef>
              <c:f>SVC_pivot!$AO$3:$AO$5</c:f>
              <c:strCache>
                <c:ptCount val="1"/>
                <c:pt idx="0">
                  <c:v> 通过率 - 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SVC_pivot!$AK$6:$AK$28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SVC_pivot!$AO$6:$AO$28</c:f>
              <c:numCache>
                <c:formatCode>0.00%</c:formatCode>
                <c:ptCount val="23"/>
                <c:pt idx="0">
                  <c:v>0.8616305160807779</c:v>
                </c:pt>
                <c:pt idx="1">
                  <c:v>0.87160820648577098</c:v>
                </c:pt>
                <c:pt idx="2">
                  <c:v>0.86531986531986527</c:v>
                </c:pt>
                <c:pt idx="3">
                  <c:v>0.86310620012277472</c:v>
                </c:pt>
                <c:pt idx="4">
                  <c:v>0.84361233480176212</c:v>
                </c:pt>
                <c:pt idx="5">
                  <c:v>0.83964211975223679</c:v>
                </c:pt>
                <c:pt idx="6">
                  <c:v>0.8212375859434683</c:v>
                </c:pt>
                <c:pt idx="7">
                  <c:v>0.82160555004955405</c:v>
                </c:pt>
                <c:pt idx="8">
                  <c:v>0.82258064516129037</c:v>
                </c:pt>
                <c:pt idx="9">
                  <c:v>0.79299363057324845</c:v>
                </c:pt>
                <c:pt idx="10">
                  <c:v>0.82403433476394849</c:v>
                </c:pt>
                <c:pt idx="11">
                  <c:v>0.80614657210401897</c:v>
                </c:pt>
                <c:pt idx="12">
                  <c:v>0.78598061148396714</c:v>
                </c:pt>
                <c:pt idx="13">
                  <c:v>0.75782881002087688</c:v>
                </c:pt>
                <c:pt idx="14">
                  <c:v>0.72072678331090179</c:v>
                </c:pt>
                <c:pt idx="15">
                  <c:v>0.70735524256651017</c:v>
                </c:pt>
                <c:pt idx="16">
                  <c:v>0.70420301348136405</c:v>
                </c:pt>
                <c:pt idx="17">
                  <c:v>0.6778805719091674</c:v>
                </c:pt>
                <c:pt idx="18">
                  <c:v>0.71054925893635568</c:v>
                </c:pt>
                <c:pt idx="19">
                  <c:v>0.69341894060995179</c:v>
                </c:pt>
                <c:pt idx="20">
                  <c:v>0.70412517780938833</c:v>
                </c:pt>
                <c:pt idx="21">
                  <c:v>0.74260355029585801</c:v>
                </c:pt>
                <c:pt idx="22">
                  <c:v>0.74293785310734461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7A-A548-A5D7-E9EEB68F0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978688"/>
        <c:axId val="788866752"/>
      </c:lineChart>
      <c:catAx>
        <c:axId val="78897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866176"/>
        <c:crosses val="autoZero"/>
        <c:auto val="1"/>
        <c:lblAlgn val="ctr"/>
        <c:lblOffset val="100"/>
        <c:noMultiLvlLbl val="0"/>
      </c:catAx>
      <c:valAx>
        <c:axId val="7888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978176"/>
        <c:crosses val="autoZero"/>
        <c:crossBetween val="between"/>
      </c:valAx>
      <c:valAx>
        <c:axId val="78886675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978688"/>
        <c:crosses val="max"/>
        <c:crossBetween val="between"/>
      </c:valAx>
      <c:catAx>
        <c:axId val="788978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886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7383355754365816E-2"/>
          <c:y val="9.5627705627705645E-2"/>
          <c:w val="0.97917195834391668"/>
          <c:h val="0.10065037324879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[评分卡监控报告.xlsm]SVC_pivot!数据透视表17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性别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2933194051619646E-2"/>
          <c:y val="0.23211591044592006"/>
          <c:w val="0.8482303995479914"/>
          <c:h val="0.5656819007284663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SVC_pivot!$AL$35:$AL$37</c:f>
              <c:strCache>
                <c:ptCount val="1"/>
                <c:pt idx="0">
                  <c:v> AGR - 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SVC_pivot!$AK$38:$AK$45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SVC_pivot!$AL$38:$AL$45</c:f>
              <c:numCache>
                <c:formatCode>General</c:formatCode>
                <c:ptCount val="8"/>
                <c:pt idx="0">
                  <c:v>338</c:v>
                </c:pt>
                <c:pt idx="1">
                  <c:v>396</c:v>
                </c:pt>
                <c:pt idx="2">
                  <c:v>395</c:v>
                </c:pt>
                <c:pt idx="3">
                  <c:v>357</c:v>
                </c:pt>
                <c:pt idx="4">
                  <c:v>422</c:v>
                </c:pt>
                <c:pt idx="5">
                  <c:v>283</c:v>
                </c:pt>
                <c:pt idx="6">
                  <c:v>234</c:v>
                </c:pt>
                <c:pt idx="7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3-D84B-B761-192159F16B07}"/>
            </c:ext>
          </c:extLst>
        </c:ser>
        <c:ser>
          <c:idx val="1"/>
          <c:order val="1"/>
          <c:tx>
            <c:strRef>
              <c:f>SVC_pivot!$AM$35:$AM$37</c:f>
              <c:strCache>
                <c:ptCount val="1"/>
                <c:pt idx="0">
                  <c:v> AGR - 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SVC_pivot!$AK$38:$AK$45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SVC_pivot!$AM$38:$AM$45</c:f>
              <c:numCache>
                <c:formatCode>General</c:formatCode>
                <c:ptCount val="8"/>
                <c:pt idx="0">
                  <c:v>1118</c:v>
                </c:pt>
                <c:pt idx="1">
                  <c:v>1283</c:v>
                </c:pt>
                <c:pt idx="2">
                  <c:v>1244</c:v>
                </c:pt>
                <c:pt idx="3">
                  <c:v>1364</c:v>
                </c:pt>
                <c:pt idx="4">
                  <c:v>1478</c:v>
                </c:pt>
                <c:pt idx="5">
                  <c:v>1171</c:v>
                </c:pt>
                <c:pt idx="6">
                  <c:v>1034</c:v>
                </c:pt>
                <c:pt idx="7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3-D84B-B761-192159F1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221312"/>
        <c:axId val="788867904"/>
      </c:barChart>
      <c:lineChart>
        <c:grouping val="standard"/>
        <c:varyColors val="0"/>
        <c:ser>
          <c:idx val="2"/>
          <c:order val="2"/>
          <c:tx>
            <c:strRef>
              <c:f>SVC_pivot!$AN$35:$AN$37</c:f>
              <c:strCache>
                <c:ptCount val="1"/>
                <c:pt idx="0">
                  <c:v>FSTPD10(%) - 男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SVC_pivot!$AK$38:$AK$45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SVC_pivot!$AN$38:$AN$45</c:f>
              <c:numCache>
                <c:formatCode>General</c:formatCode>
                <c:ptCount val="8"/>
                <c:pt idx="0">
                  <c:v>6.8047337278106509E-2</c:v>
                </c:pt>
                <c:pt idx="1">
                  <c:v>5.3030303030303032E-2</c:v>
                </c:pt>
                <c:pt idx="2">
                  <c:v>6.5822784810126586E-2</c:v>
                </c:pt>
                <c:pt idx="3">
                  <c:v>7.2829131652661069E-2</c:v>
                </c:pt>
                <c:pt idx="4">
                  <c:v>6.398104265402843E-2</c:v>
                </c:pt>
                <c:pt idx="5">
                  <c:v>6.3604240282685506E-2</c:v>
                </c:pt>
                <c:pt idx="6">
                  <c:v>0.11965811965811966</c:v>
                </c:pt>
                <c:pt idx="7">
                  <c:v>7.567567567567568E-2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F3-D84B-B761-192159F16B07}"/>
            </c:ext>
          </c:extLst>
        </c:ser>
        <c:ser>
          <c:idx val="3"/>
          <c:order val="3"/>
          <c:tx>
            <c:strRef>
              <c:f>SVC_pivot!$AO$35:$AO$37</c:f>
              <c:strCache>
                <c:ptCount val="1"/>
                <c:pt idx="0">
                  <c:v>FSTPD10(%) - 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SVC_pivot!$AK$38:$AK$45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SVC_pivot!$AO$38:$AO$45</c:f>
              <c:numCache>
                <c:formatCode>General</c:formatCode>
                <c:ptCount val="8"/>
                <c:pt idx="0">
                  <c:v>6.9767441860465115E-2</c:v>
                </c:pt>
                <c:pt idx="1">
                  <c:v>9.041309431021044E-2</c:v>
                </c:pt>
                <c:pt idx="2">
                  <c:v>6.8327974276527328E-2</c:v>
                </c:pt>
                <c:pt idx="3">
                  <c:v>7.5513196480938419E-2</c:v>
                </c:pt>
                <c:pt idx="4">
                  <c:v>6.1569688768606225E-2</c:v>
                </c:pt>
                <c:pt idx="5">
                  <c:v>8.3689154568744664E-2</c:v>
                </c:pt>
                <c:pt idx="6">
                  <c:v>8.2205029013539654E-2</c:v>
                </c:pt>
                <c:pt idx="7">
                  <c:v>6.8578553615960103E-2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F3-D84B-B761-192159F1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21824"/>
        <c:axId val="788868480"/>
      </c:lineChart>
      <c:catAx>
        <c:axId val="79022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867904"/>
        <c:crosses val="autoZero"/>
        <c:auto val="1"/>
        <c:lblAlgn val="ctr"/>
        <c:lblOffset val="100"/>
        <c:noMultiLvlLbl val="0"/>
      </c:catAx>
      <c:valAx>
        <c:axId val="7888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1312"/>
        <c:crosses val="autoZero"/>
        <c:crossBetween val="between"/>
      </c:valAx>
      <c:valAx>
        <c:axId val="788868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1824"/>
        <c:crosses val="max"/>
        <c:crossBetween val="between"/>
      </c:valAx>
      <c:catAx>
        <c:axId val="790221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8868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0411373797299114E-2"/>
          <c:y val="0.10095735422106179"/>
          <c:w val="0.68992403644008404"/>
          <c:h val="6.62488798240980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[评分卡监控报告.xlsm]SVC_pivot!数据透视表8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baseline="0"/>
              <a:t>时点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SVC_pivot!$AR$3:$AR$5</c:f>
              <c:strCache>
                <c:ptCount val="1"/>
                <c:pt idx="0">
                  <c:v> CNT - 时点[10,18)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SVC_pivot!$AQ$6:$AQ$28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SVC_pivot!$AR$6:$AR$28</c:f>
              <c:numCache>
                <c:formatCode>General</c:formatCode>
                <c:ptCount val="23"/>
                <c:pt idx="0">
                  <c:v>1295</c:v>
                </c:pt>
                <c:pt idx="1">
                  <c:v>1504</c:v>
                </c:pt>
                <c:pt idx="2">
                  <c:v>1439</c:v>
                </c:pt>
                <c:pt idx="3">
                  <c:v>1534</c:v>
                </c:pt>
                <c:pt idx="4">
                  <c:v>1743</c:v>
                </c:pt>
                <c:pt idx="5">
                  <c:v>1395</c:v>
                </c:pt>
                <c:pt idx="6">
                  <c:v>1255</c:v>
                </c:pt>
                <c:pt idx="7">
                  <c:v>987</c:v>
                </c:pt>
                <c:pt idx="8">
                  <c:v>195</c:v>
                </c:pt>
                <c:pt idx="9">
                  <c:v>324</c:v>
                </c:pt>
                <c:pt idx="10">
                  <c:v>936</c:v>
                </c:pt>
                <c:pt idx="11">
                  <c:v>1344</c:v>
                </c:pt>
                <c:pt idx="12">
                  <c:v>1328</c:v>
                </c:pt>
                <c:pt idx="13">
                  <c:v>1457</c:v>
                </c:pt>
                <c:pt idx="14">
                  <c:v>1260</c:v>
                </c:pt>
                <c:pt idx="15">
                  <c:v>1259</c:v>
                </c:pt>
                <c:pt idx="16">
                  <c:v>1257</c:v>
                </c:pt>
                <c:pt idx="17">
                  <c:v>1420</c:v>
                </c:pt>
                <c:pt idx="18">
                  <c:v>1384</c:v>
                </c:pt>
                <c:pt idx="19">
                  <c:v>1132</c:v>
                </c:pt>
                <c:pt idx="20">
                  <c:v>1168</c:v>
                </c:pt>
                <c:pt idx="21">
                  <c:v>1315</c:v>
                </c:pt>
                <c:pt idx="22">
                  <c:v>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D-464A-B28E-133BE852C954}"/>
            </c:ext>
          </c:extLst>
        </c:ser>
        <c:ser>
          <c:idx val="1"/>
          <c:order val="1"/>
          <c:tx>
            <c:strRef>
              <c:f>SVC_pivot!$AS$3:$AS$5</c:f>
              <c:strCache>
                <c:ptCount val="1"/>
                <c:pt idx="0">
                  <c:v> CNT - 时点low-10,18-High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SVC_pivot!$AQ$6:$AQ$28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SVC_pivot!$AS$6:$AS$28</c:f>
              <c:numCache>
                <c:formatCode>General</c:formatCode>
                <c:ptCount val="23"/>
                <c:pt idx="0">
                  <c:v>461</c:v>
                </c:pt>
                <c:pt idx="1">
                  <c:v>503</c:v>
                </c:pt>
                <c:pt idx="2">
                  <c:v>512</c:v>
                </c:pt>
                <c:pt idx="3">
                  <c:v>549</c:v>
                </c:pt>
                <c:pt idx="4">
                  <c:v>602</c:v>
                </c:pt>
                <c:pt idx="5">
                  <c:v>422</c:v>
                </c:pt>
                <c:pt idx="6">
                  <c:v>348</c:v>
                </c:pt>
                <c:pt idx="7">
                  <c:v>266</c:v>
                </c:pt>
                <c:pt idx="8">
                  <c:v>31</c:v>
                </c:pt>
                <c:pt idx="9">
                  <c:v>67</c:v>
                </c:pt>
                <c:pt idx="10">
                  <c:v>254</c:v>
                </c:pt>
                <c:pt idx="11">
                  <c:v>358</c:v>
                </c:pt>
                <c:pt idx="12">
                  <c:v>393</c:v>
                </c:pt>
                <c:pt idx="13">
                  <c:v>417</c:v>
                </c:pt>
                <c:pt idx="14">
                  <c:v>368</c:v>
                </c:pt>
                <c:pt idx="15">
                  <c:v>383</c:v>
                </c:pt>
                <c:pt idx="16">
                  <c:v>345</c:v>
                </c:pt>
                <c:pt idx="17">
                  <c:v>425</c:v>
                </c:pt>
                <c:pt idx="18">
                  <c:v>374</c:v>
                </c:pt>
                <c:pt idx="19">
                  <c:v>385</c:v>
                </c:pt>
                <c:pt idx="20">
                  <c:v>317</c:v>
                </c:pt>
                <c:pt idx="21">
                  <c:v>409</c:v>
                </c:pt>
                <c:pt idx="22">
                  <c:v>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D-464A-B28E-133BE852C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220800"/>
        <c:axId val="788870784"/>
      </c:barChart>
      <c:lineChart>
        <c:grouping val="standard"/>
        <c:varyColors val="0"/>
        <c:ser>
          <c:idx val="2"/>
          <c:order val="2"/>
          <c:tx>
            <c:strRef>
              <c:f>SVC_pivot!$AT$3:$AT$5</c:f>
              <c:strCache>
                <c:ptCount val="1"/>
                <c:pt idx="0">
                  <c:v> 通过率 - 时点[10,18)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SVC_pivot!$AQ$6:$AQ$28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SVC_pivot!$AT$6:$AT$28</c:f>
              <c:numCache>
                <c:formatCode>0.00%</c:formatCode>
                <c:ptCount val="23"/>
                <c:pt idx="0">
                  <c:v>0.84710424710424714</c:v>
                </c:pt>
                <c:pt idx="1">
                  <c:v>0.86369680851063835</c:v>
                </c:pt>
                <c:pt idx="2">
                  <c:v>0.85892981236970123</c:v>
                </c:pt>
                <c:pt idx="3">
                  <c:v>0.85006518904823991</c:v>
                </c:pt>
                <c:pt idx="4">
                  <c:v>0.83132530120481929</c:v>
                </c:pt>
                <c:pt idx="5">
                  <c:v>0.83082437275985666</c:v>
                </c:pt>
                <c:pt idx="6">
                  <c:v>0.81513944223107571</c:v>
                </c:pt>
                <c:pt idx="7">
                  <c:v>0.81053698074974667</c:v>
                </c:pt>
                <c:pt idx="8">
                  <c:v>0.81025641025641026</c:v>
                </c:pt>
                <c:pt idx="9">
                  <c:v>0.79629629629629628</c:v>
                </c:pt>
                <c:pt idx="10">
                  <c:v>0.80982905982905984</c:v>
                </c:pt>
                <c:pt idx="11">
                  <c:v>0.7991071428571429</c:v>
                </c:pt>
                <c:pt idx="12">
                  <c:v>0.76957831325301207</c:v>
                </c:pt>
                <c:pt idx="13">
                  <c:v>0.71859986273164034</c:v>
                </c:pt>
                <c:pt idx="14">
                  <c:v>0.65952380952380951</c:v>
                </c:pt>
                <c:pt idx="15">
                  <c:v>0.66401906274821287</c:v>
                </c:pt>
                <c:pt idx="16">
                  <c:v>0.6595067621320605</c:v>
                </c:pt>
                <c:pt idx="17">
                  <c:v>0.68239436619718308</c:v>
                </c:pt>
                <c:pt idx="18">
                  <c:v>0.6777456647398844</c:v>
                </c:pt>
                <c:pt idx="19">
                  <c:v>0.64840989399293292</c:v>
                </c:pt>
                <c:pt idx="20">
                  <c:v>0.67808219178082196</c:v>
                </c:pt>
                <c:pt idx="21">
                  <c:v>0.71634980988593155</c:v>
                </c:pt>
                <c:pt idx="22">
                  <c:v>0.71033478893740898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1D-464A-B28E-133BE852C954}"/>
            </c:ext>
          </c:extLst>
        </c:ser>
        <c:ser>
          <c:idx val="3"/>
          <c:order val="3"/>
          <c:tx>
            <c:strRef>
              <c:f>SVC_pivot!$AU$3:$AU$5</c:f>
              <c:strCache>
                <c:ptCount val="1"/>
                <c:pt idx="0">
                  <c:v> 通过率 - 时点low-10,18-High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SVC_pivot!$AQ$6:$AQ$28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SVC_pivot!$AU$6:$AU$28</c:f>
              <c:numCache>
                <c:formatCode>0.00%</c:formatCode>
                <c:ptCount val="23"/>
                <c:pt idx="0">
                  <c:v>0.87852494577006512</c:v>
                </c:pt>
                <c:pt idx="1">
                  <c:v>0.85487077534791256</c:v>
                </c:pt>
                <c:pt idx="2">
                  <c:v>0.8828125</c:v>
                </c:pt>
                <c:pt idx="3">
                  <c:v>0.87613843351548271</c:v>
                </c:pt>
                <c:pt idx="4">
                  <c:v>0.86212624584717612</c:v>
                </c:pt>
                <c:pt idx="5">
                  <c:v>0.83886255924170616</c:v>
                </c:pt>
                <c:pt idx="6">
                  <c:v>0.85057471264367812</c:v>
                </c:pt>
                <c:pt idx="7">
                  <c:v>0.83458646616541354</c:v>
                </c:pt>
                <c:pt idx="8">
                  <c:v>0.87096774193548387</c:v>
                </c:pt>
                <c:pt idx="9">
                  <c:v>0.71641791044776115</c:v>
                </c:pt>
                <c:pt idx="10">
                  <c:v>0.84645669291338588</c:v>
                </c:pt>
                <c:pt idx="11">
                  <c:v>0.81564245810055869</c:v>
                </c:pt>
                <c:pt idx="12">
                  <c:v>0.76335877862595425</c:v>
                </c:pt>
                <c:pt idx="13">
                  <c:v>0.76258992805755399</c:v>
                </c:pt>
                <c:pt idx="14">
                  <c:v>0.73369565217391308</c:v>
                </c:pt>
                <c:pt idx="15">
                  <c:v>0.7310704960835509</c:v>
                </c:pt>
                <c:pt idx="16">
                  <c:v>0.6985507246376812</c:v>
                </c:pt>
                <c:pt idx="17">
                  <c:v>0.71764705882352942</c:v>
                </c:pt>
                <c:pt idx="18">
                  <c:v>0.71122994652406413</c:v>
                </c:pt>
                <c:pt idx="19">
                  <c:v>0.68311688311688312</c:v>
                </c:pt>
                <c:pt idx="20">
                  <c:v>0.71293375394321767</c:v>
                </c:pt>
                <c:pt idx="21">
                  <c:v>0.75550122249388751</c:v>
                </c:pt>
                <c:pt idx="22">
                  <c:v>0.71967654986522911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1D-464A-B28E-133BE852C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22336"/>
        <c:axId val="788871360"/>
      </c:lineChart>
      <c:catAx>
        <c:axId val="7902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870784"/>
        <c:crosses val="autoZero"/>
        <c:auto val="1"/>
        <c:lblAlgn val="ctr"/>
        <c:lblOffset val="100"/>
        <c:noMultiLvlLbl val="0"/>
      </c:catAx>
      <c:valAx>
        <c:axId val="78887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0800"/>
        <c:crosses val="autoZero"/>
        <c:crossBetween val="between"/>
      </c:valAx>
      <c:valAx>
        <c:axId val="7888713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2336"/>
        <c:crosses val="max"/>
        <c:crossBetween val="between"/>
      </c:valAx>
      <c:catAx>
        <c:axId val="790222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8871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0636546032707461E-2"/>
          <c:y val="0.11461067366579179"/>
          <c:w val="0.86470447203714917"/>
          <c:h val="8.2568320692196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[评分卡监控报告.xlsm]SVC_pivot!数据透视表18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时点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SVC_pivot!$AR$35:$AR$37</c:f>
              <c:strCache>
                <c:ptCount val="1"/>
                <c:pt idx="0">
                  <c:v> AGR - 时点[10,18)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SVC_pivot!$AQ$38:$AQ$45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SVC_pivot!$AR$38:$AR$45</c:f>
              <c:numCache>
                <c:formatCode>General</c:formatCode>
                <c:ptCount val="8"/>
                <c:pt idx="0">
                  <c:v>1060</c:v>
                </c:pt>
                <c:pt idx="1">
                  <c:v>1257</c:v>
                </c:pt>
                <c:pt idx="2">
                  <c:v>1201</c:v>
                </c:pt>
                <c:pt idx="3">
                  <c:v>1256</c:v>
                </c:pt>
                <c:pt idx="4">
                  <c:v>1399</c:v>
                </c:pt>
                <c:pt idx="5">
                  <c:v>1111</c:v>
                </c:pt>
                <c:pt idx="6">
                  <c:v>985</c:v>
                </c:pt>
                <c:pt idx="7">
                  <c:v>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A-E946-B159-62950C308865}"/>
            </c:ext>
          </c:extLst>
        </c:ser>
        <c:ser>
          <c:idx val="1"/>
          <c:order val="1"/>
          <c:tx>
            <c:strRef>
              <c:f>SVC_pivot!$AS$35:$AS$37</c:f>
              <c:strCache>
                <c:ptCount val="1"/>
                <c:pt idx="0">
                  <c:v> AGR - 时点low-10,18-High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SVC_pivot!$AQ$38:$AQ$45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SVC_pivot!$AS$38:$AS$45</c:f>
              <c:numCache>
                <c:formatCode>General</c:formatCode>
                <c:ptCount val="8"/>
                <c:pt idx="0">
                  <c:v>396</c:v>
                </c:pt>
                <c:pt idx="1">
                  <c:v>422</c:v>
                </c:pt>
                <c:pt idx="2">
                  <c:v>438</c:v>
                </c:pt>
                <c:pt idx="3">
                  <c:v>465</c:v>
                </c:pt>
                <c:pt idx="4">
                  <c:v>501</c:v>
                </c:pt>
                <c:pt idx="5">
                  <c:v>343</c:v>
                </c:pt>
                <c:pt idx="6">
                  <c:v>283</c:v>
                </c:pt>
                <c:pt idx="7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6A-E946-B159-62950C308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8977152"/>
        <c:axId val="788872512"/>
      </c:barChart>
      <c:lineChart>
        <c:grouping val="standard"/>
        <c:varyColors val="0"/>
        <c:ser>
          <c:idx val="2"/>
          <c:order val="2"/>
          <c:tx>
            <c:strRef>
              <c:f>SVC_pivot!$AT$35:$AT$37</c:f>
              <c:strCache>
                <c:ptCount val="1"/>
                <c:pt idx="0">
                  <c:v>FSTPD10(%) - 时点[10,18)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SVC_pivot!$AQ$38:$AQ$45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SVC_pivot!$AT$38:$AT$45</c:f>
              <c:numCache>
                <c:formatCode>General</c:formatCode>
                <c:ptCount val="8"/>
                <c:pt idx="0">
                  <c:v>7.5471698113207544E-2</c:v>
                </c:pt>
                <c:pt idx="1">
                  <c:v>8.5918854415274457E-2</c:v>
                </c:pt>
                <c:pt idx="2">
                  <c:v>7.3272273105745217E-2</c:v>
                </c:pt>
                <c:pt idx="3">
                  <c:v>8.4394904458598721E-2</c:v>
                </c:pt>
                <c:pt idx="4">
                  <c:v>6.0757684060042887E-2</c:v>
                </c:pt>
                <c:pt idx="5">
                  <c:v>8.3708370837083712E-2</c:v>
                </c:pt>
                <c:pt idx="6">
                  <c:v>9.847715736040609E-2</c:v>
                </c:pt>
                <c:pt idx="7">
                  <c:v>6.9010416666666671E-2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6A-E946-B159-62950C308865}"/>
            </c:ext>
          </c:extLst>
        </c:ser>
        <c:ser>
          <c:idx val="3"/>
          <c:order val="3"/>
          <c:tx>
            <c:strRef>
              <c:f>SVC_pivot!$AU$35:$AU$37</c:f>
              <c:strCache>
                <c:ptCount val="1"/>
                <c:pt idx="0">
                  <c:v>FSTPD10(%) - 时点low-10,18-High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SVC_pivot!$AQ$38:$AQ$45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SVC_pivot!$AU$38:$AU$45</c:f>
              <c:numCache>
                <c:formatCode>General</c:formatCode>
                <c:ptCount val="8"/>
                <c:pt idx="0">
                  <c:v>5.3030303030303032E-2</c:v>
                </c:pt>
                <c:pt idx="1">
                  <c:v>6.8720379146919433E-2</c:v>
                </c:pt>
                <c:pt idx="2">
                  <c:v>5.2511415525114152E-2</c:v>
                </c:pt>
                <c:pt idx="3">
                  <c:v>4.9462365591397849E-2</c:v>
                </c:pt>
                <c:pt idx="4">
                  <c:v>6.5868263473053898E-2</c:v>
                </c:pt>
                <c:pt idx="5">
                  <c:v>6.7055393586005832E-2</c:v>
                </c:pt>
                <c:pt idx="6">
                  <c:v>5.6537102473498232E-2</c:v>
                </c:pt>
                <c:pt idx="7">
                  <c:v>7.3059360730593603E-2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6A-E946-B159-62950C308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23872"/>
        <c:axId val="790454272"/>
      </c:lineChart>
      <c:catAx>
        <c:axId val="78897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872512"/>
        <c:crosses val="autoZero"/>
        <c:auto val="1"/>
        <c:lblAlgn val="ctr"/>
        <c:lblOffset val="100"/>
        <c:noMultiLvlLbl val="0"/>
      </c:catAx>
      <c:valAx>
        <c:axId val="78887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977152"/>
        <c:crosses val="autoZero"/>
        <c:crossBetween val="between"/>
      </c:valAx>
      <c:valAx>
        <c:axId val="790454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3872"/>
        <c:crosses val="max"/>
        <c:crossBetween val="between"/>
      </c:valAx>
      <c:catAx>
        <c:axId val="790223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0454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[评分卡监控报告.xlsm]SVC_pivot!数据透视表9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baseline="0"/>
              <a:t>学历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SVC_pivot!$AX$3:$AX$5</c:f>
              <c:strCache>
                <c:ptCount val="1"/>
                <c:pt idx="0">
                  <c:v> CNT - 学历本科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SVC_pivot!$AX$6:$AX$28</c:f>
              <c:numCache>
                <c:formatCode>General</c:formatCode>
                <c:ptCount val="23"/>
                <c:pt idx="0">
                  <c:v>148</c:v>
                </c:pt>
                <c:pt idx="1">
                  <c:v>184</c:v>
                </c:pt>
                <c:pt idx="2">
                  <c:v>202</c:v>
                </c:pt>
                <c:pt idx="3">
                  <c:v>216</c:v>
                </c:pt>
                <c:pt idx="4">
                  <c:v>234</c:v>
                </c:pt>
                <c:pt idx="5">
                  <c:v>157</c:v>
                </c:pt>
                <c:pt idx="6">
                  <c:v>136</c:v>
                </c:pt>
                <c:pt idx="7">
                  <c:v>97</c:v>
                </c:pt>
                <c:pt idx="8">
                  <c:v>35</c:v>
                </c:pt>
                <c:pt idx="9">
                  <c:v>35</c:v>
                </c:pt>
                <c:pt idx="10">
                  <c:v>91</c:v>
                </c:pt>
                <c:pt idx="11">
                  <c:v>137</c:v>
                </c:pt>
                <c:pt idx="12">
                  <c:v>150</c:v>
                </c:pt>
                <c:pt idx="13">
                  <c:v>152</c:v>
                </c:pt>
                <c:pt idx="14">
                  <c:v>142</c:v>
                </c:pt>
                <c:pt idx="15">
                  <c:v>132</c:v>
                </c:pt>
                <c:pt idx="16">
                  <c:v>118</c:v>
                </c:pt>
                <c:pt idx="17">
                  <c:v>152</c:v>
                </c:pt>
                <c:pt idx="18">
                  <c:v>120</c:v>
                </c:pt>
                <c:pt idx="19">
                  <c:v>117</c:v>
                </c:pt>
                <c:pt idx="20">
                  <c:v>110</c:v>
                </c:pt>
                <c:pt idx="21">
                  <c:v>135</c:v>
                </c:pt>
                <c:pt idx="22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5-5F40-B887-1B4CF53C494D}"/>
            </c:ext>
          </c:extLst>
        </c:ser>
        <c:ser>
          <c:idx val="1"/>
          <c:order val="1"/>
          <c:tx>
            <c:strRef>
              <c:f>SVC_pivot!$AY$3:$AY$5</c:f>
              <c:strCache>
                <c:ptCount val="1"/>
                <c:pt idx="0">
                  <c:v> CNT - 学历其他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SVC_pivot!$AY$6:$AY$28</c:f>
              <c:numCache>
                <c:formatCode>General</c:formatCode>
                <c:ptCount val="23"/>
                <c:pt idx="0">
                  <c:v>367</c:v>
                </c:pt>
                <c:pt idx="1">
                  <c:v>388</c:v>
                </c:pt>
                <c:pt idx="2">
                  <c:v>359</c:v>
                </c:pt>
                <c:pt idx="3">
                  <c:v>351</c:v>
                </c:pt>
                <c:pt idx="4">
                  <c:v>501</c:v>
                </c:pt>
                <c:pt idx="5">
                  <c:v>373</c:v>
                </c:pt>
                <c:pt idx="6">
                  <c:v>327</c:v>
                </c:pt>
                <c:pt idx="7">
                  <c:v>286</c:v>
                </c:pt>
                <c:pt idx="8">
                  <c:v>48</c:v>
                </c:pt>
                <c:pt idx="9">
                  <c:v>86</c:v>
                </c:pt>
                <c:pt idx="10">
                  <c:v>259</c:v>
                </c:pt>
                <c:pt idx="11">
                  <c:v>349</c:v>
                </c:pt>
                <c:pt idx="12">
                  <c:v>346</c:v>
                </c:pt>
                <c:pt idx="13">
                  <c:v>395</c:v>
                </c:pt>
                <c:pt idx="14">
                  <c:v>312</c:v>
                </c:pt>
                <c:pt idx="15">
                  <c:v>332</c:v>
                </c:pt>
                <c:pt idx="16">
                  <c:v>312</c:v>
                </c:pt>
                <c:pt idx="17">
                  <c:v>394</c:v>
                </c:pt>
                <c:pt idx="18">
                  <c:v>354</c:v>
                </c:pt>
                <c:pt idx="19">
                  <c:v>333</c:v>
                </c:pt>
                <c:pt idx="20">
                  <c:v>304</c:v>
                </c:pt>
                <c:pt idx="21">
                  <c:v>360</c:v>
                </c:pt>
                <c:pt idx="22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E5-5F40-B887-1B4CF53C494D}"/>
            </c:ext>
          </c:extLst>
        </c:ser>
        <c:ser>
          <c:idx val="2"/>
          <c:order val="2"/>
          <c:tx>
            <c:strRef>
              <c:f>SVC_pivot!$AZ$3:$AZ$5</c:f>
              <c:strCache>
                <c:ptCount val="1"/>
                <c:pt idx="0">
                  <c:v> CNT - 学历硕大中专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SVC_pivot!$AZ$6:$AZ$28</c:f>
              <c:numCache>
                <c:formatCode>General</c:formatCode>
                <c:ptCount val="23"/>
                <c:pt idx="0">
                  <c:v>1241</c:v>
                </c:pt>
                <c:pt idx="1">
                  <c:v>1435</c:v>
                </c:pt>
                <c:pt idx="2">
                  <c:v>1390</c:v>
                </c:pt>
                <c:pt idx="3">
                  <c:v>1516</c:v>
                </c:pt>
                <c:pt idx="4">
                  <c:v>1610</c:v>
                </c:pt>
                <c:pt idx="5">
                  <c:v>1287</c:v>
                </c:pt>
                <c:pt idx="6">
                  <c:v>1140</c:v>
                </c:pt>
                <c:pt idx="7">
                  <c:v>870</c:v>
                </c:pt>
                <c:pt idx="8">
                  <c:v>143</c:v>
                </c:pt>
                <c:pt idx="9">
                  <c:v>270</c:v>
                </c:pt>
                <c:pt idx="10">
                  <c:v>840</c:v>
                </c:pt>
                <c:pt idx="11">
                  <c:v>1216</c:v>
                </c:pt>
                <c:pt idx="12">
                  <c:v>1225</c:v>
                </c:pt>
                <c:pt idx="13">
                  <c:v>1327</c:v>
                </c:pt>
                <c:pt idx="14">
                  <c:v>1174</c:v>
                </c:pt>
                <c:pt idx="15">
                  <c:v>1178</c:v>
                </c:pt>
                <c:pt idx="16">
                  <c:v>1172</c:v>
                </c:pt>
                <c:pt idx="17">
                  <c:v>1299</c:v>
                </c:pt>
                <c:pt idx="18">
                  <c:v>1284</c:v>
                </c:pt>
                <c:pt idx="19">
                  <c:v>1067</c:v>
                </c:pt>
                <c:pt idx="20">
                  <c:v>1071</c:v>
                </c:pt>
                <c:pt idx="21">
                  <c:v>1229</c:v>
                </c:pt>
                <c:pt idx="22">
                  <c:v>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E5-5F40-B887-1B4CF53C4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224384"/>
        <c:axId val="790457728"/>
      </c:barChart>
      <c:lineChart>
        <c:grouping val="standard"/>
        <c:varyColors val="0"/>
        <c:ser>
          <c:idx val="3"/>
          <c:order val="3"/>
          <c:tx>
            <c:strRef>
              <c:f>SVC_pivot!$BA$3:$BA$5</c:f>
              <c:strCache>
                <c:ptCount val="1"/>
                <c:pt idx="0">
                  <c:v> 通过率 - 学历本科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SVC_pivot!$BA$6:$BA$28</c:f>
              <c:numCache>
                <c:formatCode>0.00%</c:formatCode>
                <c:ptCount val="23"/>
                <c:pt idx="0">
                  <c:v>0.86486486486486491</c:v>
                </c:pt>
                <c:pt idx="1">
                  <c:v>0.91304347826086951</c:v>
                </c:pt>
                <c:pt idx="2">
                  <c:v>0.88118811881188119</c:v>
                </c:pt>
                <c:pt idx="3">
                  <c:v>0.8842592592592593</c:v>
                </c:pt>
                <c:pt idx="4">
                  <c:v>0.8504273504273504</c:v>
                </c:pt>
                <c:pt idx="5">
                  <c:v>0.87261146496815289</c:v>
                </c:pt>
                <c:pt idx="6">
                  <c:v>0.86764705882352944</c:v>
                </c:pt>
                <c:pt idx="7">
                  <c:v>0.87628865979381443</c:v>
                </c:pt>
                <c:pt idx="8">
                  <c:v>0.8571428571428571</c:v>
                </c:pt>
                <c:pt idx="9">
                  <c:v>0.77142857142857146</c:v>
                </c:pt>
                <c:pt idx="10">
                  <c:v>0.87912087912087911</c:v>
                </c:pt>
                <c:pt idx="11">
                  <c:v>0.83211678832116787</c:v>
                </c:pt>
                <c:pt idx="12">
                  <c:v>0.88</c:v>
                </c:pt>
                <c:pt idx="13">
                  <c:v>0.84210526315789469</c:v>
                </c:pt>
                <c:pt idx="14">
                  <c:v>0.85915492957746475</c:v>
                </c:pt>
                <c:pt idx="15">
                  <c:v>0.93939393939393945</c:v>
                </c:pt>
                <c:pt idx="16">
                  <c:v>0.84745762711864403</c:v>
                </c:pt>
                <c:pt idx="17">
                  <c:v>0.85526315789473684</c:v>
                </c:pt>
                <c:pt idx="18">
                  <c:v>0.85833333333333328</c:v>
                </c:pt>
                <c:pt idx="19">
                  <c:v>0.77777777777777779</c:v>
                </c:pt>
                <c:pt idx="20">
                  <c:v>0.84545454545454546</c:v>
                </c:pt>
                <c:pt idx="21">
                  <c:v>0.85185185185185186</c:v>
                </c:pt>
                <c:pt idx="22">
                  <c:v>0.81196581196581197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E5-5F40-B887-1B4CF53C494D}"/>
            </c:ext>
          </c:extLst>
        </c:ser>
        <c:ser>
          <c:idx val="4"/>
          <c:order val="4"/>
          <c:tx>
            <c:strRef>
              <c:f>SVC_pivot!$BB$3:$BB$5</c:f>
              <c:strCache>
                <c:ptCount val="1"/>
                <c:pt idx="0">
                  <c:v> 通过率 - 学历其他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SVC_pivot!$BB$6:$BB$28</c:f>
              <c:numCache>
                <c:formatCode>0.00%</c:formatCode>
                <c:ptCount val="23"/>
                <c:pt idx="0">
                  <c:v>0.85558583106267028</c:v>
                </c:pt>
                <c:pt idx="1">
                  <c:v>0.82216494845360821</c:v>
                </c:pt>
                <c:pt idx="2">
                  <c:v>0.8607242339832869</c:v>
                </c:pt>
                <c:pt idx="3">
                  <c:v>0.85754985754985757</c:v>
                </c:pt>
                <c:pt idx="4">
                  <c:v>0.81636726546906191</c:v>
                </c:pt>
                <c:pt idx="5">
                  <c:v>0.83109919571045576</c:v>
                </c:pt>
                <c:pt idx="6">
                  <c:v>0.76452599388379205</c:v>
                </c:pt>
                <c:pt idx="7">
                  <c:v>0.80069930069930073</c:v>
                </c:pt>
                <c:pt idx="8">
                  <c:v>0.77083333333333337</c:v>
                </c:pt>
                <c:pt idx="9">
                  <c:v>0.76744186046511631</c:v>
                </c:pt>
                <c:pt idx="10">
                  <c:v>0.7567567567567568</c:v>
                </c:pt>
                <c:pt idx="11">
                  <c:v>0.78796561604584525</c:v>
                </c:pt>
                <c:pt idx="12">
                  <c:v>0.7167630057803468</c:v>
                </c:pt>
                <c:pt idx="13">
                  <c:v>0.65822784810126578</c:v>
                </c:pt>
                <c:pt idx="14">
                  <c:v>0.63461538461538458</c:v>
                </c:pt>
                <c:pt idx="15">
                  <c:v>0.64759036144578308</c:v>
                </c:pt>
                <c:pt idx="16">
                  <c:v>0.57051282051282048</c:v>
                </c:pt>
                <c:pt idx="17">
                  <c:v>0.64720812182741116</c:v>
                </c:pt>
                <c:pt idx="18">
                  <c:v>0.64971751412429379</c:v>
                </c:pt>
                <c:pt idx="19">
                  <c:v>0.60060060060060061</c:v>
                </c:pt>
                <c:pt idx="20">
                  <c:v>0.61184210526315785</c:v>
                </c:pt>
                <c:pt idx="21">
                  <c:v>0.65277777777777779</c:v>
                </c:pt>
                <c:pt idx="22">
                  <c:v>0.69732937685459939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E5-5F40-B887-1B4CF53C494D}"/>
            </c:ext>
          </c:extLst>
        </c:ser>
        <c:ser>
          <c:idx val="5"/>
          <c:order val="5"/>
          <c:tx>
            <c:strRef>
              <c:f>SVC_pivot!$BC$3:$BC$5</c:f>
              <c:strCache>
                <c:ptCount val="1"/>
                <c:pt idx="0">
                  <c:v> 通过率 - 学历硕大中专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SVC_pivot!$AW$6:$AW$28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2017/3/20</c:v>
                </c:pt>
                <c:pt idx="15">
                  <c:v>2017/3/13</c:v>
                </c:pt>
                <c:pt idx="16">
                  <c:v>2017/4/10</c:v>
                </c:pt>
                <c:pt idx="17">
                  <c:v>2017/3/6</c:v>
                </c:pt>
                <c:pt idx="18">
                  <c:v>2017/4/17</c:v>
                </c:pt>
                <c:pt idx="19">
                  <c:v>2017/3/27</c:v>
                </c:pt>
                <c:pt idx="20">
                  <c:v>2017/4/3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SVC_pivot!$BC$6:$BC$28</c:f>
              <c:numCache>
                <c:formatCode>0.00%</c:formatCode>
                <c:ptCount val="23"/>
                <c:pt idx="0">
                  <c:v>0.85414987912973406</c:v>
                </c:pt>
                <c:pt idx="1">
                  <c:v>0.86550522648083628</c:v>
                </c:pt>
                <c:pt idx="2">
                  <c:v>0.86402877697841729</c:v>
                </c:pt>
                <c:pt idx="3">
                  <c:v>0.8529023746701847</c:v>
                </c:pt>
                <c:pt idx="4">
                  <c:v>0.84472049689440998</c:v>
                </c:pt>
                <c:pt idx="5">
                  <c:v>0.82828282828282829</c:v>
                </c:pt>
                <c:pt idx="6">
                  <c:v>0.83421052631578951</c:v>
                </c:pt>
                <c:pt idx="7">
                  <c:v>0.81379310344827582</c:v>
                </c:pt>
                <c:pt idx="8">
                  <c:v>0.82517482517482521</c:v>
                </c:pt>
                <c:pt idx="9">
                  <c:v>0.78888888888888886</c:v>
                </c:pt>
                <c:pt idx="10">
                  <c:v>0.82976190476190481</c:v>
                </c:pt>
                <c:pt idx="11">
                  <c:v>0.80345394736842102</c:v>
                </c:pt>
                <c:pt idx="12">
                  <c:v>0.7689795918367347</c:v>
                </c:pt>
                <c:pt idx="13">
                  <c:v>0.73624717407686513</c:v>
                </c:pt>
                <c:pt idx="14">
                  <c:v>0.66524701873935266</c:v>
                </c:pt>
                <c:pt idx="15">
                  <c:v>0.65959252971137516</c:v>
                </c:pt>
                <c:pt idx="16">
                  <c:v>0.67576791808873715</c:v>
                </c:pt>
                <c:pt idx="17">
                  <c:v>0.68437259430331021</c:v>
                </c:pt>
                <c:pt idx="18">
                  <c:v>0.67834890965732086</c:v>
                </c:pt>
                <c:pt idx="19">
                  <c:v>0.66166822867853792</c:v>
                </c:pt>
                <c:pt idx="20">
                  <c:v>0.69000933706816059</c:v>
                </c:pt>
                <c:pt idx="21">
                  <c:v>0.7331163547599675</c:v>
                </c:pt>
                <c:pt idx="22">
                  <c:v>0.70720371804802473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E5-5F40-B887-1B4CF53C4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45600"/>
        <c:axId val="790458304"/>
      </c:lineChart>
      <c:catAx>
        <c:axId val="79022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457728"/>
        <c:crosses val="autoZero"/>
        <c:auto val="1"/>
        <c:lblAlgn val="ctr"/>
        <c:lblOffset val="100"/>
        <c:noMultiLvlLbl val="0"/>
      </c:catAx>
      <c:valAx>
        <c:axId val="79045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4384"/>
        <c:crosses val="autoZero"/>
        <c:crossBetween val="between"/>
      </c:valAx>
      <c:valAx>
        <c:axId val="7904583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5600"/>
        <c:crosses val="max"/>
        <c:crossBetween val="between"/>
      </c:valAx>
      <c:catAx>
        <c:axId val="79074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0458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[评分卡监控报告.xlsm]SVC_pivot!数据透视表19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baseline="0"/>
              <a:t>学历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SVC_pivot!$AX$35:$AX$37</c:f>
              <c:strCache>
                <c:ptCount val="1"/>
                <c:pt idx="0">
                  <c:v> AGR - 学历本科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SVC_pivot!$AX$38:$AX$45</c:f>
              <c:numCache>
                <c:formatCode>General</c:formatCode>
                <c:ptCount val="8"/>
                <c:pt idx="0">
                  <c:v>121</c:v>
                </c:pt>
                <c:pt idx="1">
                  <c:v>164</c:v>
                </c:pt>
                <c:pt idx="2">
                  <c:v>167</c:v>
                </c:pt>
                <c:pt idx="3">
                  <c:v>182</c:v>
                </c:pt>
                <c:pt idx="4">
                  <c:v>192</c:v>
                </c:pt>
                <c:pt idx="5">
                  <c:v>126</c:v>
                </c:pt>
                <c:pt idx="6">
                  <c:v>106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1-D14E-BF9C-B4E7445CAAF8}"/>
            </c:ext>
          </c:extLst>
        </c:ser>
        <c:ser>
          <c:idx val="1"/>
          <c:order val="1"/>
          <c:tx>
            <c:strRef>
              <c:f>SVC_pivot!$AY$35:$AY$37</c:f>
              <c:strCache>
                <c:ptCount val="1"/>
                <c:pt idx="0">
                  <c:v> AGR - 学历其他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SVC_pivot!$AY$38:$AY$45</c:f>
              <c:numCache>
                <c:formatCode>General</c:formatCode>
                <c:ptCount val="8"/>
                <c:pt idx="0">
                  <c:v>301</c:v>
                </c:pt>
                <c:pt idx="1">
                  <c:v>311</c:v>
                </c:pt>
                <c:pt idx="2">
                  <c:v>300</c:v>
                </c:pt>
                <c:pt idx="3">
                  <c:v>291</c:v>
                </c:pt>
                <c:pt idx="4">
                  <c:v>396</c:v>
                </c:pt>
                <c:pt idx="5">
                  <c:v>304</c:v>
                </c:pt>
                <c:pt idx="6">
                  <c:v>242</c:v>
                </c:pt>
                <c:pt idx="7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1-D14E-BF9C-B4E7445CAAF8}"/>
            </c:ext>
          </c:extLst>
        </c:ser>
        <c:ser>
          <c:idx val="2"/>
          <c:order val="2"/>
          <c:tx>
            <c:strRef>
              <c:f>SVC_pivot!$AZ$35:$AZ$37</c:f>
              <c:strCache>
                <c:ptCount val="1"/>
                <c:pt idx="0">
                  <c:v> AGR - 学历硕大中专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SVC_pivot!$AZ$38:$AZ$45</c:f>
              <c:numCache>
                <c:formatCode>General</c:formatCode>
                <c:ptCount val="8"/>
                <c:pt idx="0">
                  <c:v>1034</c:v>
                </c:pt>
                <c:pt idx="1">
                  <c:v>1204</c:v>
                </c:pt>
                <c:pt idx="2">
                  <c:v>1172</c:v>
                </c:pt>
                <c:pt idx="3">
                  <c:v>1248</c:v>
                </c:pt>
                <c:pt idx="4">
                  <c:v>1312</c:v>
                </c:pt>
                <c:pt idx="5">
                  <c:v>1024</c:v>
                </c:pt>
                <c:pt idx="6">
                  <c:v>920</c:v>
                </c:pt>
                <c:pt idx="7">
                  <c:v>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1-D14E-BF9C-B4E7445C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745088"/>
        <c:axId val="788869056"/>
      </c:barChart>
      <c:lineChart>
        <c:grouping val="standard"/>
        <c:varyColors val="0"/>
        <c:ser>
          <c:idx val="3"/>
          <c:order val="3"/>
          <c:tx>
            <c:strRef>
              <c:f>SVC_pivot!$BA$35:$BA$37</c:f>
              <c:strCache>
                <c:ptCount val="1"/>
                <c:pt idx="0">
                  <c:v>FSTPD10(%) - 学历本科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SVC_pivot!$BA$38:$BA$45</c:f>
              <c:numCache>
                <c:formatCode>General</c:formatCode>
                <c:ptCount val="8"/>
                <c:pt idx="0">
                  <c:v>1.6528925619834711E-2</c:v>
                </c:pt>
                <c:pt idx="1">
                  <c:v>2.4390243902439025E-2</c:v>
                </c:pt>
                <c:pt idx="2">
                  <c:v>1.1976047904191617E-2</c:v>
                </c:pt>
                <c:pt idx="3">
                  <c:v>5.4945054945054949E-3</c:v>
                </c:pt>
                <c:pt idx="4">
                  <c:v>1.5625E-2</c:v>
                </c:pt>
                <c:pt idx="5">
                  <c:v>1.5873015873015872E-2</c:v>
                </c:pt>
                <c:pt idx="6">
                  <c:v>0</c:v>
                </c:pt>
                <c:pt idx="7">
                  <c:v>3.6585365853658534E-2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31-D14E-BF9C-B4E7445CAAF8}"/>
            </c:ext>
          </c:extLst>
        </c:ser>
        <c:ser>
          <c:idx val="4"/>
          <c:order val="4"/>
          <c:tx>
            <c:strRef>
              <c:f>SVC_pivot!$BB$35:$BB$37</c:f>
              <c:strCache>
                <c:ptCount val="1"/>
                <c:pt idx="0">
                  <c:v>FSTPD10(%) - 学历其他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SVC_pivot!$BB$38:$BB$45</c:f>
              <c:numCache>
                <c:formatCode>General</c:formatCode>
                <c:ptCount val="8"/>
                <c:pt idx="0">
                  <c:v>6.3122923588039864E-2</c:v>
                </c:pt>
                <c:pt idx="1">
                  <c:v>9.9678456591639875E-2</c:v>
                </c:pt>
                <c:pt idx="2">
                  <c:v>0.08</c:v>
                </c:pt>
                <c:pt idx="3">
                  <c:v>0.10996563573883161</c:v>
                </c:pt>
                <c:pt idx="4">
                  <c:v>7.575757575757576E-2</c:v>
                </c:pt>
                <c:pt idx="5">
                  <c:v>4.9342105263157895E-2</c:v>
                </c:pt>
                <c:pt idx="6">
                  <c:v>0.10743801652892562</c:v>
                </c:pt>
                <c:pt idx="7">
                  <c:v>8.520179372197309E-2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31-D14E-BF9C-B4E7445CAAF8}"/>
            </c:ext>
          </c:extLst>
        </c:ser>
        <c:ser>
          <c:idx val="5"/>
          <c:order val="5"/>
          <c:tx>
            <c:strRef>
              <c:f>SVC_pivot!$BC$35:$BC$37</c:f>
              <c:strCache>
                <c:ptCount val="1"/>
                <c:pt idx="0">
                  <c:v>FSTPD10(%) - 学历硕大中专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SVC_pivot!$AW$38:$AW$45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SVC_pivot!$BC$38:$BC$45</c:f>
              <c:numCache>
                <c:formatCode>General</c:formatCode>
                <c:ptCount val="8"/>
                <c:pt idx="0">
                  <c:v>7.7369439071566737E-2</c:v>
                </c:pt>
                <c:pt idx="1">
                  <c:v>8.4717607973421927E-2</c:v>
                </c:pt>
                <c:pt idx="2">
                  <c:v>7.252559726962457E-2</c:v>
                </c:pt>
                <c:pt idx="3">
                  <c:v>7.6923076923076927E-2</c:v>
                </c:pt>
                <c:pt idx="4">
                  <c:v>6.4786585365853661E-2</c:v>
                </c:pt>
                <c:pt idx="5">
                  <c:v>9.66796875E-2</c:v>
                </c:pt>
                <c:pt idx="6">
                  <c:v>9.4565217391304343E-2</c:v>
                </c:pt>
                <c:pt idx="7">
                  <c:v>6.89149560117302E-2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31-D14E-BF9C-B4E7445C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222848"/>
        <c:axId val="790458880"/>
      </c:lineChart>
      <c:catAx>
        <c:axId val="79074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869056"/>
        <c:crosses val="autoZero"/>
        <c:auto val="1"/>
        <c:lblAlgn val="ctr"/>
        <c:lblOffset val="100"/>
        <c:noMultiLvlLbl val="0"/>
      </c:catAx>
      <c:valAx>
        <c:axId val="788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5088"/>
        <c:crosses val="autoZero"/>
        <c:crossBetween val="between"/>
      </c:valAx>
      <c:valAx>
        <c:axId val="790458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222848"/>
        <c:crosses val="max"/>
        <c:crossBetween val="between"/>
      </c:valAx>
      <c:catAx>
        <c:axId val="790222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045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[评分卡监控报告.xlsm]SVC_pivot!数据透视表20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</a:t>
            </a:r>
            <a:r>
              <a:rPr lang="zh-CN" altLang="en-US"/>
              <a:t>等分</a:t>
            </a:r>
          </a:p>
        </c:rich>
      </c:tx>
      <c:layout>
        <c:manualLayout>
          <c:xMode val="edge"/>
          <c:yMode val="edge"/>
          <c:x val="0.453536996898736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5680028632784543E-2"/>
          <c:y val="0.18522071393990741"/>
          <c:w val="0.84467890377339194"/>
          <c:h val="0.61992680376108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SVC_pivot!$BF$35:$BF$37</c:f>
              <c:strCache>
                <c:ptCount val="1"/>
                <c:pt idx="0">
                  <c:v> AGR - 1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SVC_pivot!$BF$38:$BF$45</c:f>
              <c:numCache>
                <c:formatCode>General</c:formatCode>
                <c:ptCount val="8"/>
                <c:pt idx="0">
                  <c:v>78</c:v>
                </c:pt>
                <c:pt idx="1">
                  <c:v>111</c:v>
                </c:pt>
                <c:pt idx="2">
                  <c:v>104</c:v>
                </c:pt>
                <c:pt idx="3">
                  <c:v>106</c:v>
                </c:pt>
                <c:pt idx="4">
                  <c:v>127</c:v>
                </c:pt>
                <c:pt idx="5">
                  <c:v>82</c:v>
                </c:pt>
                <c:pt idx="6">
                  <c:v>58</c:v>
                </c:pt>
                <c:pt idx="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4-D842-86E1-F906B61A51D2}"/>
            </c:ext>
          </c:extLst>
        </c:ser>
        <c:ser>
          <c:idx val="1"/>
          <c:order val="1"/>
          <c:tx>
            <c:strRef>
              <c:f>SVC_pivot!$BG$35:$BG$37</c:f>
              <c:strCache>
                <c:ptCount val="1"/>
                <c:pt idx="0">
                  <c:v> AGR - 2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SVC_pivot!$BG$38:$BG$45</c:f>
              <c:numCache>
                <c:formatCode>General</c:formatCode>
                <c:ptCount val="8"/>
                <c:pt idx="0">
                  <c:v>68</c:v>
                </c:pt>
                <c:pt idx="1">
                  <c:v>91</c:v>
                </c:pt>
                <c:pt idx="2">
                  <c:v>89</c:v>
                </c:pt>
                <c:pt idx="3">
                  <c:v>112</c:v>
                </c:pt>
                <c:pt idx="4">
                  <c:v>99</c:v>
                </c:pt>
                <c:pt idx="5">
                  <c:v>79</c:v>
                </c:pt>
                <c:pt idx="6">
                  <c:v>63</c:v>
                </c:pt>
                <c:pt idx="7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4-D842-86E1-F906B61A51D2}"/>
            </c:ext>
          </c:extLst>
        </c:ser>
        <c:ser>
          <c:idx val="2"/>
          <c:order val="2"/>
          <c:tx>
            <c:strRef>
              <c:f>SVC_pivot!$BH$35:$BH$37</c:f>
              <c:strCache>
                <c:ptCount val="1"/>
                <c:pt idx="0">
                  <c:v> AGR - 3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SVC_pivot!$BH$38:$BH$45</c:f>
              <c:numCache>
                <c:formatCode>General</c:formatCode>
                <c:ptCount val="8"/>
                <c:pt idx="0">
                  <c:v>124</c:v>
                </c:pt>
                <c:pt idx="1">
                  <c:v>174</c:v>
                </c:pt>
                <c:pt idx="2">
                  <c:v>138</c:v>
                </c:pt>
                <c:pt idx="3">
                  <c:v>163</c:v>
                </c:pt>
                <c:pt idx="4">
                  <c:v>171</c:v>
                </c:pt>
                <c:pt idx="5">
                  <c:v>135</c:v>
                </c:pt>
                <c:pt idx="6">
                  <c:v>112</c:v>
                </c:pt>
                <c:pt idx="7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4-D842-86E1-F906B61A51D2}"/>
            </c:ext>
          </c:extLst>
        </c:ser>
        <c:ser>
          <c:idx val="3"/>
          <c:order val="3"/>
          <c:tx>
            <c:strRef>
              <c:f>SVC_pivot!$BI$35:$BI$37</c:f>
              <c:strCache>
                <c:ptCount val="1"/>
                <c:pt idx="0">
                  <c:v> AGR - 4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SVC_pivot!$BI$38:$BI$45</c:f>
              <c:numCache>
                <c:formatCode>General</c:formatCode>
                <c:ptCount val="8"/>
                <c:pt idx="0">
                  <c:v>143</c:v>
                </c:pt>
                <c:pt idx="1">
                  <c:v>139</c:v>
                </c:pt>
                <c:pt idx="2">
                  <c:v>144</c:v>
                </c:pt>
                <c:pt idx="3">
                  <c:v>155</c:v>
                </c:pt>
                <c:pt idx="4">
                  <c:v>156</c:v>
                </c:pt>
                <c:pt idx="5">
                  <c:v>122</c:v>
                </c:pt>
                <c:pt idx="6">
                  <c:v>114</c:v>
                </c:pt>
                <c:pt idx="7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4-D842-86E1-F906B61A51D2}"/>
            </c:ext>
          </c:extLst>
        </c:ser>
        <c:ser>
          <c:idx val="4"/>
          <c:order val="4"/>
          <c:tx>
            <c:strRef>
              <c:f>SVC_pivot!$BJ$35:$BJ$37</c:f>
              <c:strCache>
                <c:ptCount val="1"/>
                <c:pt idx="0">
                  <c:v> AGR - 5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SVC_pivot!$BJ$38:$BJ$45</c:f>
              <c:numCache>
                <c:formatCode>General</c:formatCode>
                <c:ptCount val="8"/>
                <c:pt idx="0">
                  <c:v>91</c:v>
                </c:pt>
                <c:pt idx="1">
                  <c:v>90</c:v>
                </c:pt>
                <c:pt idx="2">
                  <c:v>105</c:v>
                </c:pt>
                <c:pt idx="3">
                  <c:v>104</c:v>
                </c:pt>
                <c:pt idx="4">
                  <c:v>83</c:v>
                </c:pt>
                <c:pt idx="5">
                  <c:v>90</c:v>
                </c:pt>
                <c:pt idx="6">
                  <c:v>79</c:v>
                </c:pt>
                <c:pt idx="7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84-D842-86E1-F906B61A51D2}"/>
            </c:ext>
          </c:extLst>
        </c:ser>
        <c:ser>
          <c:idx val="5"/>
          <c:order val="5"/>
          <c:tx>
            <c:strRef>
              <c:f>SVC_pivot!$BK$35:$BK$37</c:f>
              <c:strCache>
                <c:ptCount val="1"/>
                <c:pt idx="0">
                  <c:v> AGR - 6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SVC_pivot!$BK$38:$BK$45</c:f>
              <c:numCache>
                <c:formatCode>General</c:formatCode>
                <c:ptCount val="8"/>
                <c:pt idx="0">
                  <c:v>234</c:v>
                </c:pt>
                <c:pt idx="1">
                  <c:v>282</c:v>
                </c:pt>
                <c:pt idx="2">
                  <c:v>268</c:v>
                </c:pt>
                <c:pt idx="3">
                  <c:v>250</c:v>
                </c:pt>
                <c:pt idx="4">
                  <c:v>302</c:v>
                </c:pt>
                <c:pt idx="5">
                  <c:v>257</c:v>
                </c:pt>
                <c:pt idx="6">
                  <c:v>211</c:v>
                </c:pt>
                <c:pt idx="7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4-D842-86E1-F906B61A51D2}"/>
            </c:ext>
          </c:extLst>
        </c:ser>
        <c:ser>
          <c:idx val="6"/>
          <c:order val="6"/>
          <c:tx>
            <c:strRef>
              <c:f>SVC_pivot!$BL$35:$BL$37</c:f>
              <c:strCache>
                <c:ptCount val="1"/>
                <c:pt idx="0">
                  <c:v> AGR - 7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SVC_pivot!$BL$38:$BL$45</c:f>
              <c:numCache>
                <c:formatCode>General</c:formatCode>
                <c:ptCount val="8"/>
                <c:pt idx="0">
                  <c:v>123</c:v>
                </c:pt>
                <c:pt idx="1">
                  <c:v>142</c:v>
                </c:pt>
                <c:pt idx="2">
                  <c:v>157</c:v>
                </c:pt>
                <c:pt idx="3">
                  <c:v>180</c:v>
                </c:pt>
                <c:pt idx="4">
                  <c:v>159</c:v>
                </c:pt>
                <c:pt idx="5">
                  <c:v>129</c:v>
                </c:pt>
                <c:pt idx="6">
                  <c:v>105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84-D842-86E1-F906B61A51D2}"/>
            </c:ext>
          </c:extLst>
        </c:ser>
        <c:ser>
          <c:idx val="7"/>
          <c:order val="7"/>
          <c:tx>
            <c:strRef>
              <c:f>SVC_pivot!$BM$35:$BM$37</c:f>
              <c:strCache>
                <c:ptCount val="1"/>
                <c:pt idx="0">
                  <c:v> AGR - 8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SVC_pivot!$BM$38:$BM$45</c:f>
              <c:numCache>
                <c:formatCode>General</c:formatCode>
                <c:ptCount val="8"/>
                <c:pt idx="0">
                  <c:v>173</c:v>
                </c:pt>
                <c:pt idx="1">
                  <c:v>191</c:v>
                </c:pt>
                <c:pt idx="2">
                  <c:v>184</c:v>
                </c:pt>
                <c:pt idx="3">
                  <c:v>182</c:v>
                </c:pt>
                <c:pt idx="4">
                  <c:v>227</c:v>
                </c:pt>
                <c:pt idx="5">
                  <c:v>178</c:v>
                </c:pt>
                <c:pt idx="6">
                  <c:v>160</c:v>
                </c:pt>
                <c:pt idx="7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84-D842-86E1-F906B61A51D2}"/>
            </c:ext>
          </c:extLst>
        </c:ser>
        <c:ser>
          <c:idx val="8"/>
          <c:order val="8"/>
          <c:tx>
            <c:strRef>
              <c:f>SVC_pivot!$BN$35:$BN$37</c:f>
              <c:strCache>
                <c:ptCount val="1"/>
                <c:pt idx="0">
                  <c:v> AGR - 9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SVC_pivot!$BN$38:$BN$45</c:f>
              <c:numCache>
                <c:formatCode>General</c:formatCode>
                <c:ptCount val="8"/>
                <c:pt idx="0">
                  <c:v>213</c:v>
                </c:pt>
                <c:pt idx="1">
                  <c:v>207</c:v>
                </c:pt>
                <c:pt idx="2">
                  <c:v>210</c:v>
                </c:pt>
                <c:pt idx="3">
                  <c:v>216</c:v>
                </c:pt>
                <c:pt idx="4">
                  <c:v>284</c:v>
                </c:pt>
                <c:pt idx="5">
                  <c:v>174</c:v>
                </c:pt>
                <c:pt idx="6">
                  <c:v>149</c:v>
                </c:pt>
                <c:pt idx="7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84-D842-86E1-F906B61A51D2}"/>
            </c:ext>
          </c:extLst>
        </c:ser>
        <c:ser>
          <c:idx val="9"/>
          <c:order val="9"/>
          <c:tx>
            <c:strRef>
              <c:f>SVC_pivot!$BO$35:$BO$37</c:f>
              <c:strCache>
                <c:ptCount val="1"/>
                <c:pt idx="0">
                  <c:v> AGR - 10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SVC_pivot!$BO$38:$BO$45</c:f>
              <c:numCache>
                <c:formatCode>General</c:formatCode>
                <c:ptCount val="8"/>
                <c:pt idx="0">
                  <c:v>209</c:v>
                </c:pt>
                <c:pt idx="1">
                  <c:v>252</c:v>
                </c:pt>
                <c:pt idx="2">
                  <c:v>240</c:v>
                </c:pt>
                <c:pt idx="3">
                  <c:v>253</c:v>
                </c:pt>
                <c:pt idx="4">
                  <c:v>292</c:v>
                </c:pt>
                <c:pt idx="5">
                  <c:v>208</c:v>
                </c:pt>
                <c:pt idx="6">
                  <c:v>217</c:v>
                </c:pt>
                <c:pt idx="7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84-D842-86E1-F906B61A5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746624"/>
        <c:axId val="790456000"/>
      </c:barChart>
      <c:lineChart>
        <c:grouping val="standard"/>
        <c:varyColors val="0"/>
        <c:ser>
          <c:idx val="10"/>
          <c:order val="10"/>
          <c:tx>
            <c:strRef>
              <c:f>SVC_pivot!$BP$35:$BP$37</c:f>
              <c:strCache>
                <c:ptCount val="1"/>
                <c:pt idx="0">
                  <c:v>FSTPD10(%) - 1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SVC_pivot!$BP$38:$BP$45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1.8867924528301886E-2</c:v>
                </c:pt>
                <c:pt idx="4">
                  <c:v>7.874015748031496E-3</c:v>
                </c:pt>
                <c:pt idx="5">
                  <c:v>1.2195121951219513E-2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284-D842-86E1-F906B61A51D2}"/>
            </c:ext>
          </c:extLst>
        </c:ser>
        <c:ser>
          <c:idx val="11"/>
          <c:order val="11"/>
          <c:tx>
            <c:strRef>
              <c:f>SVC_pivot!$BQ$35:$BQ$37</c:f>
              <c:strCache>
                <c:ptCount val="1"/>
                <c:pt idx="0">
                  <c:v>FSTPD10(%) - 2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SVC_pivot!$BQ$38:$BQ$45</c:f>
              <c:numCache>
                <c:formatCode>General</c:formatCode>
                <c:ptCount val="8"/>
                <c:pt idx="0">
                  <c:v>0</c:v>
                </c:pt>
                <c:pt idx="1">
                  <c:v>3.2967032967032968E-2</c:v>
                </c:pt>
                <c:pt idx="2">
                  <c:v>0</c:v>
                </c:pt>
                <c:pt idx="3">
                  <c:v>0</c:v>
                </c:pt>
                <c:pt idx="4">
                  <c:v>2.0202020202020204E-2</c:v>
                </c:pt>
                <c:pt idx="5">
                  <c:v>1.2658227848101266E-2</c:v>
                </c:pt>
                <c:pt idx="6">
                  <c:v>1.5873015873015872E-2</c:v>
                </c:pt>
                <c:pt idx="7">
                  <c:v>6.25E-2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284-D842-86E1-F906B61A51D2}"/>
            </c:ext>
          </c:extLst>
        </c:ser>
        <c:ser>
          <c:idx val="12"/>
          <c:order val="12"/>
          <c:tx>
            <c:strRef>
              <c:f>SVC_pivot!$BR$35:$BR$37</c:f>
              <c:strCache>
                <c:ptCount val="1"/>
                <c:pt idx="0">
                  <c:v>FSTPD10(%) - 3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SVC_pivot!$BR$38:$BR$45</c:f>
              <c:numCache>
                <c:formatCode>General</c:formatCode>
                <c:ptCount val="8"/>
                <c:pt idx="0">
                  <c:v>2.4193548387096774E-2</c:v>
                </c:pt>
                <c:pt idx="1">
                  <c:v>1.1494252873563218E-2</c:v>
                </c:pt>
                <c:pt idx="2">
                  <c:v>4.3478260869565216E-2</c:v>
                </c:pt>
                <c:pt idx="3">
                  <c:v>4.2944785276073622E-2</c:v>
                </c:pt>
                <c:pt idx="4">
                  <c:v>1.1695906432748537E-2</c:v>
                </c:pt>
                <c:pt idx="5">
                  <c:v>2.9629629629629631E-2</c:v>
                </c:pt>
                <c:pt idx="6">
                  <c:v>4.4642857142857144E-2</c:v>
                </c:pt>
                <c:pt idx="7">
                  <c:v>1.1494252873563218E-2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284-D842-86E1-F906B61A51D2}"/>
            </c:ext>
          </c:extLst>
        </c:ser>
        <c:ser>
          <c:idx val="13"/>
          <c:order val="13"/>
          <c:tx>
            <c:strRef>
              <c:f>SVC_pivot!$BS$35:$BS$37</c:f>
              <c:strCache>
                <c:ptCount val="1"/>
                <c:pt idx="0">
                  <c:v>FSTPD10(%) - 4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SVC_pivot!$BS$38:$BS$45</c:f>
              <c:numCache>
                <c:formatCode>General</c:formatCode>
                <c:ptCount val="8"/>
                <c:pt idx="0">
                  <c:v>2.097902097902098E-2</c:v>
                </c:pt>
                <c:pt idx="1">
                  <c:v>2.1582733812949641E-2</c:v>
                </c:pt>
                <c:pt idx="2">
                  <c:v>1.3888888888888888E-2</c:v>
                </c:pt>
                <c:pt idx="3">
                  <c:v>3.2258064516129031E-2</c:v>
                </c:pt>
                <c:pt idx="4">
                  <c:v>2.564102564102564E-2</c:v>
                </c:pt>
                <c:pt idx="5">
                  <c:v>7.3770491803278687E-2</c:v>
                </c:pt>
                <c:pt idx="6">
                  <c:v>2.6315789473684209E-2</c:v>
                </c:pt>
                <c:pt idx="7">
                  <c:v>3.1578947368421054E-2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284-D842-86E1-F906B61A51D2}"/>
            </c:ext>
          </c:extLst>
        </c:ser>
        <c:ser>
          <c:idx val="14"/>
          <c:order val="14"/>
          <c:tx>
            <c:strRef>
              <c:f>SVC_pivot!$BT$35:$BT$37</c:f>
              <c:strCache>
                <c:ptCount val="1"/>
                <c:pt idx="0">
                  <c:v>FSTPD10(%) - 5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SVC_pivot!$BT$38:$BT$45</c:f>
              <c:numCache>
                <c:formatCode>General</c:formatCode>
                <c:ptCount val="8"/>
                <c:pt idx="0">
                  <c:v>3.2967032967032968E-2</c:v>
                </c:pt>
                <c:pt idx="1">
                  <c:v>3.3333333333333333E-2</c:v>
                </c:pt>
                <c:pt idx="2">
                  <c:v>3.8095238095238099E-2</c:v>
                </c:pt>
                <c:pt idx="3">
                  <c:v>3.8461538461538464E-2</c:v>
                </c:pt>
                <c:pt idx="4">
                  <c:v>4.8192771084337352E-2</c:v>
                </c:pt>
                <c:pt idx="5">
                  <c:v>5.5555555555555552E-2</c:v>
                </c:pt>
                <c:pt idx="6">
                  <c:v>7.5949367088607597E-2</c:v>
                </c:pt>
                <c:pt idx="7">
                  <c:v>4.6153846153846156E-2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284-D842-86E1-F906B61A51D2}"/>
            </c:ext>
          </c:extLst>
        </c:ser>
        <c:ser>
          <c:idx val="15"/>
          <c:order val="15"/>
          <c:tx>
            <c:strRef>
              <c:f>SVC_pivot!$BU$35:$BU$37</c:f>
              <c:strCache>
                <c:ptCount val="1"/>
                <c:pt idx="0">
                  <c:v>FSTPD10(%) - 6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SVC_pivot!$BU$38:$BU$45</c:f>
              <c:numCache>
                <c:formatCode>General</c:formatCode>
                <c:ptCount val="8"/>
                <c:pt idx="0">
                  <c:v>5.9829059829059832E-2</c:v>
                </c:pt>
                <c:pt idx="1">
                  <c:v>7.0921985815602842E-2</c:v>
                </c:pt>
                <c:pt idx="2">
                  <c:v>7.0895522388059698E-2</c:v>
                </c:pt>
                <c:pt idx="3">
                  <c:v>4.3999999999999997E-2</c:v>
                </c:pt>
                <c:pt idx="4">
                  <c:v>4.9668874172185427E-2</c:v>
                </c:pt>
                <c:pt idx="5">
                  <c:v>8.171206225680934E-2</c:v>
                </c:pt>
                <c:pt idx="6">
                  <c:v>6.6350710900473939E-2</c:v>
                </c:pt>
                <c:pt idx="7">
                  <c:v>4.6783625730994149E-2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284-D842-86E1-F906B61A51D2}"/>
            </c:ext>
          </c:extLst>
        </c:ser>
        <c:ser>
          <c:idx val="16"/>
          <c:order val="16"/>
          <c:tx>
            <c:strRef>
              <c:f>SVC_pivot!$BV$35:$BV$37</c:f>
              <c:strCache>
                <c:ptCount val="1"/>
                <c:pt idx="0">
                  <c:v>FSTPD10(%) - 7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SVC_pivot!$BV$38:$BV$45</c:f>
              <c:numCache>
                <c:formatCode>General</c:formatCode>
                <c:ptCount val="8"/>
                <c:pt idx="0">
                  <c:v>0.12195121951219512</c:v>
                </c:pt>
                <c:pt idx="1">
                  <c:v>0.11971830985915492</c:v>
                </c:pt>
                <c:pt idx="2">
                  <c:v>8.2802547770700632E-2</c:v>
                </c:pt>
                <c:pt idx="3">
                  <c:v>7.2222222222222215E-2</c:v>
                </c:pt>
                <c:pt idx="4">
                  <c:v>8.8050314465408799E-2</c:v>
                </c:pt>
                <c:pt idx="5">
                  <c:v>0.13178294573643412</c:v>
                </c:pt>
                <c:pt idx="6">
                  <c:v>0.10476190476190476</c:v>
                </c:pt>
                <c:pt idx="7">
                  <c:v>6.097560975609756E-2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284-D842-86E1-F906B61A51D2}"/>
            </c:ext>
          </c:extLst>
        </c:ser>
        <c:ser>
          <c:idx val="17"/>
          <c:order val="17"/>
          <c:tx>
            <c:strRef>
              <c:f>SVC_pivot!$BW$35:$BW$37</c:f>
              <c:strCache>
                <c:ptCount val="1"/>
                <c:pt idx="0">
                  <c:v>FSTPD10(%) - 8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SVC_pivot!$BW$38:$BW$45</c:f>
              <c:numCache>
                <c:formatCode>General</c:formatCode>
                <c:ptCount val="8"/>
                <c:pt idx="0">
                  <c:v>7.5144508670520235E-2</c:v>
                </c:pt>
                <c:pt idx="1">
                  <c:v>9.947643979057591E-2</c:v>
                </c:pt>
                <c:pt idx="2">
                  <c:v>3.8043478260869568E-2</c:v>
                </c:pt>
                <c:pt idx="3">
                  <c:v>0.11538461538461539</c:v>
                </c:pt>
                <c:pt idx="4">
                  <c:v>5.2863436123348019E-2</c:v>
                </c:pt>
                <c:pt idx="5">
                  <c:v>5.6179775280898875E-2</c:v>
                </c:pt>
                <c:pt idx="6">
                  <c:v>0.1125</c:v>
                </c:pt>
                <c:pt idx="7">
                  <c:v>7.3529411764705885E-2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84-D842-86E1-F906B61A51D2}"/>
            </c:ext>
          </c:extLst>
        </c:ser>
        <c:ser>
          <c:idx val="18"/>
          <c:order val="18"/>
          <c:tx>
            <c:strRef>
              <c:f>SVC_pivot!$BX$35:$BX$37</c:f>
              <c:strCache>
                <c:ptCount val="1"/>
                <c:pt idx="0">
                  <c:v>FSTPD10(%) - 9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SVC_pivot!$BX$38:$BX$45</c:f>
              <c:numCache>
                <c:formatCode>General</c:formatCode>
                <c:ptCount val="8"/>
                <c:pt idx="0">
                  <c:v>8.4507042253521125E-2</c:v>
                </c:pt>
                <c:pt idx="1">
                  <c:v>0.10144927536231885</c:v>
                </c:pt>
                <c:pt idx="2">
                  <c:v>6.6666666666666666E-2</c:v>
                </c:pt>
                <c:pt idx="3">
                  <c:v>7.8703703703703706E-2</c:v>
                </c:pt>
                <c:pt idx="4">
                  <c:v>6.3380281690140844E-2</c:v>
                </c:pt>
                <c:pt idx="5">
                  <c:v>8.0459770114942528E-2</c:v>
                </c:pt>
                <c:pt idx="6">
                  <c:v>7.3825503355704702E-2</c:v>
                </c:pt>
                <c:pt idx="7">
                  <c:v>8.771929824561403E-2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84-D842-86E1-F906B61A51D2}"/>
            </c:ext>
          </c:extLst>
        </c:ser>
        <c:ser>
          <c:idx val="19"/>
          <c:order val="19"/>
          <c:tx>
            <c:strRef>
              <c:f>SVC_pivot!$BY$35:$BY$37</c:f>
              <c:strCache>
                <c:ptCount val="1"/>
                <c:pt idx="0">
                  <c:v>FSTPD10(%) - 10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SVC_pivot!$BE$38:$BE$45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SVC_pivot!$BY$38:$BY$45</c:f>
              <c:numCache>
                <c:formatCode>General</c:formatCode>
                <c:ptCount val="8"/>
                <c:pt idx="0">
                  <c:v>0.15311004784688995</c:v>
                </c:pt>
                <c:pt idx="1">
                  <c:v>0.19444444444444445</c:v>
                </c:pt>
                <c:pt idx="2">
                  <c:v>0.19166666666666668</c:v>
                </c:pt>
                <c:pt idx="3">
                  <c:v>0.19367588932806323</c:v>
                </c:pt>
                <c:pt idx="4">
                  <c:v>0.15753424657534246</c:v>
                </c:pt>
                <c:pt idx="5">
                  <c:v>0.16346153846153846</c:v>
                </c:pt>
                <c:pt idx="6">
                  <c:v>0.20276497695852536</c:v>
                </c:pt>
                <c:pt idx="7">
                  <c:v>0.17567567567567569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284-D842-86E1-F906B61A5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47648"/>
        <c:axId val="790459456"/>
      </c:lineChart>
      <c:catAx>
        <c:axId val="79074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456000"/>
        <c:crosses val="autoZero"/>
        <c:auto val="1"/>
        <c:lblAlgn val="ctr"/>
        <c:lblOffset val="100"/>
        <c:noMultiLvlLbl val="0"/>
      </c:catAx>
      <c:valAx>
        <c:axId val="7904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6624"/>
        <c:crosses val="autoZero"/>
        <c:crossBetween val="between"/>
      </c:valAx>
      <c:valAx>
        <c:axId val="790459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7648"/>
        <c:crosses val="max"/>
        <c:crossBetween val="between"/>
      </c:valAx>
      <c:catAx>
        <c:axId val="79074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0459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5934655895285813E-2"/>
          <c:y val="6.2501654739931606E-2"/>
          <c:w val="0.98406535049593646"/>
          <c:h val="0.11108174604375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[评分卡监控报告.xlsm]SVC_pivot!数据透视表10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</a:t>
            </a:r>
            <a:r>
              <a:rPr lang="zh-CN" altLang="en-US"/>
              <a:t>等分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7388608296472899E-2"/>
          <c:y val="0.17731510555045646"/>
          <c:w val="0.84708974955716743"/>
          <c:h val="0.6009419834790590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SVC_pivot!$BF$3:$BF$5</c:f>
              <c:strCache>
                <c:ptCount val="1"/>
                <c:pt idx="0">
                  <c:v> CNT - 1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SVC_pivot!$BF$6:$BF$28</c:f>
              <c:numCache>
                <c:formatCode>General</c:formatCode>
                <c:ptCount val="23"/>
                <c:pt idx="0">
                  <c:v>90</c:v>
                </c:pt>
                <c:pt idx="1">
                  <c:v>123</c:v>
                </c:pt>
                <c:pt idx="2">
                  <c:v>125</c:v>
                </c:pt>
                <c:pt idx="3">
                  <c:v>127</c:v>
                </c:pt>
                <c:pt idx="4">
                  <c:v>156</c:v>
                </c:pt>
                <c:pt idx="5">
                  <c:v>103</c:v>
                </c:pt>
                <c:pt idx="6">
                  <c:v>71</c:v>
                </c:pt>
                <c:pt idx="7">
                  <c:v>43</c:v>
                </c:pt>
                <c:pt idx="8">
                  <c:v>14</c:v>
                </c:pt>
                <c:pt idx="9">
                  <c:v>14</c:v>
                </c:pt>
                <c:pt idx="10">
                  <c:v>42</c:v>
                </c:pt>
                <c:pt idx="11">
                  <c:v>79</c:v>
                </c:pt>
                <c:pt idx="12">
                  <c:v>88</c:v>
                </c:pt>
                <c:pt idx="13">
                  <c:v>69</c:v>
                </c:pt>
                <c:pt idx="14">
                  <c:v>87</c:v>
                </c:pt>
                <c:pt idx="15">
                  <c:v>68</c:v>
                </c:pt>
                <c:pt idx="16">
                  <c:v>67</c:v>
                </c:pt>
                <c:pt idx="17">
                  <c:v>56</c:v>
                </c:pt>
                <c:pt idx="18">
                  <c:v>62</c:v>
                </c:pt>
                <c:pt idx="19">
                  <c:v>56</c:v>
                </c:pt>
                <c:pt idx="20">
                  <c:v>69</c:v>
                </c:pt>
                <c:pt idx="21">
                  <c:v>65</c:v>
                </c:pt>
                <c:pt idx="2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6-AB43-A865-9F9485FBDA4A}"/>
            </c:ext>
          </c:extLst>
        </c:ser>
        <c:ser>
          <c:idx val="1"/>
          <c:order val="1"/>
          <c:tx>
            <c:strRef>
              <c:f>SVC_pivot!$BG$3:$BG$5</c:f>
              <c:strCache>
                <c:ptCount val="1"/>
                <c:pt idx="0">
                  <c:v> CNT - 2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SVC_pivot!$BG$6:$BG$28</c:f>
              <c:numCache>
                <c:formatCode>General</c:formatCode>
                <c:ptCount val="23"/>
                <c:pt idx="0">
                  <c:v>83</c:v>
                </c:pt>
                <c:pt idx="1">
                  <c:v>108</c:v>
                </c:pt>
                <c:pt idx="2">
                  <c:v>99</c:v>
                </c:pt>
                <c:pt idx="3">
                  <c:v>127</c:v>
                </c:pt>
                <c:pt idx="4">
                  <c:v>116</c:v>
                </c:pt>
                <c:pt idx="5">
                  <c:v>95</c:v>
                </c:pt>
                <c:pt idx="6">
                  <c:v>74</c:v>
                </c:pt>
                <c:pt idx="7">
                  <c:v>58</c:v>
                </c:pt>
                <c:pt idx="8">
                  <c:v>9</c:v>
                </c:pt>
                <c:pt idx="9">
                  <c:v>9</c:v>
                </c:pt>
                <c:pt idx="10">
                  <c:v>58</c:v>
                </c:pt>
                <c:pt idx="11">
                  <c:v>87</c:v>
                </c:pt>
                <c:pt idx="12">
                  <c:v>90</c:v>
                </c:pt>
                <c:pt idx="13">
                  <c:v>85</c:v>
                </c:pt>
                <c:pt idx="14">
                  <c:v>88</c:v>
                </c:pt>
                <c:pt idx="15">
                  <c:v>54</c:v>
                </c:pt>
                <c:pt idx="16">
                  <c:v>73</c:v>
                </c:pt>
                <c:pt idx="17">
                  <c:v>53</c:v>
                </c:pt>
                <c:pt idx="18">
                  <c:v>64</c:v>
                </c:pt>
                <c:pt idx="19">
                  <c:v>76</c:v>
                </c:pt>
                <c:pt idx="20">
                  <c:v>67</c:v>
                </c:pt>
                <c:pt idx="21">
                  <c:v>74</c:v>
                </c:pt>
                <c:pt idx="2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36-AB43-A865-9F9485FBDA4A}"/>
            </c:ext>
          </c:extLst>
        </c:ser>
        <c:ser>
          <c:idx val="2"/>
          <c:order val="2"/>
          <c:tx>
            <c:strRef>
              <c:f>SVC_pivot!$BH$3:$BH$5</c:f>
              <c:strCache>
                <c:ptCount val="1"/>
                <c:pt idx="0">
                  <c:v> CNT - 3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SVC_pivot!$BH$6:$BH$28</c:f>
              <c:numCache>
                <c:formatCode>General</c:formatCode>
                <c:ptCount val="23"/>
                <c:pt idx="0">
                  <c:v>142</c:v>
                </c:pt>
                <c:pt idx="1">
                  <c:v>201</c:v>
                </c:pt>
                <c:pt idx="2">
                  <c:v>161</c:v>
                </c:pt>
                <c:pt idx="3">
                  <c:v>184</c:v>
                </c:pt>
                <c:pt idx="4">
                  <c:v>204</c:v>
                </c:pt>
                <c:pt idx="5">
                  <c:v>168</c:v>
                </c:pt>
                <c:pt idx="6">
                  <c:v>136</c:v>
                </c:pt>
                <c:pt idx="7">
                  <c:v>105</c:v>
                </c:pt>
                <c:pt idx="8">
                  <c:v>23</c:v>
                </c:pt>
                <c:pt idx="9">
                  <c:v>33</c:v>
                </c:pt>
                <c:pt idx="10">
                  <c:v>84</c:v>
                </c:pt>
                <c:pt idx="11">
                  <c:v>148</c:v>
                </c:pt>
                <c:pt idx="12">
                  <c:v>141</c:v>
                </c:pt>
                <c:pt idx="13">
                  <c:v>140</c:v>
                </c:pt>
                <c:pt idx="14">
                  <c:v>151</c:v>
                </c:pt>
                <c:pt idx="15">
                  <c:v>129</c:v>
                </c:pt>
                <c:pt idx="16">
                  <c:v>140</c:v>
                </c:pt>
                <c:pt idx="17">
                  <c:v>113</c:v>
                </c:pt>
                <c:pt idx="18">
                  <c:v>123</c:v>
                </c:pt>
                <c:pt idx="19">
                  <c:v>118</c:v>
                </c:pt>
                <c:pt idx="20">
                  <c:v>134</c:v>
                </c:pt>
                <c:pt idx="21">
                  <c:v>148</c:v>
                </c:pt>
                <c:pt idx="2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6-AB43-A865-9F9485FBDA4A}"/>
            </c:ext>
          </c:extLst>
        </c:ser>
        <c:ser>
          <c:idx val="3"/>
          <c:order val="3"/>
          <c:tx>
            <c:strRef>
              <c:f>SVC_pivot!$BI$3:$BI$5</c:f>
              <c:strCache>
                <c:ptCount val="1"/>
                <c:pt idx="0">
                  <c:v> CNT - 4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SVC_pivot!$BI$6:$BI$28</c:f>
              <c:numCache>
                <c:formatCode>General</c:formatCode>
                <c:ptCount val="23"/>
                <c:pt idx="0">
                  <c:v>163</c:v>
                </c:pt>
                <c:pt idx="1">
                  <c:v>165</c:v>
                </c:pt>
                <c:pt idx="2">
                  <c:v>170</c:v>
                </c:pt>
                <c:pt idx="3">
                  <c:v>180</c:v>
                </c:pt>
                <c:pt idx="4">
                  <c:v>195</c:v>
                </c:pt>
                <c:pt idx="5">
                  <c:v>147</c:v>
                </c:pt>
                <c:pt idx="6">
                  <c:v>130</c:v>
                </c:pt>
                <c:pt idx="7">
                  <c:v>111</c:v>
                </c:pt>
                <c:pt idx="8">
                  <c:v>25</c:v>
                </c:pt>
                <c:pt idx="9">
                  <c:v>26</c:v>
                </c:pt>
                <c:pt idx="10">
                  <c:v>109</c:v>
                </c:pt>
                <c:pt idx="11">
                  <c:v>137</c:v>
                </c:pt>
                <c:pt idx="12">
                  <c:v>160</c:v>
                </c:pt>
                <c:pt idx="13">
                  <c:v>170</c:v>
                </c:pt>
                <c:pt idx="14">
                  <c:v>175</c:v>
                </c:pt>
                <c:pt idx="15">
                  <c:v>132</c:v>
                </c:pt>
                <c:pt idx="16">
                  <c:v>143</c:v>
                </c:pt>
                <c:pt idx="17">
                  <c:v>137</c:v>
                </c:pt>
                <c:pt idx="18">
                  <c:v>106</c:v>
                </c:pt>
                <c:pt idx="19">
                  <c:v>115</c:v>
                </c:pt>
                <c:pt idx="20">
                  <c:v>124</c:v>
                </c:pt>
                <c:pt idx="21">
                  <c:v>126</c:v>
                </c:pt>
                <c:pt idx="22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6-AB43-A865-9F9485FBDA4A}"/>
            </c:ext>
          </c:extLst>
        </c:ser>
        <c:ser>
          <c:idx val="4"/>
          <c:order val="4"/>
          <c:tx>
            <c:strRef>
              <c:f>SVC_pivot!$BJ$3:$BJ$5</c:f>
              <c:strCache>
                <c:ptCount val="1"/>
                <c:pt idx="0">
                  <c:v> CNT - 5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SVC_pivot!$BJ$6:$BJ$28</c:f>
              <c:numCache>
                <c:formatCode>General</c:formatCode>
                <c:ptCount val="23"/>
                <c:pt idx="0">
                  <c:v>109</c:v>
                </c:pt>
                <c:pt idx="1">
                  <c:v>107</c:v>
                </c:pt>
                <c:pt idx="2">
                  <c:v>122</c:v>
                </c:pt>
                <c:pt idx="3">
                  <c:v>120</c:v>
                </c:pt>
                <c:pt idx="4">
                  <c:v>110</c:v>
                </c:pt>
                <c:pt idx="5">
                  <c:v>112</c:v>
                </c:pt>
                <c:pt idx="6">
                  <c:v>105</c:v>
                </c:pt>
                <c:pt idx="7">
                  <c:v>84</c:v>
                </c:pt>
                <c:pt idx="8">
                  <c:v>21</c:v>
                </c:pt>
                <c:pt idx="9">
                  <c:v>23</c:v>
                </c:pt>
                <c:pt idx="10">
                  <c:v>117</c:v>
                </c:pt>
                <c:pt idx="11">
                  <c:v>107</c:v>
                </c:pt>
                <c:pt idx="12">
                  <c:v>109</c:v>
                </c:pt>
                <c:pt idx="13">
                  <c:v>101</c:v>
                </c:pt>
                <c:pt idx="14">
                  <c:v>114</c:v>
                </c:pt>
                <c:pt idx="15">
                  <c:v>129</c:v>
                </c:pt>
                <c:pt idx="16">
                  <c:v>101</c:v>
                </c:pt>
                <c:pt idx="17">
                  <c:v>91</c:v>
                </c:pt>
                <c:pt idx="18">
                  <c:v>83</c:v>
                </c:pt>
                <c:pt idx="19">
                  <c:v>110</c:v>
                </c:pt>
                <c:pt idx="20">
                  <c:v>111</c:v>
                </c:pt>
                <c:pt idx="21">
                  <c:v>108</c:v>
                </c:pt>
                <c:pt idx="2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6-AB43-A865-9F9485FBDA4A}"/>
            </c:ext>
          </c:extLst>
        </c:ser>
        <c:ser>
          <c:idx val="5"/>
          <c:order val="5"/>
          <c:tx>
            <c:strRef>
              <c:f>SVC_pivot!$BK$3:$BK$5</c:f>
              <c:strCache>
                <c:ptCount val="1"/>
                <c:pt idx="0">
                  <c:v> CNT - 6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SVC_pivot!$BK$6:$BK$28</c:f>
              <c:numCache>
                <c:formatCode>General</c:formatCode>
                <c:ptCount val="23"/>
                <c:pt idx="0">
                  <c:v>267</c:v>
                </c:pt>
                <c:pt idx="1">
                  <c:v>332</c:v>
                </c:pt>
                <c:pt idx="2">
                  <c:v>308</c:v>
                </c:pt>
                <c:pt idx="3">
                  <c:v>308</c:v>
                </c:pt>
                <c:pt idx="4">
                  <c:v>363</c:v>
                </c:pt>
                <c:pt idx="5">
                  <c:v>296</c:v>
                </c:pt>
                <c:pt idx="6">
                  <c:v>255</c:v>
                </c:pt>
                <c:pt idx="7">
                  <c:v>202</c:v>
                </c:pt>
                <c:pt idx="8">
                  <c:v>36</c:v>
                </c:pt>
                <c:pt idx="9">
                  <c:v>63</c:v>
                </c:pt>
                <c:pt idx="10">
                  <c:v>174</c:v>
                </c:pt>
                <c:pt idx="11">
                  <c:v>266</c:v>
                </c:pt>
                <c:pt idx="12">
                  <c:v>249</c:v>
                </c:pt>
                <c:pt idx="13">
                  <c:v>295</c:v>
                </c:pt>
                <c:pt idx="14">
                  <c:v>238</c:v>
                </c:pt>
                <c:pt idx="15">
                  <c:v>242</c:v>
                </c:pt>
                <c:pt idx="16">
                  <c:v>237</c:v>
                </c:pt>
                <c:pt idx="17">
                  <c:v>197</c:v>
                </c:pt>
                <c:pt idx="18">
                  <c:v>208</c:v>
                </c:pt>
                <c:pt idx="19">
                  <c:v>217</c:v>
                </c:pt>
                <c:pt idx="20">
                  <c:v>245</c:v>
                </c:pt>
                <c:pt idx="21">
                  <c:v>236</c:v>
                </c:pt>
                <c:pt idx="22">
                  <c:v>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6-AB43-A865-9F9485FBDA4A}"/>
            </c:ext>
          </c:extLst>
        </c:ser>
        <c:ser>
          <c:idx val="6"/>
          <c:order val="6"/>
          <c:tx>
            <c:strRef>
              <c:f>SVC_pivot!$BL$3:$BL$5</c:f>
              <c:strCache>
                <c:ptCount val="1"/>
                <c:pt idx="0">
                  <c:v> CNT - 7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SVC_pivot!$BL$6:$BL$28</c:f>
              <c:numCache>
                <c:formatCode>General</c:formatCode>
                <c:ptCount val="23"/>
                <c:pt idx="0">
                  <c:v>156</c:v>
                </c:pt>
                <c:pt idx="1">
                  <c:v>162</c:v>
                </c:pt>
                <c:pt idx="2">
                  <c:v>184</c:v>
                </c:pt>
                <c:pt idx="3">
                  <c:v>216</c:v>
                </c:pt>
                <c:pt idx="4">
                  <c:v>193</c:v>
                </c:pt>
                <c:pt idx="5">
                  <c:v>149</c:v>
                </c:pt>
                <c:pt idx="6">
                  <c:v>130</c:v>
                </c:pt>
                <c:pt idx="7">
                  <c:v>100</c:v>
                </c:pt>
                <c:pt idx="8">
                  <c:v>12</c:v>
                </c:pt>
                <c:pt idx="9">
                  <c:v>34</c:v>
                </c:pt>
                <c:pt idx="10">
                  <c:v>121</c:v>
                </c:pt>
                <c:pt idx="11">
                  <c:v>112</c:v>
                </c:pt>
                <c:pt idx="12">
                  <c:v>122</c:v>
                </c:pt>
                <c:pt idx="13">
                  <c:v>149</c:v>
                </c:pt>
                <c:pt idx="14">
                  <c:v>159</c:v>
                </c:pt>
                <c:pt idx="15">
                  <c:v>135</c:v>
                </c:pt>
                <c:pt idx="16">
                  <c:v>121</c:v>
                </c:pt>
                <c:pt idx="17">
                  <c:v>113</c:v>
                </c:pt>
                <c:pt idx="18">
                  <c:v>122</c:v>
                </c:pt>
                <c:pt idx="19">
                  <c:v>141</c:v>
                </c:pt>
                <c:pt idx="20">
                  <c:v>143</c:v>
                </c:pt>
                <c:pt idx="21">
                  <c:v>114</c:v>
                </c:pt>
                <c:pt idx="22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6-AB43-A865-9F9485FBDA4A}"/>
            </c:ext>
          </c:extLst>
        </c:ser>
        <c:ser>
          <c:idx val="7"/>
          <c:order val="7"/>
          <c:tx>
            <c:strRef>
              <c:f>SVC_pivot!$BM$3:$BM$5</c:f>
              <c:strCache>
                <c:ptCount val="1"/>
                <c:pt idx="0">
                  <c:v> CNT - 8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SVC_pivot!$BM$6:$BM$28</c:f>
              <c:numCache>
                <c:formatCode>General</c:formatCode>
                <c:ptCount val="23"/>
                <c:pt idx="0">
                  <c:v>208</c:v>
                </c:pt>
                <c:pt idx="1">
                  <c:v>225</c:v>
                </c:pt>
                <c:pt idx="2">
                  <c:v>220</c:v>
                </c:pt>
                <c:pt idx="3">
                  <c:v>221</c:v>
                </c:pt>
                <c:pt idx="4">
                  <c:v>279</c:v>
                </c:pt>
                <c:pt idx="5">
                  <c:v>230</c:v>
                </c:pt>
                <c:pt idx="6">
                  <c:v>220</c:v>
                </c:pt>
                <c:pt idx="7">
                  <c:v>174</c:v>
                </c:pt>
                <c:pt idx="8">
                  <c:v>23</c:v>
                </c:pt>
                <c:pt idx="9">
                  <c:v>55</c:v>
                </c:pt>
                <c:pt idx="10">
                  <c:v>167</c:v>
                </c:pt>
                <c:pt idx="11">
                  <c:v>217</c:v>
                </c:pt>
                <c:pt idx="12">
                  <c:v>251</c:v>
                </c:pt>
                <c:pt idx="13">
                  <c:v>272</c:v>
                </c:pt>
                <c:pt idx="14">
                  <c:v>268</c:v>
                </c:pt>
                <c:pt idx="15">
                  <c:v>206</c:v>
                </c:pt>
                <c:pt idx="16">
                  <c:v>221</c:v>
                </c:pt>
                <c:pt idx="17">
                  <c:v>199</c:v>
                </c:pt>
                <c:pt idx="18">
                  <c:v>184</c:v>
                </c:pt>
                <c:pt idx="19">
                  <c:v>204</c:v>
                </c:pt>
                <c:pt idx="20">
                  <c:v>241</c:v>
                </c:pt>
                <c:pt idx="21">
                  <c:v>228</c:v>
                </c:pt>
                <c:pt idx="22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36-AB43-A865-9F9485FBDA4A}"/>
            </c:ext>
          </c:extLst>
        </c:ser>
        <c:ser>
          <c:idx val="8"/>
          <c:order val="8"/>
          <c:tx>
            <c:strRef>
              <c:f>SVC_pivot!$BN$3:$BN$5</c:f>
              <c:strCache>
                <c:ptCount val="1"/>
                <c:pt idx="0">
                  <c:v> CNT - 9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SVC_pivot!$BN$6:$BN$28</c:f>
              <c:numCache>
                <c:formatCode>General</c:formatCode>
                <c:ptCount val="23"/>
                <c:pt idx="0">
                  <c:v>252</c:v>
                </c:pt>
                <c:pt idx="1">
                  <c:v>247</c:v>
                </c:pt>
                <c:pt idx="2">
                  <c:v>248</c:v>
                </c:pt>
                <c:pt idx="3">
                  <c:v>275</c:v>
                </c:pt>
                <c:pt idx="4">
                  <c:v>335</c:v>
                </c:pt>
                <c:pt idx="5">
                  <c:v>228</c:v>
                </c:pt>
                <c:pt idx="6">
                  <c:v>200</c:v>
                </c:pt>
                <c:pt idx="7">
                  <c:v>157</c:v>
                </c:pt>
                <c:pt idx="8">
                  <c:v>26</c:v>
                </c:pt>
                <c:pt idx="9">
                  <c:v>56</c:v>
                </c:pt>
                <c:pt idx="10">
                  <c:v>148</c:v>
                </c:pt>
                <c:pt idx="11">
                  <c:v>243</c:v>
                </c:pt>
                <c:pt idx="12">
                  <c:v>245</c:v>
                </c:pt>
                <c:pt idx="13">
                  <c:v>248</c:v>
                </c:pt>
                <c:pt idx="14">
                  <c:v>259</c:v>
                </c:pt>
                <c:pt idx="15">
                  <c:v>239</c:v>
                </c:pt>
                <c:pt idx="16">
                  <c:v>226</c:v>
                </c:pt>
                <c:pt idx="17">
                  <c:v>259</c:v>
                </c:pt>
                <c:pt idx="18">
                  <c:v>228</c:v>
                </c:pt>
                <c:pt idx="19">
                  <c:v>221</c:v>
                </c:pt>
                <c:pt idx="20">
                  <c:v>265</c:v>
                </c:pt>
                <c:pt idx="21">
                  <c:v>251</c:v>
                </c:pt>
                <c:pt idx="22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36-AB43-A865-9F9485FBDA4A}"/>
            </c:ext>
          </c:extLst>
        </c:ser>
        <c:ser>
          <c:idx val="9"/>
          <c:order val="9"/>
          <c:tx>
            <c:strRef>
              <c:f>SVC_pivot!$BO$3:$BO$5</c:f>
              <c:strCache>
                <c:ptCount val="1"/>
                <c:pt idx="0">
                  <c:v> CNT - 10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SVC_pivot!$BO$6:$BO$28</c:f>
              <c:numCache>
                <c:formatCode>General</c:formatCode>
                <c:ptCount val="23"/>
                <c:pt idx="0">
                  <c:v>286</c:v>
                </c:pt>
                <c:pt idx="1">
                  <c:v>337</c:v>
                </c:pt>
                <c:pt idx="2">
                  <c:v>314</c:v>
                </c:pt>
                <c:pt idx="3">
                  <c:v>325</c:v>
                </c:pt>
                <c:pt idx="4">
                  <c:v>394</c:v>
                </c:pt>
                <c:pt idx="5">
                  <c:v>289</c:v>
                </c:pt>
                <c:pt idx="6">
                  <c:v>282</c:v>
                </c:pt>
                <c:pt idx="7">
                  <c:v>219</c:v>
                </c:pt>
                <c:pt idx="8">
                  <c:v>37</c:v>
                </c:pt>
                <c:pt idx="9">
                  <c:v>78</c:v>
                </c:pt>
                <c:pt idx="10">
                  <c:v>170</c:v>
                </c:pt>
                <c:pt idx="11">
                  <c:v>306</c:v>
                </c:pt>
                <c:pt idx="12">
                  <c:v>266</c:v>
                </c:pt>
                <c:pt idx="13">
                  <c:v>345</c:v>
                </c:pt>
                <c:pt idx="14">
                  <c:v>306</c:v>
                </c:pt>
                <c:pt idx="15">
                  <c:v>308</c:v>
                </c:pt>
                <c:pt idx="16">
                  <c:v>299</c:v>
                </c:pt>
                <c:pt idx="17">
                  <c:v>299</c:v>
                </c:pt>
                <c:pt idx="18">
                  <c:v>305</c:v>
                </c:pt>
                <c:pt idx="19">
                  <c:v>344</c:v>
                </c:pt>
                <c:pt idx="20">
                  <c:v>359</c:v>
                </c:pt>
                <c:pt idx="21">
                  <c:v>374</c:v>
                </c:pt>
                <c:pt idx="22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036-AB43-A865-9F9485FBD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747136"/>
        <c:axId val="792332544"/>
      </c:barChart>
      <c:lineChart>
        <c:grouping val="standard"/>
        <c:varyColors val="0"/>
        <c:ser>
          <c:idx val="10"/>
          <c:order val="10"/>
          <c:tx>
            <c:strRef>
              <c:f>SVC_pivot!$BP$3:$BP$5</c:f>
              <c:strCache>
                <c:ptCount val="1"/>
                <c:pt idx="0">
                  <c:v> 通过率 - 1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SVC_pivot!$BP$6:$BP$28</c:f>
              <c:numCache>
                <c:formatCode>0.00%</c:formatCode>
                <c:ptCount val="23"/>
                <c:pt idx="0">
                  <c:v>0.91111111111111109</c:v>
                </c:pt>
                <c:pt idx="1">
                  <c:v>0.92682926829268297</c:v>
                </c:pt>
                <c:pt idx="2">
                  <c:v>0.93600000000000005</c:v>
                </c:pt>
                <c:pt idx="3">
                  <c:v>0.90551181102362199</c:v>
                </c:pt>
                <c:pt idx="4">
                  <c:v>0.85256410256410253</c:v>
                </c:pt>
                <c:pt idx="5">
                  <c:v>0.88349514563106801</c:v>
                </c:pt>
                <c:pt idx="6">
                  <c:v>0.91549295774647887</c:v>
                </c:pt>
                <c:pt idx="7">
                  <c:v>0.95348837209302328</c:v>
                </c:pt>
                <c:pt idx="8">
                  <c:v>0.8571428571428571</c:v>
                </c:pt>
                <c:pt idx="9">
                  <c:v>0.7857142857142857</c:v>
                </c:pt>
                <c:pt idx="10">
                  <c:v>0.88095238095238093</c:v>
                </c:pt>
                <c:pt idx="11">
                  <c:v>0.89873417721518989</c:v>
                </c:pt>
                <c:pt idx="12">
                  <c:v>0.93181818181818177</c:v>
                </c:pt>
                <c:pt idx="13">
                  <c:v>0.84057971014492749</c:v>
                </c:pt>
                <c:pt idx="14">
                  <c:v>0.91954022988505746</c:v>
                </c:pt>
                <c:pt idx="15">
                  <c:v>0.94117647058823528</c:v>
                </c:pt>
                <c:pt idx="16">
                  <c:v>0.94029850746268662</c:v>
                </c:pt>
                <c:pt idx="17">
                  <c:v>0.9285714285714286</c:v>
                </c:pt>
                <c:pt idx="18">
                  <c:v>0.88709677419354838</c:v>
                </c:pt>
                <c:pt idx="19">
                  <c:v>0.9107142857142857</c:v>
                </c:pt>
                <c:pt idx="20">
                  <c:v>0.89855072463768115</c:v>
                </c:pt>
                <c:pt idx="21">
                  <c:v>0.90769230769230769</c:v>
                </c:pt>
                <c:pt idx="22">
                  <c:v>0.93220338983050843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036-AB43-A865-9F9485FBDA4A}"/>
            </c:ext>
          </c:extLst>
        </c:ser>
        <c:ser>
          <c:idx val="11"/>
          <c:order val="11"/>
          <c:tx>
            <c:strRef>
              <c:f>SVC_pivot!$BQ$3:$BQ$5</c:f>
              <c:strCache>
                <c:ptCount val="1"/>
                <c:pt idx="0">
                  <c:v> 通过率 - 2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SVC_pivot!$BQ$6:$BQ$28</c:f>
              <c:numCache>
                <c:formatCode>0.00%</c:formatCode>
                <c:ptCount val="23"/>
                <c:pt idx="0">
                  <c:v>0.89156626506024095</c:v>
                </c:pt>
                <c:pt idx="1">
                  <c:v>0.85185185185185186</c:v>
                </c:pt>
                <c:pt idx="2">
                  <c:v>0.90909090909090906</c:v>
                </c:pt>
                <c:pt idx="3">
                  <c:v>0.90551181102362199</c:v>
                </c:pt>
                <c:pt idx="4">
                  <c:v>0.87931034482758619</c:v>
                </c:pt>
                <c:pt idx="5">
                  <c:v>0.88421052631578945</c:v>
                </c:pt>
                <c:pt idx="6">
                  <c:v>0.91891891891891897</c:v>
                </c:pt>
                <c:pt idx="7">
                  <c:v>0.86206896551724133</c:v>
                </c:pt>
                <c:pt idx="8">
                  <c:v>0.88888888888888884</c:v>
                </c:pt>
                <c:pt idx="9">
                  <c:v>0.88888888888888884</c:v>
                </c:pt>
                <c:pt idx="10">
                  <c:v>0.89655172413793105</c:v>
                </c:pt>
                <c:pt idx="11">
                  <c:v>0.86206896551724133</c:v>
                </c:pt>
                <c:pt idx="12">
                  <c:v>0.84444444444444444</c:v>
                </c:pt>
                <c:pt idx="13">
                  <c:v>0.90588235294117647</c:v>
                </c:pt>
                <c:pt idx="14">
                  <c:v>0.85227272727272729</c:v>
                </c:pt>
                <c:pt idx="15">
                  <c:v>0.88888888888888884</c:v>
                </c:pt>
                <c:pt idx="16">
                  <c:v>0.84931506849315064</c:v>
                </c:pt>
                <c:pt idx="17">
                  <c:v>0.81132075471698117</c:v>
                </c:pt>
                <c:pt idx="18">
                  <c:v>0.890625</c:v>
                </c:pt>
                <c:pt idx="19">
                  <c:v>0.84210526315789469</c:v>
                </c:pt>
                <c:pt idx="20">
                  <c:v>0.91044776119402981</c:v>
                </c:pt>
                <c:pt idx="21">
                  <c:v>0.89189189189189189</c:v>
                </c:pt>
                <c:pt idx="22">
                  <c:v>0.83823529411764708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036-AB43-A865-9F9485FBDA4A}"/>
            </c:ext>
          </c:extLst>
        </c:ser>
        <c:ser>
          <c:idx val="12"/>
          <c:order val="12"/>
          <c:tx>
            <c:strRef>
              <c:f>SVC_pivot!$BR$3:$BR$5</c:f>
              <c:strCache>
                <c:ptCount val="1"/>
                <c:pt idx="0">
                  <c:v> 通过率 - 3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SVC_pivot!$BR$6:$BR$28</c:f>
              <c:numCache>
                <c:formatCode>0.00%</c:formatCode>
                <c:ptCount val="23"/>
                <c:pt idx="0">
                  <c:v>0.90140845070422537</c:v>
                </c:pt>
                <c:pt idx="1">
                  <c:v>0.89552238805970152</c:v>
                </c:pt>
                <c:pt idx="2">
                  <c:v>0.89440993788819878</c:v>
                </c:pt>
                <c:pt idx="3">
                  <c:v>0.92391304347826086</c:v>
                </c:pt>
                <c:pt idx="4">
                  <c:v>0.85784313725490191</c:v>
                </c:pt>
                <c:pt idx="5">
                  <c:v>0.86904761904761907</c:v>
                </c:pt>
                <c:pt idx="6">
                  <c:v>0.83823529411764708</c:v>
                </c:pt>
                <c:pt idx="7">
                  <c:v>0.84761904761904761</c:v>
                </c:pt>
                <c:pt idx="8">
                  <c:v>0.82608695652173914</c:v>
                </c:pt>
                <c:pt idx="9">
                  <c:v>0.81818181818181823</c:v>
                </c:pt>
                <c:pt idx="10">
                  <c:v>0.91666666666666663</c:v>
                </c:pt>
                <c:pt idx="11">
                  <c:v>0.8783783783783784</c:v>
                </c:pt>
                <c:pt idx="12">
                  <c:v>0.87943262411347523</c:v>
                </c:pt>
                <c:pt idx="13">
                  <c:v>0.83571428571428574</c:v>
                </c:pt>
                <c:pt idx="14">
                  <c:v>0.81456953642384111</c:v>
                </c:pt>
                <c:pt idx="15">
                  <c:v>0.8294573643410853</c:v>
                </c:pt>
                <c:pt idx="16">
                  <c:v>0.81428571428571428</c:v>
                </c:pt>
                <c:pt idx="17">
                  <c:v>0.78761061946902655</c:v>
                </c:pt>
                <c:pt idx="18">
                  <c:v>0.85365853658536583</c:v>
                </c:pt>
                <c:pt idx="19">
                  <c:v>0.88135593220338981</c:v>
                </c:pt>
                <c:pt idx="20">
                  <c:v>0.80597014925373134</c:v>
                </c:pt>
                <c:pt idx="21">
                  <c:v>0.8783783783783784</c:v>
                </c:pt>
                <c:pt idx="22">
                  <c:v>0.8141025641025641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036-AB43-A865-9F9485FBDA4A}"/>
            </c:ext>
          </c:extLst>
        </c:ser>
        <c:ser>
          <c:idx val="13"/>
          <c:order val="13"/>
          <c:tx>
            <c:strRef>
              <c:f>SVC_pivot!$BS$3:$BS$5</c:f>
              <c:strCache>
                <c:ptCount val="1"/>
                <c:pt idx="0">
                  <c:v> 通过率 - 4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SVC_pivot!$BS$6:$BS$28</c:f>
              <c:numCache>
                <c:formatCode>0.00%</c:formatCode>
                <c:ptCount val="23"/>
                <c:pt idx="0">
                  <c:v>0.89570552147239269</c:v>
                </c:pt>
                <c:pt idx="1">
                  <c:v>0.89090909090909087</c:v>
                </c:pt>
                <c:pt idx="2">
                  <c:v>0.87647058823529411</c:v>
                </c:pt>
                <c:pt idx="3">
                  <c:v>0.88888888888888884</c:v>
                </c:pt>
                <c:pt idx="4">
                  <c:v>0.84102564102564104</c:v>
                </c:pt>
                <c:pt idx="5">
                  <c:v>0.86394557823129248</c:v>
                </c:pt>
                <c:pt idx="6">
                  <c:v>0.91538461538461535</c:v>
                </c:pt>
                <c:pt idx="7">
                  <c:v>0.87387387387387383</c:v>
                </c:pt>
                <c:pt idx="8">
                  <c:v>0.88</c:v>
                </c:pt>
                <c:pt idx="9">
                  <c:v>0.88461538461538458</c:v>
                </c:pt>
                <c:pt idx="10">
                  <c:v>0.87155963302752293</c:v>
                </c:pt>
                <c:pt idx="11">
                  <c:v>0.83941605839416056</c:v>
                </c:pt>
                <c:pt idx="12">
                  <c:v>0.78125</c:v>
                </c:pt>
                <c:pt idx="13">
                  <c:v>0.87058823529411766</c:v>
                </c:pt>
                <c:pt idx="14">
                  <c:v>0.78285714285714281</c:v>
                </c:pt>
                <c:pt idx="15">
                  <c:v>0.8257575757575758</c:v>
                </c:pt>
                <c:pt idx="16">
                  <c:v>0.86713286713286708</c:v>
                </c:pt>
                <c:pt idx="17">
                  <c:v>0.81021897810218979</c:v>
                </c:pt>
                <c:pt idx="18">
                  <c:v>0.81132075471698117</c:v>
                </c:pt>
                <c:pt idx="19">
                  <c:v>0.85217391304347823</c:v>
                </c:pt>
                <c:pt idx="20">
                  <c:v>0.83064516129032262</c:v>
                </c:pt>
                <c:pt idx="21">
                  <c:v>0.79365079365079361</c:v>
                </c:pt>
                <c:pt idx="22">
                  <c:v>0.80714285714285716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036-AB43-A865-9F9485FBDA4A}"/>
            </c:ext>
          </c:extLst>
        </c:ser>
        <c:ser>
          <c:idx val="14"/>
          <c:order val="14"/>
          <c:tx>
            <c:strRef>
              <c:f>SVC_pivot!$BT$3:$BT$5</c:f>
              <c:strCache>
                <c:ptCount val="1"/>
                <c:pt idx="0">
                  <c:v> 通过率 - 5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SVC_pivot!$BT$6:$BT$28</c:f>
              <c:numCache>
                <c:formatCode>0.00%</c:formatCode>
                <c:ptCount val="23"/>
                <c:pt idx="0">
                  <c:v>0.86238532110091748</c:v>
                </c:pt>
                <c:pt idx="1">
                  <c:v>0.87850467289719625</c:v>
                </c:pt>
                <c:pt idx="2">
                  <c:v>0.87704918032786883</c:v>
                </c:pt>
                <c:pt idx="3">
                  <c:v>0.89166666666666672</c:v>
                </c:pt>
                <c:pt idx="4">
                  <c:v>0.81818181818181823</c:v>
                </c:pt>
                <c:pt idx="5">
                  <c:v>0.8571428571428571</c:v>
                </c:pt>
                <c:pt idx="6">
                  <c:v>0.78095238095238095</c:v>
                </c:pt>
                <c:pt idx="7">
                  <c:v>0.84523809523809523</c:v>
                </c:pt>
                <c:pt idx="8">
                  <c:v>0.8571428571428571</c:v>
                </c:pt>
                <c:pt idx="9">
                  <c:v>0.82608695652173914</c:v>
                </c:pt>
                <c:pt idx="10">
                  <c:v>0.86324786324786329</c:v>
                </c:pt>
                <c:pt idx="11">
                  <c:v>0.85046728971962615</c:v>
                </c:pt>
                <c:pt idx="12">
                  <c:v>0.83486238532110091</c:v>
                </c:pt>
                <c:pt idx="13">
                  <c:v>0.85148514851485146</c:v>
                </c:pt>
                <c:pt idx="14">
                  <c:v>0.77192982456140347</c:v>
                </c:pt>
                <c:pt idx="15">
                  <c:v>0.79069767441860461</c:v>
                </c:pt>
                <c:pt idx="16">
                  <c:v>0.78217821782178221</c:v>
                </c:pt>
                <c:pt idx="17">
                  <c:v>0.81318681318681318</c:v>
                </c:pt>
                <c:pt idx="18">
                  <c:v>0.79518072289156627</c:v>
                </c:pt>
                <c:pt idx="19">
                  <c:v>0.8</c:v>
                </c:pt>
                <c:pt idx="20">
                  <c:v>0.8288288288288288</c:v>
                </c:pt>
                <c:pt idx="21">
                  <c:v>0.85185185185185186</c:v>
                </c:pt>
                <c:pt idx="22">
                  <c:v>0.81599999999999995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036-AB43-A865-9F9485FBDA4A}"/>
            </c:ext>
          </c:extLst>
        </c:ser>
        <c:ser>
          <c:idx val="15"/>
          <c:order val="15"/>
          <c:tx>
            <c:strRef>
              <c:f>SVC_pivot!$BU$3:$BU$5</c:f>
              <c:strCache>
                <c:ptCount val="1"/>
                <c:pt idx="0">
                  <c:v> 通过率 - 6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SVC_pivot!$BU$6:$BU$28</c:f>
              <c:numCache>
                <c:formatCode>0.00%</c:formatCode>
                <c:ptCount val="23"/>
                <c:pt idx="0">
                  <c:v>0.90636704119850187</c:v>
                </c:pt>
                <c:pt idx="1">
                  <c:v>0.87349397590361444</c:v>
                </c:pt>
                <c:pt idx="2">
                  <c:v>0.88636363636363635</c:v>
                </c:pt>
                <c:pt idx="3">
                  <c:v>0.8441558441558441</c:v>
                </c:pt>
                <c:pt idx="4">
                  <c:v>0.87052341597796146</c:v>
                </c:pt>
                <c:pt idx="5">
                  <c:v>0.875</c:v>
                </c:pt>
                <c:pt idx="6">
                  <c:v>0.85490196078431369</c:v>
                </c:pt>
                <c:pt idx="7">
                  <c:v>0.86138613861386137</c:v>
                </c:pt>
                <c:pt idx="8">
                  <c:v>0.83333333333333337</c:v>
                </c:pt>
                <c:pt idx="9">
                  <c:v>0.77777777777777779</c:v>
                </c:pt>
                <c:pt idx="10">
                  <c:v>0.91954022988505746</c:v>
                </c:pt>
                <c:pt idx="11">
                  <c:v>0.8007518796992481</c:v>
                </c:pt>
                <c:pt idx="12">
                  <c:v>0.76305220883534142</c:v>
                </c:pt>
                <c:pt idx="13">
                  <c:v>0.78983050847457625</c:v>
                </c:pt>
                <c:pt idx="14">
                  <c:v>0.77731092436974791</c:v>
                </c:pt>
                <c:pt idx="15">
                  <c:v>0.79338842975206614</c:v>
                </c:pt>
                <c:pt idx="16">
                  <c:v>0.72995780590717296</c:v>
                </c:pt>
                <c:pt idx="17">
                  <c:v>0.75126903553299496</c:v>
                </c:pt>
                <c:pt idx="18">
                  <c:v>0.74519230769230771</c:v>
                </c:pt>
                <c:pt idx="19">
                  <c:v>0.76497695852534564</c:v>
                </c:pt>
                <c:pt idx="20">
                  <c:v>0.74693877551020404</c:v>
                </c:pt>
                <c:pt idx="21">
                  <c:v>0.78813559322033899</c:v>
                </c:pt>
                <c:pt idx="22">
                  <c:v>0.78486055776892427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036-AB43-A865-9F9485FBDA4A}"/>
            </c:ext>
          </c:extLst>
        </c:ser>
        <c:ser>
          <c:idx val="16"/>
          <c:order val="16"/>
          <c:tx>
            <c:strRef>
              <c:f>SVC_pivot!$BV$3:$BV$5</c:f>
              <c:strCache>
                <c:ptCount val="1"/>
                <c:pt idx="0">
                  <c:v> 通过率 - 7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SVC_pivot!$BV$6:$BV$28</c:f>
              <c:numCache>
                <c:formatCode>0.00%</c:formatCode>
                <c:ptCount val="23"/>
                <c:pt idx="0">
                  <c:v>0.8141025641025641</c:v>
                </c:pt>
                <c:pt idx="1">
                  <c:v>0.90740740740740744</c:v>
                </c:pt>
                <c:pt idx="2">
                  <c:v>0.86413043478260865</c:v>
                </c:pt>
                <c:pt idx="3">
                  <c:v>0.86111111111111116</c:v>
                </c:pt>
                <c:pt idx="4">
                  <c:v>0.84974093264248707</c:v>
                </c:pt>
                <c:pt idx="5">
                  <c:v>0.87919463087248317</c:v>
                </c:pt>
                <c:pt idx="6">
                  <c:v>0.83846153846153848</c:v>
                </c:pt>
                <c:pt idx="7">
                  <c:v>0.84</c:v>
                </c:pt>
                <c:pt idx="8">
                  <c:v>0.91666666666666663</c:v>
                </c:pt>
                <c:pt idx="9">
                  <c:v>0.88235294117647056</c:v>
                </c:pt>
                <c:pt idx="10">
                  <c:v>0.75206611570247939</c:v>
                </c:pt>
                <c:pt idx="11">
                  <c:v>0.7946428571428571</c:v>
                </c:pt>
                <c:pt idx="12">
                  <c:v>0.80327868852459017</c:v>
                </c:pt>
                <c:pt idx="13">
                  <c:v>0.73154362416107388</c:v>
                </c:pt>
                <c:pt idx="14">
                  <c:v>0.70440251572327039</c:v>
                </c:pt>
                <c:pt idx="15">
                  <c:v>0.6518518518518519</c:v>
                </c:pt>
                <c:pt idx="16">
                  <c:v>0.65289256198347112</c:v>
                </c:pt>
                <c:pt idx="17">
                  <c:v>0.61061946902654862</c:v>
                </c:pt>
                <c:pt idx="18">
                  <c:v>0.61475409836065575</c:v>
                </c:pt>
                <c:pt idx="19">
                  <c:v>0.63120567375886527</c:v>
                </c:pt>
                <c:pt idx="20">
                  <c:v>0.66433566433566438</c:v>
                </c:pt>
                <c:pt idx="21">
                  <c:v>0.7192982456140351</c:v>
                </c:pt>
                <c:pt idx="22">
                  <c:v>0.65517241379310343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036-AB43-A865-9F9485FBDA4A}"/>
            </c:ext>
          </c:extLst>
        </c:ser>
        <c:ser>
          <c:idx val="17"/>
          <c:order val="17"/>
          <c:tx>
            <c:strRef>
              <c:f>SVC_pivot!$BW$3:$BW$5</c:f>
              <c:strCache>
                <c:ptCount val="1"/>
                <c:pt idx="0">
                  <c:v> 通过率 - 8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SVC_pivot!$BW$6:$BW$28</c:f>
              <c:numCache>
                <c:formatCode>0.00%</c:formatCode>
                <c:ptCount val="23"/>
                <c:pt idx="0">
                  <c:v>0.86057692307692313</c:v>
                </c:pt>
                <c:pt idx="1">
                  <c:v>0.87555555555555553</c:v>
                </c:pt>
                <c:pt idx="2">
                  <c:v>0.88636363636363635</c:v>
                </c:pt>
                <c:pt idx="3">
                  <c:v>0.86425339366515841</c:v>
                </c:pt>
                <c:pt idx="4">
                  <c:v>0.84587813620071683</c:v>
                </c:pt>
                <c:pt idx="5">
                  <c:v>0.81739130434782614</c:v>
                </c:pt>
                <c:pt idx="6">
                  <c:v>0.77272727272727271</c:v>
                </c:pt>
                <c:pt idx="7">
                  <c:v>0.83908045977011492</c:v>
                </c:pt>
                <c:pt idx="8">
                  <c:v>0.78260869565217395</c:v>
                </c:pt>
                <c:pt idx="9">
                  <c:v>0.67272727272727273</c:v>
                </c:pt>
                <c:pt idx="10">
                  <c:v>0.77844311377245512</c:v>
                </c:pt>
                <c:pt idx="11">
                  <c:v>0.7695852534562212</c:v>
                </c:pt>
                <c:pt idx="12">
                  <c:v>0.70119521912350602</c:v>
                </c:pt>
                <c:pt idx="13">
                  <c:v>0.70588235294117652</c:v>
                </c:pt>
                <c:pt idx="14">
                  <c:v>0.68656716417910446</c:v>
                </c:pt>
                <c:pt idx="15">
                  <c:v>0.64563106796116509</c:v>
                </c:pt>
                <c:pt idx="16">
                  <c:v>0.6244343891402715</c:v>
                </c:pt>
                <c:pt idx="17">
                  <c:v>0.66834170854271358</c:v>
                </c:pt>
                <c:pt idx="18">
                  <c:v>0.67391304347826086</c:v>
                </c:pt>
                <c:pt idx="19">
                  <c:v>0.67156862745098034</c:v>
                </c:pt>
                <c:pt idx="20">
                  <c:v>0.70539419087136934</c:v>
                </c:pt>
                <c:pt idx="21">
                  <c:v>0.70175438596491224</c:v>
                </c:pt>
                <c:pt idx="22">
                  <c:v>0.73478260869565215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036-AB43-A865-9F9485FBDA4A}"/>
            </c:ext>
          </c:extLst>
        </c:ser>
        <c:ser>
          <c:idx val="18"/>
          <c:order val="18"/>
          <c:tx>
            <c:strRef>
              <c:f>SVC_pivot!$BX$3:$BX$5</c:f>
              <c:strCache>
                <c:ptCount val="1"/>
                <c:pt idx="0">
                  <c:v> 通过率 - 9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SVC_pivot!$BX$6:$BX$28</c:f>
              <c:numCache>
                <c:formatCode>0.00%</c:formatCode>
                <c:ptCount val="23"/>
                <c:pt idx="0">
                  <c:v>0.86507936507936511</c:v>
                </c:pt>
                <c:pt idx="1">
                  <c:v>0.8582995951417004</c:v>
                </c:pt>
                <c:pt idx="2">
                  <c:v>0.85080645161290325</c:v>
                </c:pt>
                <c:pt idx="3">
                  <c:v>0.81818181818181823</c:v>
                </c:pt>
                <c:pt idx="4">
                  <c:v>0.86865671641791042</c:v>
                </c:pt>
                <c:pt idx="5">
                  <c:v>0.78508771929824561</c:v>
                </c:pt>
                <c:pt idx="6">
                  <c:v>0.77</c:v>
                </c:pt>
                <c:pt idx="7">
                  <c:v>0.75159235668789814</c:v>
                </c:pt>
                <c:pt idx="8">
                  <c:v>0.76923076923076927</c:v>
                </c:pt>
                <c:pt idx="9">
                  <c:v>0.7142857142857143</c:v>
                </c:pt>
                <c:pt idx="10">
                  <c:v>0.77702702702702697</c:v>
                </c:pt>
                <c:pt idx="11">
                  <c:v>0.79423868312757206</c:v>
                </c:pt>
                <c:pt idx="12">
                  <c:v>0.71020408163265303</c:v>
                </c:pt>
                <c:pt idx="13">
                  <c:v>0.62903225806451613</c:v>
                </c:pt>
                <c:pt idx="14">
                  <c:v>0.55212355212355213</c:v>
                </c:pt>
                <c:pt idx="15">
                  <c:v>0.58577405857740583</c:v>
                </c:pt>
                <c:pt idx="16">
                  <c:v>0.62389380530973448</c:v>
                </c:pt>
                <c:pt idx="17">
                  <c:v>0.53281853281853286</c:v>
                </c:pt>
                <c:pt idx="18">
                  <c:v>0.66666666666666663</c:v>
                </c:pt>
                <c:pt idx="19">
                  <c:v>0.54298642533936647</c:v>
                </c:pt>
                <c:pt idx="20">
                  <c:v>0.61509433962264148</c:v>
                </c:pt>
                <c:pt idx="21">
                  <c:v>0.65338645418326691</c:v>
                </c:pt>
                <c:pt idx="22">
                  <c:v>0.62100456621004563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036-AB43-A865-9F9485FBDA4A}"/>
            </c:ext>
          </c:extLst>
        </c:ser>
        <c:ser>
          <c:idx val="19"/>
          <c:order val="19"/>
          <c:tx>
            <c:strRef>
              <c:f>SVC_pivot!$BY$3:$BY$5</c:f>
              <c:strCache>
                <c:ptCount val="1"/>
                <c:pt idx="0">
                  <c:v> 通过率 - 10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SVC_pivot!$BE$6:$BE$28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SVC_pivot!$BY$6:$BY$28</c:f>
              <c:numCache>
                <c:formatCode>0.00%</c:formatCode>
                <c:ptCount val="23"/>
                <c:pt idx="0">
                  <c:v>0.74125874125874125</c:v>
                </c:pt>
                <c:pt idx="1">
                  <c:v>0.75964391691394662</c:v>
                </c:pt>
                <c:pt idx="2">
                  <c:v>0.77388535031847139</c:v>
                </c:pt>
                <c:pt idx="3">
                  <c:v>0.78769230769230769</c:v>
                </c:pt>
                <c:pt idx="4">
                  <c:v>0.75380710659898476</c:v>
                </c:pt>
                <c:pt idx="5">
                  <c:v>0.73356401384083048</c:v>
                </c:pt>
                <c:pt idx="6">
                  <c:v>0.78014184397163122</c:v>
                </c:pt>
                <c:pt idx="7">
                  <c:v>0.69406392694063923</c:v>
                </c:pt>
                <c:pt idx="8">
                  <c:v>0.72972972972972971</c:v>
                </c:pt>
                <c:pt idx="9">
                  <c:v>0.79487179487179482</c:v>
                </c:pt>
                <c:pt idx="10">
                  <c:v>0.67647058823529416</c:v>
                </c:pt>
                <c:pt idx="11">
                  <c:v>0.72549019607843135</c:v>
                </c:pt>
                <c:pt idx="12">
                  <c:v>0.6992481203007519</c:v>
                </c:pt>
                <c:pt idx="13">
                  <c:v>0.54782608695652169</c:v>
                </c:pt>
                <c:pt idx="14">
                  <c:v>0.48039215686274511</c:v>
                </c:pt>
                <c:pt idx="15">
                  <c:v>0.43181818181818182</c:v>
                </c:pt>
                <c:pt idx="16">
                  <c:v>0.42809364548494983</c:v>
                </c:pt>
                <c:pt idx="17">
                  <c:v>0.4682274247491639</c:v>
                </c:pt>
                <c:pt idx="18">
                  <c:v>0.46885245901639344</c:v>
                </c:pt>
                <c:pt idx="19">
                  <c:v>0.44476744186046513</c:v>
                </c:pt>
                <c:pt idx="20">
                  <c:v>0.46518105849582175</c:v>
                </c:pt>
                <c:pt idx="21">
                  <c:v>0.5668449197860963</c:v>
                </c:pt>
                <c:pt idx="22">
                  <c:v>0.5356037151702786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036-AB43-A865-9F9485FBD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46112"/>
        <c:axId val="792333120"/>
      </c:lineChart>
      <c:catAx>
        <c:axId val="79074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332544"/>
        <c:crosses val="autoZero"/>
        <c:auto val="1"/>
        <c:lblAlgn val="ctr"/>
        <c:lblOffset val="100"/>
        <c:noMultiLvlLbl val="0"/>
      </c:catAx>
      <c:valAx>
        <c:axId val="79233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7136"/>
        <c:crosses val="autoZero"/>
        <c:crossBetween val="between"/>
      </c:valAx>
      <c:valAx>
        <c:axId val="7923331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6112"/>
        <c:crosses val="max"/>
        <c:crossBetween val="between"/>
      </c:valAx>
      <c:catAx>
        <c:axId val="790746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233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0779779828134973E-2"/>
          <c:w val="0.99136783548608143"/>
          <c:h val="7.51192910702113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[评分卡监控报告.xlsm]SVC_lift!数据透视表3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SVC_lift!$B$3</c:f>
              <c:strCache>
                <c:ptCount val="1"/>
                <c:pt idx="0">
                  <c:v> 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SVC_lift!$A$4:$A$16</c:f>
              <c:strCache>
                <c:ptCount val="12"/>
                <c:pt idx="0">
                  <c:v>2016/10/31</c:v>
                </c:pt>
                <c:pt idx="1">
                  <c:v>2016/11/7</c:v>
                </c:pt>
                <c:pt idx="2">
                  <c:v>2016/11/14</c:v>
                </c:pt>
                <c:pt idx="3">
                  <c:v>2016/11/21</c:v>
                </c:pt>
                <c:pt idx="4">
                  <c:v>2016/11/28</c:v>
                </c:pt>
                <c:pt idx="5">
                  <c:v>2016/12/5</c:v>
                </c:pt>
                <c:pt idx="6">
                  <c:v>2016/12/12</c:v>
                </c:pt>
                <c:pt idx="7">
                  <c:v>2016/12/19</c:v>
                </c:pt>
                <c:pt idx="8">
                  <c:v>2016/12/26</c:v>
                </c:pt>
                <c:pt idx="9">
                  <c:v>2017/1/2</c:v>
                </c:pt>
                <c:pt idx="10">
                  <c:v>2017/1/9</c:v>
                </c:pt>
                <c:pt idx="11">
                  <c:v>2017/1/16</c:v>
                </c:pt>
              </c:strCache>
            </c:strRef>
          </c:cat>
          <c:val>
            <c:numRef>
              <c:f>SVC_lift!$B$4:$B$16</c:f>
              <c:numCache>
                <c:formatCode>General</c:formatCode>
                <c:ptCount val="12"/>
                <c:pt idx="0">
                  <c:v>0.31742294520547948</c:v>
                </c:pt>
                <c:pt idx="1">
                  <c:v>0.33541358155278189</c:v>
                </c:pt>
                <c:pt idx="2">
                  <c:v>0.33401549736754649</c:v>
                </c:pt>
                <c:pt idx="3">
                  <c:v>0.34965921114145815</c:v>
                </c:pt>
                <c:pt idx="4">
                  <c:v>0.29340545712698313</c:v>
                </c:pt>
                <c:pt idx="5">
                  <c:v>0.34309850422382393</c:v>
                </c:pt>
                <c:pt idx="6">
                  <c:v>0.29215677973789406</c:v>
                </c:pt>
                <c:pt idx="7">
                  <c:v>0.3307428122853498</c:v>
                </c:pt>
                <c:pt idx="8">
                  <c:v>0.28087304488351067</c:v>
                </c:pt>
                <c:pt idx="9">
                  <c:v>0.19223064617096752</c:v>
                </c:pt>
                <c:pt idx="10">
                  <c:v>0.29423076923076924</c:v>
                </c:pt>
                <c:pt idx="11">
                  <c:v>0.29776451643459317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5-314F-A9AC-94C864275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75104"/>
        <c:axId val="792334272"/>
      </c:lineChart>
      <c:lineChart>
        <c:grouping val="standard"/>
        <c:varyColors val="0"/>
        <c:ser>
          <c:idx val="1"/>
          <c:order val="1"/>
          <c:tx>
            <c:strRef>
              <c:f>SVC_lift!$C$3</c:f>
              <c:strCache>
                <c:ptCount val="1"/>
                <c:pt idx="0">
                  <c:v> LIFT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SVC_lift!$A$4:$A$16</c:f>
              <c:strCache>
                <c:ptCount val="12"/>
                <c:pt idx="0">
                  <c:v>2016/10/31</c:v>
                </c:pt>
                <c:pt idx="1">
                  <c:v>2016/11/7</c:v>
                </c:pt>
                <c:pt idx="2">
                  <c:v>2016/11/14</c:v>
                </c:pt>
                <c:pt idx="3">
                  <c:v>2016/11/21</c:v>
                </c:pt>
                <c:pt idx="4">
                  <c:v>2016/11/28</c:v>
                </c:pt>
                <c:pt idx="5">
                  <c:v>2016/12/5</c:v>
                </c:pt>
                <c:pt idx="6">
                  <c:v>2016/12/12</c:v>
                </c:pt>
                <c:pt idx="7">
                  <c:v>2016/12/19</c:v>
                </c:pt>
                <c:pt idx="8">
                  <c:v>2016/12/26</c:v>
                </c:pt>
                <c:pt idx="9">
                  <c:v>2017/1/2</c:v>
                </c:pt>
                <c:pt idx="10">
                  <c:v>2017/1/9</c:v>
                </c:pt>
                <c:pt idx="11">
                  <c:v>2017/1/16</c:v>
                </c:pt>
              </c:strCache>
            </c:strRef>
          </c:cat>
          <c:val>
            <c:numRef>
              <c:f>SVC_lift!$C$4:$C$16</c:f>
              <c:numCache>
                <c:formatCode>General</c:formatCode>
                <c:ptCount val="12"/>
                <c:pt idx="0">
                  <c:v>2.6641400000000002</c:v>
                </c:pt>
                <c:pt idx="1">
                  <c:v>2.762677</c:v>
                </c:pt>
                <c:pt idx="2">
                  <c:v>3.1426180000000001</c:v>
                </c:pt>
                <c:pt idx="3">
                  <c:v>3.7893880000000002</c:v>
                </c:pt>
                <c:pt idx="4">
                  <c:v>2.272799</c:v>
                </c:pt>
                <c:pt idx="5">
                  <c:v>2.2849379999999999</c:v>
                </c:pt>
                <c:pt idx="6">
                  <c:v>2.670404</c:v>
                </c:pt>
                <c:pt idx="7">
                  <c:v>3.117191</c:v>
                </c:pt>
                <c:pt idx="8">
                  <c:v>2.8967640000000001</c:v>
                </c:pt>
                <c:pt idx="9">
                  <c:v>2.0099290000000001</c:v>
                </c:pt>
                <c:pt idx="10">
                  <c:v>2.6448</c:v>
                </c:pt>
                <c:pt idx="11">
                  <c:v>2.7732920000000001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5-314F-A9AC-94C864275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48160"/>
        <c:axId val="792334848"/>
      </c:lineChart>
      <c:catAx>
        <c:axId val="7921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334272"/>
        <c:crosses val="autoZero"/>
        <c:auto val="1"/>
        <c:lblAlgn val="ctr"/>
        <c:lblOffset val="100"/>
        <c:noMultiLvlLbl val="0"/>
      </c:catAx>
      <c:valAx>
        <c:axId val="792334272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175104"/>
        <c:crosses val="autoZero"/>
        <c:crossBetween val="between"/>
      </c:valAx>
      <c:valAx>
        <c:axId val="79233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748160"/>
        <c:crosses val="max"/>
        <c:crossBetween val="between"/>
      </c:valAx>
      <c:catAx>
        <c:axId val="79074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233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[评分卡监控报告.xlsm]SVC_lift!数据透视表4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SVC_lift!$G$3</c:f>
              <c:strCache>
                <c:ptCount val="1"/>
                <c:pt idx="0">
                  <c:v>measurable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SVC_lift!$F$4:$F$16</c:f>
              <c:strCache>
                <c:ptCount val="12"/>
                <c:pt idx="0">
                  <c:v>2016/10/31</c:v>
                </c:pt>
                <c:pt idx="1">
                  <c:v>2016/11/7</c:v>
                </c:pt>
                <c:pt idx="2">
                  <c:v>2016/11/14</c:v>
                </c:pt>
                <c:pt idx="3">
                  <c:v>2016/11/21</c:v>
                </c:pt>
                <c:pt idx="4">
                  <c:v>2016/11/28</c:v>
                </c:pt>
                <c:pt idx="5">
                  <c:v>2016/12/5</c:v>
                </c:pt>
                <c:pt idx="6">
                  <c:v>2016/12/12</c:v>
                </c:pt>
                <c:pt idx="7">
                  <c:v>2016/12/19</c:v>
                </c:pt>
                <c:pt idx="8">
                  <c:v>2016/12/26</c:v>
                </c:pt>
                <c:pt idx="9">
                  <c:v>2017/1/2</c:v>
                </c:pt>
                <c:pt idx="10">
                  <c:v>2017/1/9</c:v>
                </c:pt>
                <c:pt idx="11">
                  <c:v>2017/1/16</c:v>
                </c:pt>
              </c:strCache>
            </c:strRef>
          </c:cat>
          <c:val>
            <c:numRef>
              <c:f>SVC_lift!$G$4:$G$16</c:f>
              <c:numCache>
                <c:formatCode>General</c:formatCode>
                <c:ptCount val="12"/>
                <c:pt idx="0">
                  <c:v>1013</c:v>
                </c:pt>
                <c:pt idx="1">
                  <c:v>1362</c:v>
                </c:pt>
                <c:pt idx="2">
                  <c:v>1172</c:v>
                </c:pt>
                <c:pt idx="3">
                  <c:v>1247</c:v>
                </c:pt>
                <c:pt idx="4">
                  <c:v>1433</c:v>
                </c:pt>
                <c:pt idx="5">
                  <c:v>1654</c:v>
                </c:pt>
                <c:pt idx="6">
                  <c:v>1626</c:v>
                </c:pt>
                <c:pt idx="7">
                  <c:v>1709</c:v>
                </c:pt>
                <c:pt idx="8">
                  <c:v>1880</c:v>
                </c:pt>
                <c:pt idx="9">
                  <c:v>1417</c:v>
                </c:pt>
                <c:pt idx="10">
                  <c:v>1254</c:v>
                </c:pt>
                <c:pt idx="11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9-0E44-8662-DB7A3585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177152"/>
        <c:axId val="792330816"/>
      </c:barChart>
      <c:lineChart>
        <c:grouping val="standard"/>
        <c:varyColors val="0"/>
        <c:ser>
          <c:idx val="1"/>
          <c:order val="1"/>
          <c:tx>
            <c:strRef>
              <c:f>SVC_lift!$H$3</c:f>
              <c:strCache>
                <c:ptCount val="1"/>
                <c:pt idx="0">
                  <c:v> BAD_RATE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SVC_lift!$F$4:$F$16</c:f>
              <c:strCache>
                <c:ptCount val="12"/>
                <c:pt idx="0">
                  <c:v>2016/10/31</c:v>
                </c:pt>
                <c:pt idx="1">
                  <c:v>2016/11/7</c:v>
                </c:pt>
                <c:pt idx="2">
                  <c:v>2016/11/14</c:v>
                </c:pt>
                <c:pt idx="3">
                  <c:v>2016/11/21</c:v>
                </c:pt>
                <c:pt idx="4">
                  <c:v>2016/11/28</c:v>
                </c:pt>
                <c:pt idx="5">
                  <c:v>2016/12/5</c:v>
                </c:pt>
                <c:pt idx="6">
                  <c:v>2016/12/12</c:v>
                </c:pt>
                <c:pt idx="7">
                  <c:v>2016/12/19</c:v>
                </c:pt>
                <c:pt idx="8">
                  <c:v>2016/12/26</c:v>
                </c:pt>
                <c:pt idx="9">
                  <c:v>2017/1/2</c:v>
                </c:pt>
                <c:pt idx="10">
                  <c:v>2017/1/9</c:v>
                </c:pt>
                <c:pt idx="11">
                  <c:v>2017/1/16</c:v>
                </c:pt>
              </c:strCache>
            </c:strRef>
          </c:cat>
          <c:val>
            <c:numRef>
              <c:f>SVC_lift!$H$4:$H$16</c:f>
              <c:numCache>
                <c:formatCode>0.00%</c:formatCode>
                <c:ptCount val="12"/>
                <c:pt idx="0">
                  <c:v>6.3178677196446195E-2</c:v>
                </c:pt>
                <c:pt idx="1">
                  <c:v>4.2584434654919234E-2</c:v>
                </c:pt>
                <c:pt idx="2">
                  <c:v>4.3515358361774746E-2</c:v>
                </c:pt>
                <c:pt idx="3">
                  <c:v>5.5332798716920609E-2</c:v>
                </c:pt>
                <c:pt idx="4">
                  <c:v>6.7690160502442434E-2</c:v>
                </c:pt>
                <c:pt idx="5">
                  <c:v>8.222490931076179E-2</c:v>
                </c:pt>
                <c:pt idx="6">
                  <c:v>6.7035670356703575E-2</c:v>
                </c:pt>
                <c:pt idx="7">
                  <c:v>7.5482738443534231E-2</c:v>
                </c:pt>
                <c:pt idx="8">
                  <c:v>6.2765957446808518E-2</c:v>
                </c:pt>
                <c:pt idx="9">
                  <c:v>7.7628793225123505E-2</c:v>
                </c:pt>
                <c:pt idx="10">
                  <c:v>8.7719298245614044E-2</c:v>
                </c:pt>
                <c:pt idx="11">
                  <c:v>6.9908814589665663E-2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C9-0E44-8662-DB7A3585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77664"/>
        <c:axId val="790461760"/>
      </c:lineChart>
      <c:catAx>
        <c:axId val="79217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330816"/>
        <c:crosses val="autoZero"/>
        <c:auto val="1"/>
        <c:lblAlgn val="ctr"/>
        <c:lblOffset val="100"/>
        <c:noMultiLvlLbl val="0"/>
      </c:catAx>
      <c:valAx>
        <c:axId val="7923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177152"/>
        <c:crosses val="autoZero"/>
        <c:crossBetween val="between"/>
      </c:valAx>
      <c:valAx>
        <c:axId val="790461760"/>
        <c:scaling>
          <c:orientation val="minMax"/>
          <c:max val="0.14000000000000001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177664"/>
        <c:crosses val="max"/>
        <c:crossBetween val="between"/>
      </c:valAx>
      <c:catAx>
        <c:axId val="79217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0461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SVC_lift!$A$25</c:f>
              <c:strCache>
                <c:ptCount val="1"/>
                <c:pt idx="0">
                  <c:v>avg_score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SVC_lift!$B$24:$X$24</c:f>
              <c:numCache>
                <c:formatCode>m/d/yy</c:formatCode>
                <c:ptCount val="23"/>
                <c:pt idx="0">
                  <c:v>42702</c:v>
                </c:pt>
                <c:pt idx="1">
                  <c:v>42709</c:v>
                </c:pt>
                <c:pt idx="2">
                  <c:v>42716</c:v>
                </c:pt>
                <c:pt idx="3">
                  <c:v>42723</c:v>
                </c:pt>
                <c:pt idx="4">
                  <c:v>42730</c:v>
                </c:pt>
                <c:pt idx="5">
                  <c:v>42737</c:v>
                </c:pt>
                <c:pt idx="6">
                  <c:v>42744</c:v>
                </c:pt>
                <c:pt idx="7">
                  <c:v>42751</c:v>
                </c:pt>
                <c:pt idx="8">
                  <c:v>42758</c:v>
                </c:pt>
                <c:pt idx="9">
                  <c:v>42765</c:v>
                </c:pt>
                <c:pt idx="10">
                  <c:v>42772</c:v>
                </c:pt>
                <c:pt idx="11">
                  <c:v>42779</c:v>
                </c:pt>
                <c:pt idx="12">
                  <c:v>42786</c:v>
                </c:pt>
                <c:pt idx="13">
                  <c:v>42793</c:v>
                </c:pt>
                <c:pt idx="14">
                  <c:v>42800</c:v>
                </c:pt>
                <c:pt idx="15">
                  <c:v>42807</c:v>
                </c:pt>
                <c:pt idx="16">
                  <c:v>42814</c:v>
                </c:pt>
                <c:pt idx="17">
                  <c:v>42821</c:v>
                </c:pt>
                <c:pt idx="18">
                  <c:v>42828</c:v>
                </c:pt>
                <c:pt idx="19">
                  <c:v>42835</c:v>
                </c:pt>
                <c:pt idx="20">
                  <c:v>42842</c:v>
                </c:pt>
                <c:pt idx="21">
                  <c:v>42849</c:v>
                </c:pt>
                <c:pt idx="22">
                  <c:v>42856</c:v>
                </c:pt>
              </c:numCache>
            </c:numRef>
          </c:cat>
          <c:val>
            <c:numRef>
              <c:f>SVC_lift!$B$25:$X$25</c:f>
              <c:numCache>
                <c:formatCode>0.000_);[Red]\(0.000\)</c:formatCode>
                <c:ptCount val="23"/>
                <c:pt idx="0">
                  <c:v>7.7610867650552529E-2</c:v>
                </c:pt>
                <c:pt idx="1">
                  <c:v>7.6032745517732481E-2</c:v>
                </c:pt>
                <c:pt idx="2">
                  <c:v>7.6289330362414393E-2</c:v>
                </c:pt>
                <c:pt idx="3">
                  <c:v>7.4930336603864847E-2</c:v>
                </c:pt>
                <c:pt idx="4">
                  <c:v>7.7291580507354227E-2</c:v>
                </c:pt>
                <c:pt idx="5">
                  <c:v>7.5253414318331172E-2</c:v>
                </c:pt>
                <c:pt idx="6">
                  <c:v>7.8250448864103914E-2</c:v>
                </c:pt>
                <c:pt idx="7">
                  <c:v>7.8991557785292654E-2</c:v>
                </c:pt>
                <c:pt idx="8">
                  <c:v>7.3249971904343555E-2</c:v>
                </c:pt>
                <c:pt idx="9">
                  <c:v>8.3933379028964958E-2</c:v>
                </c:pt>
                <c:pt idx="10">
                  <c:v>7.5107635684971003E-2</c:v>
                </c:pt>
                <c:pt idx="11">
                  <c:v>7.9718589192504852E-2</c:v>
                </c:pt>
                <c:pt idx="12">
                  <c:v>7.5992000840080037E-2</c:v>
                </c:pt>
                <c:pt idx="13">
                  <c:v>8.1498792859466221E-2</c:v>
                </c:pt>
                <c:pt idx="14">
                  <c:v>7.7067866445335489E-2</c:v>
                </c:pt>
                <c:pt idx="15">
                  <c:v>8.1122120034714917E-2</c:v>
                </c:pt>
                <c:pt idx="16">
                  <c:v>7.934971619465564E-2</c:v>
                </c:pt>
                <c:pt idx="17">
                  <c:v>8.4363361383384197E-2</c:v>
                </c:pt>
                <c:pt idx="18">
                  <c:v>8.4383745216555672E-2</c:v>
                </c:pt>
                <c:pt idx="19">
                  <c:v>8.4970391181874341E-2</c:v>
                </c:pt>
                <c:pt idx="20">
                  <c:v>8.4566930018262848E-2</c:v>
                </c:pt>
                <c:pt idx="21">
                  <c:v>8.6162848998693545E-2</c:v>
                </c:pt>
                <c:pt idx="22">
                  <c:v>8.0002591792237621E-2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B-DD4B-8FCB-8B779177B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178176"/>
        <c:axId val="792698880"/>
      </c:lineChart>
      <c:lineChart>
        <c:grouping val="standard"/>
        <c:varyColors val="0"/>
        <c:ser>
          <c:idx val="1"/>
          <c:order val="1"/>
          <c:tx>
            <c:strRef>
              <c:f>SVC_lift!$A$26</c:f>
              <c:strCache>
                <c:ptCount val="1"/>
                <c:pt idx="0">
                  <c:v>psi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SVC_lift!$B$24:$X$24</c:f>
              <c:numCache>
                <c:formatCode>m/d/yy</c:formatCode>
                <c:ptCount val="23"/>
                <c:pt idx="0">
                  <c:v>42702</c:v>
                </c:pt>
                <c:pt idx="1">
                  <c:v>42709</c:v>
                </c:pt>
                <c:pt idx="2">
                  <c:v>42716</c:v>
                </c:pt>
                <c:pt idx="3">
                  <c:v>42723</c:v>
                </c:pt>
                <c:pt idx="4">
                  <c:v>42730</c:v>
                </c:pt>
                <c:pt idx="5">
                  <c:v>42737</c:v>
                </c:pt>
                <c:pt idx="6">
                  <c:v>42744</c:v>
                </c:pt>
                <c:pt idx="7">
                  <c:v>42751</c:v>
                </c:pt>
                <c:pt idx="8">
                  <c:v>42758</c:v>
                </c:pt>
                <c:pt idx="9">
                  <c:v>42765</c:v>
                </c:pt>
                <c:pt idx="10">
                  <c:v>42772</c:v>
                </c:pt>
                <c:pt idx="11">
                  <c:v>42779</c:v>
                </c:pt>
                <c:pt idx="12">
                  <c:v>42786</c:v>
                </c:pt>
                <c:pt idx="13">
                  <c:v>42793</c:v>
                </c:pt>
                <c:pt idx="14">
                  <c:v>42800</c:v>
                </c:pt>
                <c:pt idx="15">
                  <c:v>42807</c:v>
                </c:pt>
                <c:pt idx="16">
                  <c:v>42814</c:v>
                </c:pt>
                <c:pt idx="17">
                  <c:v>42821</c:v>
                </c:pt>
                <c:pt idx="18">
                  <c:v>42828</c:v>
                </c:pt>
                <c:pt idx="19">
                  <c:v>42835</c:v>
                </c:pt>
                <c:pt idx="20">
                  <c:v>42842</c:v>
                </c:pt>
                <c:pt idx="21">
                  <c:v>42849</c:v>
                </c:pt>
                <c:pt idx="22">
                  <c:v>42856</c:v>
                </c:pt>
              </c:numCache>
            </c:numRef>
          </c:cat>
          <c:val>
            <c:numRef>
              <c:f>SVC_lift!$B$26:$X$26</c:f>
              <c:numCache>
                <c:formatCode>0.00_);[Red]\(0.00\)</c:formatCode>
                <c:ptCount val="23"/>
                <c:pt idx="0">
                  <c:v>0.14549610923321143</c:v>
                </c:pt>
                <c:pt idx="1">
                  <c:v>0.12962011460893091</c:v>
                </c:pt>
                <c:pt idx="2">
                  <c:v>0.11383839572125201</c:v>
                </c:pt>
                <c:pt idx="3">
                  <c:v>9.8838520769172558E-2</c:v>
                </c:pt>
                <c:pt idx="4">
                  <c:v>0.14337201415426273</c:v>
                </c:pt>
                <c:pt idx="5">
                  <c:v>0.12552885441718128</c:v>
                </c:pt>
                <c:pt idx="6">
                  <c:v>0.17425328861309627</c:v>
                </c:pt>
                <c:pt idx="7">
                  <c:v>0.19703857040160438</c:v>
                </c:pt>
                <c:pt idx="8">
                  <c:v>0.15635009762865254</c:v>
                </c:pt>
                <c:pt idx="9">
                  <c:v>0.32631366821835073</c:v>
                </c:pt>
                <c:pt idx="10">
                  <c:v>0.16071070122040904</c:v>
                </c:pt>
                <c:pt idx="11">
                  <c:v>0.17619597696086436</c:v>
                </c:pt>
                <c:pt idx="12">
                  <c:v>0.13907138902996827</c:v>
                </c:pt>
                <c:pt idx="13">
                  <c:v>0.21629141456209078</c:v>
                </c:pt>
                <c:pt idx="14">
                  <c:v>0.15571774885384734</c:v>
                </c:pt>
                <c:pt idx="15">
                  <c:v>0.23024536492270758</c:v>
                </c:pt>
                <c:pt idx="16">
                  <c:v>0.19403484735584597</c:v>
                </c:pt>
                <c:pt idx="17">
                  <c:v>0.26952488769386002</c:v>
                </c:pt>
                <c:pt idx="18">
                  <c:v>0.23677655237198728</c:v>
                </c:pt>
                <c:pt idx="19">
                  <c:v>0.23981920875141355</c:v>
                </c:pt>
                <c:pt idx="20">
                  <c:v>0.25469156086669165</c:v>
                </c:pt>
                <c:pt idx="21">
                  <c:v>0.25834394750243217</c:v>
                </c:pt>
                <c:pt idx="22">
                  <c:v>0.21829647102388186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3B-DD4B-8FCB-8B779177B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82816"/>
        <c:axId val="792699456"/>
      </c:lineChart>
      <c:catAx>
        <c:axId val="7921781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698880"/>
        <c:crosses val="autoZero"/>
        <c:auto val="0"/>
        <c:lblAlgn val="ctr"/>
        <c:lblOffset val="100"/>
        <c:noMultiLvlLbl val="1"/>
      </c:catAx>
      <c:valAx>
        <c:axId val="7926988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);[Red]\(0.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178176"/>
        <c:crosses val="autoZero"/>
        <c:crossBetween val="between"/>
      </c:valAx>
      <c:valAx>
        <c:axId val="792699456"/>
        <c:scaling>
          <c:orientation val="minMax"/>
          <c:max val="0.4"/>
        </c:scaling>
        <c:delete val="0"/>
        <c:axPos val="r"/>
        <c:numFmt formatCode="0.00_);[Red]\(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82816"/>
        <c:crosses val="max"/>
        <c:crossBetween val="between"/>
      </c:valAx>
      <c:dateAx>
        <c:axId val="79248281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7926994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百融</a:t>
            </a:r>
            <a:r>
              <a:rPr lang="en-US" altLang="zh-CN"/>
              <a:t>/</a:t>
            </a:r>
            <a:r>
              <a:rPr lang="zh-CN" altLang="en-US"/>
              <a:t>同盾最大多头数</a:t>
            </a:r>
          </a:p>
        </c:rich>
      </c:tx>
      <c:layout>
        <c:manualLayout>
          <c:xMode val="edge"/>
          <c:yMode val="edge"/>
          <c:x val="0.3674719913483036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446321813939919E-2"/>
          <c:y val="0.24011213999777861"/>
          <c:w val="0.91133454238359091"/>
          <c:h val="0.5618186813643248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SVC_pivot!$X$3:$X$5</c:f>
              <c:strCache>
                <c:ptCount val="1"/>
                <c:pt idx="0">
                  <c:v> CNT - 百同最大多头数=2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SVC_pivot!$X$6:$X$28</c:f>
              <c:numCache>
                <c:formatCode>General</c:formatCode>
                <c:ptCount val="23"/>
                <c:pt idx="0">
                  <c:v>352</c:v>
                </c:pt>
                <c:pt idx="1">
                  <c:v>370</c:v>
                </c:pt>
                <c:pt idx="2">
                  <c:v>382</c:v>
                </c:pt>
                <c:pt idx="3">
                  <c:v>418</c:v>
                </c:pt>
                <c:pt idx="4">
                  <c:v>502</c:v>
                </c:pt>
                <c:pt idx="5">
                  <c:v>373</c:v>
                </c:pt>
                <c:pt idx="6">
                  <c:v>348</c:v>
                </c:pt>
                <c:pt idx="7">
                  <c:v>268</c:v>
                </c:pt>
                <c:pt idx="8">
                  <c:v>57</c:v>
                </c:pt>
                <c:pt idx="9">
                  <c:v>93</c:v>
                </c:pt>
                <c:pt idx="10">
                  <c:v>207</c:v>
                </c:pt>
                <c:pt idx="11">
                  <c:v>393</c:v>
                </c:pt>
                <c:pt idx="12">
                  <c:v>371</c:v>
                </c:pt>
                <c:pt idx="13">
                  <c:v>414</c:v>
                </c:pt>
                <c:pt idx="14">
                  <c:v>435</c:v>
                </c:pt>
                <c:pt idx="15">
                  <c:v>374</c:v>
                </c:pt>
                <c:pt idx="16">
                  <c:v>360</c:v>
                </c:pt>
                <c:pt idx="17">
                  <c:v>394</c:v>
                </c:pt>
                <c:pt idx="18">
                  <c:v>335</c:v>
                </c:pt>
                <c:pt idx="19">
                  <c:v>354</c:v>
                </c:pt>
                <c:pt idx="20">
                  <c:v>426</c:v>
                </c:pt>
                <c:pt idx="21">
                  <c:v>397</c:v>
                </c:pt>
                <c:pt idx="22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6-6142-8A6B-55404E99F6B4}"/>
            </c:ext>
          </c:extLst>
        </c:ser>
        <c:ser>
          <c:idx val="1"/>
          <c:order val="1"/>
          <c:tx>
            <c:strRef>
              <c:f>SVC_pivot!$Y$3:$Y$5</c:f>
              <c:strCache>
                <c:ptCount val="1"/>
                <c:pt idx="0">
                  <c:v> CNT - 百同最大多头数&gt;=3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SVC_pivot!$Y$6:$Y$28</c:f>
              <c:numCache>
                <c:formatCode>General</c:formatCode>
                <c:ptCount val="23"/>
                <c:pt idx="0">
                  <c:v>321</c:v>
                </c:pt>
                <c:pt idx="1">
                  <c:v>367</c:v>
                </c:pt>
                <c:pt idx="2">
                  <c:v>350</c:v>
                </c:pt>
                <c:pt idx="3">
                  <c:v>390</c:v>
                </c:pt>
                <c:pt idx="4">
                  <c:v>433</c:v>
                </c:pt>
                <c:pt idx="5">
                  <c:v>352</c:v>
                </c:pt>
                <c:pt idx="6">
                  <c:v>347</c:v>
                </c:pt>
                <c:pt idx="7">
                  <c:v>268</c:v>
                </c:pt>
                <c:pt idx="8">
                  <c:v>43</c:v>
                </c:pt>
                <c:pt idx="9">
                  <c:v>94</c:v>
                </c:pt>
                <c:pt idx="10">
                  <c:v>204</c:v>
                </c:pt>
                <c:pt idx="11">
                  <c:v>328</c:v>
                </c:pt>
                <c:pt idx="12">
                  <c:v>329</c:v>
                </c:pt>
                <c:pt idx="13">
                  <c:v>399</c:v>
                </c:pt>
                <c:pt idx="14">
                  <c:v>364</c:v>
                </c:pt>
                <c:pt idx="15">
                  <c:v>364</c:v>
                </c:pt>
                <c:pt idx="16">
                  <c:v>350</c:v>
                </c:pt>
                <c:pt idx="17">
                  <c:v>366</c:v>
                </c:pt>
                <c:pt idx="18">
                  <c:v>354</c:v>
                </c:pt>
                <c:pt idx="19">
                  <c:v>401</c:v>
                </c:pt>
                <c:pt idx="20">
                  <c:v>431</c:v>
                </c:pt>
                <c:pt idx="21">
                  <c:v>448</c:v>
                </c:pt>
                <c:pt idx="22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6-6142-8A6B-55404E99F6B4}"/>
            </c:ext>
          </c:extLst>
        </c:ser>
        <c:ser>
          <c:idx val="2"/>
          <c:order val="2"/>
          <c:tx>
            <c:strRef>
              <c:f>SVC_pivot!$Z$3:$Z$5</c:f>
              <c:strCache>
                <c:ptCount val="1"/>
                <c:pt idx="0">
                  <c:v> CNT - 百同最大多头数low-2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SVC_pivot!$Z$6:$Z$28</c:f>
              <c:numCache>
                <c:formatCode>General</c:formatCode>
                <c:ptCount val="23"/>
                <c:pt idx="0">
                  <c:v>1083</c:v>
                </c:pt>
                <c:pt idx="1">
                  <c:v>1270</c:v>
                </c:pt>
                <c:pt idx="2">
                  <c:v>1219</c:v>
                </c:pt>
                <c:pt idx="3">
                  <c:v>1275</c:v>
                </c:pt>
                <c:pt idx="4">
                  <c:v>1410</c:v>
                </c:pt>
                <c:pt idx="5">
                  <c:v>1092</c:v>
                </c:pt>
                <c:pt idx="6">
                  <c:v>908</c:v>
                </c:pt>
                <c:pt idx="7">
                  <c:v>717</c:v>
                </c:pt>
                <c:pt idx="8">
                  <c:v>126</c:v>
                </c:pt>
                <c:pt idx="9">
                  <c:v>204</c:v>
                </c:pt>
                <c:pt idx="10">
                  <c:v>779</c:v>
                </c:pt>
                <c:pt idx="11">
                  <c:v>981</c:v>
                </c:pt>
                <c:pt idx="12">
                  <c:v>1021</c:v>
                </c:pt>
                <c:pt idx="13">
                  <c:v>1061</c:v>
                </c:pt>
                <c:pt idx="14">
                  <c:v>1046</c:v>
                </c:pt>
                <c:pt idx="15">
                  <c:v>904</c:v>
                </c:pt>
                <c:pt idx="16">
                  <c:v>918</c:v>
                </c:pt>
                <c:pt idx="17">
                  <c:v>757</c:v>
                </c:pt>
                <c:pt idx="18">
                  <c:v>796</c:v>
                </c:pt>
                <c:pt idx="19">
                  <c:v>847</c:v>
                </c:pt>
                <c:pt idx="20">
                  <c:v>901</c:v>
                </c:pt>
                <c:pt idx="21">
                  <c:v>879</c:v>
                </c:pt>
                <c:pt idx="22">
                  <c:v>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6-6142-8A6B-55404E99F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2483328"/>
        <c:axId val="792702912"/>
      </c:barChart>
      <c:lineChart>
        <c:grouping val="standard"/>
        <c:varyColors val="0"/>
        <c:ser>
          <c:idx val="3"/>
          <c:order val="3"/>
          <c:tx>
            <c:strRef>
              <c:f>SVC_pivot!$AA$3:$AA$5</c:f>
              <c:strCache>
                <c:ptCount val="1"/>
                <c:pt idx="0">
                  <c:v> 通过率 - 百同最大多头数=2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SVC_pivot!$AA$6:$AA$28</c:f>
              <c:numCache>
                <c:formatCode>0.00%</c:formatCode>
                <c:ptCount val="23"/>
                <c:pt idx="0">
                  <c:v>0.85511363636363635</c:v>
                </c:pt>
                <c:pt idx="1">
                  <c:v>0.88378378378378375</c:v>
                </c:pt>
                <c:pt idx="2">
                  <c:v>0.86649214659685869</c:v>
                </c:pt>
                <c:pt idx="3">
                  <c:v>0.88038277511961727</c:v>
                </c:pt>
                <c:pt idx="4">
                  <c:v>0.83266932270916338</c:v>
                </c:pt>
                <c:pt idx="5">
                  <c:v>0.83378016085790885</c:v>
                </c:pt>
                <c:pt idx="6">
                  <c:v>0.81034482758620685</c:v>
                </c:pt>
                <c:pt idx="7">
                  <c:v>0.82462686567164178</c:v>
                </c:pt>
                <c:pt idx="8">
                  <c:v>0.82456140350877194</c:v>
                </c:pt>
                <c:pt idx="9">
                  <c:v>0.72043010752688175</c:v>
                </c:pt>
                <c:pt idx="10">
                  <c:v>0.79227053140096615</c:v>
                </c:pt>
                <c:pt idx="11">
                  <c:v>0.7862595419847328</c:v>
                </c:pt>
                <c:pt idx="12">
                  <c:v>0.77897574123989222</c:v>
                </c:pt>
                <c:pt idx="13">
                  <c:v>0.69565217391304346</c:v>
                </c:pt>
                <c:pt idx="14">
                  <c:v>0.70574712643678161</c:v>
                </c:pt>
                <c:pt idx="15">
                  <c:v>0.68181818181818177</c:v>
                </c:pt>
                <c:pt idx="16">
                  <c:v>0.68055555555555558</c:v>
                </c:pt>
                <c:pt idx="17">
                  <c:v>0.64467005076142136</c:v>
                </c:pt>
                <c:pt idx="18">
                  <c:v>0.67462686567164176</c:v>
                </c:pt>
                <c:pt idx="19">
                  <c:v>0.66384180790960456</c:v>
                </c:pt>
                <c:pt idx="20">
                  <c:v>0.68075117370892024</c:v>
                </c:pt>
                <c:pt idx="21">
                  <c:v>0.72544080604534</c:v>
                </c:pt>
                <c:pt idx="22">
                  <c:v>0.73264781491002573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D6-6142-8A6B-55404E99F6B4}"/>
            </c:ext>
          </c:extLst>
        </c:ser>
        <c:ser>
          <c:idx val="4"/>
          <c:order val="4"/>
          <c:tx>
            <c:strRef>
              <c:f>SVC_pivot!$AB$3:$AB$5</c:f>
              <c:strCache>
                <c:ptCount val="1"/>
                <c:pt idx="0">
                  <c:v> 通过率 - 百同最大多头数&gt;=3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SVC_pivot!$AB$6:$AB$28</c:f>
              <c:numCache>
                <c:formatCode>0.00%</c:formatCode>
                <c:ptCount val="23"/>
                <c:pt idx="0">
                  <c:v>0.76635514018691586</c:v>
                </c:pt>
                <c:pt idx="1">
                  <c:v>0.75204359673024523</c:v>
                </c:pt>
                <c:pt idx="2">
                  <c:v>0.77142857142857146</c:v>
                </c:pt>
                <c:pt idx="3">
                  <c:v>0.79230769230769227</c:v>
                </c:pt>
                <c:pt idx="4">
                  <c:v>0.78521939953810627</c:v>
                </c:pt>
                <c:pt idx="5">
                  <c:v>0.72727272727272729</c:v>
                </c:pt>
                <c:pt idx="6">
                  <c:v>0.75504322766570608</c:v>
                </c:pt>
                <c:pt idx="7">
                  <c:v>0.69029850746268662</c:v>
                </c:pt>
                <c:pt idx="8">
                  <c:v>0.76744186046511631</c:v>
                </c:pt>
                <c:pt idx="9">
                  <c:v>0.77659574468085102</c:v>
                </c:pt>
                <c:pt idx="10">
                  <c:v>0.67156862745098034</c:v>
                </c:pt>
                <c:pt idx="11">
                  <c:v>0.71646341463414631</c:v>
                </c:pt>
                <c:pt idx="12">
                  <c:v>0.68693009118541037</c:v>
                </c:pt>
                <c:pt idx="13">
                  <c:v>0.5664160401002506</c:v>
                </c:pt>
                <c:pt idx="14">
                  <c:v>0.52197802197802201</c:v>
                </c:pt>
                <c:pt idx="15">
                  <c:v>0.50274725274725274</c:v>
                </c:pt>
                <c:pt idx="16">
                  <c:v>0.46571428571428569</c:v>
                </c:pt>
                <c:pt idx="17">
                  <c:v>0.49180327868852458</c:v>
                </c:pt>
                <c:pt idx="18">
                  <c:v>0.52259887005649719</c:v>
                </c:pt>
                <c:pt idx="19">
                  <c:v>0.47132169576059851</c:v>
                </c:pt>
                <c:pt idx="20">
                  <c:v>0.51740139211136893</c:v>
                </c:pt>
                <c:pt idx="21">
                  <c:v>0.5892857142857143</c:v>
                </c:pt>
                <c:pt idx="22">
                  <c:v>0.55936675461741425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D6-6142-8A6B-55404E99F6B4}"/>
            </c:ext>
          </c:extLst>
        </c:ser>
        <c:ser>
          <c:idx val="5"/>
          <c:order val="5"/>
          <c:tx>
            <c:strRef>
              <c:f>SVC_pivot!$AC$3:$AC$5</c:f>
              <c:strCache>
                <c:ptCount val="1"/>
                <c:pt idx="0">
                  <c:v> 通过率 - 百同最大多头数low-2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SVC_pivot!$W$6:$W$28</c:f>
              <c:strCache>
                <c:ptCount val="23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  <c:pt idx="8">
                  <c:v>2017/1/23</c:v>
                </c:pt>
                <c:pt idx="9">
                  <c:v>2017/1/30</c:v>
                </c:pt>
                <c:pt idx="10">
                  <c:v>2017/2/6</c:v>
                </c:pt>
                <c:pt idx="11">
                  <c:v>2017/2/13</c:v>
                </c:pt>
                <c:pt idx="12">
                  <c:v>2017/2/20</c:v>
                </c:pt>
                <c:pt idx="13">
                  <c:v>2017/2/27</c:v>
                </c:pt>
                <c:pt idx="14">
                  <c:v>2017/3/6</c:v>
                </c:pt>
                <c:pt idx="15">
                  <c:v>2017/3/13</c:v>
                </c:pt>
                <c:pt idx="16">
                  <c:v>2017/3/20</c:v>
                </c:pt>
                <c:pt idx="17">
                  <c:v>2017/3/27</c:v>
                </c:pt>
                <c:pt idx="18">
                  <c:v>2017/4/3</c:v>
                </c:pt>
                <c:pt idx="19">
                  <c:v>2017/4/10</c:v>
                </c:pt>
                <c:pt idx="20">
                  <c:v>2017/4/17</c:v>
                </c:pt>
                <c:pt idx="21">
                  <c:v>2017/4/24</c:v>
                </c:pt>
                <c:pt idx="22">
                  <c:v>2017/5/1</c:v>
                </c:pt>
              </c:strCache>
            </c:strRef>
          </c:cat>
          <c:val>
            <c:numRef>
              <c:f>SVC_pivot!$AC$6:$AC$28</c:f>
              <c:numCache>
                <c:formatCode>0.00%</c:formatCode>
                <c:ptCount val="23"/>
                <c:pt idx="0">
                  <c:v>0.88180978762696216</c:v>
                </c:pt>
                <c:pt idx="1">
                  <c:v>0.88661417322834646</c:v>
                </c:pt>
                <c:pt idx="2">
                  <c:v>0.89171452009844132</c:v>
                </c:pt>
                <c:pt idx="3">
                  <c:v>0.86901960784313725</c:v>
                </c:pt>
                <c:pt idx="4">
                  <c:v>0.85815602836879434</c:v>
                </c:pt>
                <c:pt idx="5">
                  <c:v>0.86630036630036633</c:v>
                </c:pt>
                <c:pt idx="6">
                  <c:v>0.8535242290748899</c:v>
                </c:pt>
                <c:pt idx="7">
                  <c:v>0.85913528591352861</c:v>
                </c:pt>
                <c:pt idx="8">
                  <c:v>0.83333333333333337</c:v>
                </c:pt>
                <c:pt idx="9">
                  <c:v>0.81372549019607843</c:v>
                </c:pt>
                <c:pt idx="10">
                  <c:v>0.86264441591784335</c:v>
                </c:pt>
                <c:pt idx="11">
                  <c:v>0.8379204892966361</c:v>
                </c:pt>
                <c:pt idx="12">
                  <c:v>0.79040156709108722</c:v>
                </c:pt>
                <c:pt idx="13">
                  <c:v>0.80207351555136663</c:v>
                </c:pt>
                <c:pt idx="14">
                  <c:v>0.74282982791586993</c:v>
                </c:pt>
                <c:pt idx="15">
                  <c:v>0.75</c:v>
                </c:pt>
                <c:pt idx="16">
                  <c:v>0.75490196078431371</c:v>
                </c:pt>
                <c:pt idx="17">
                  <c:v>0.74372523117569356</c:v>
                </c:pt>
                <c:pt idx="18">
                  <c:v>0.76256281407035176</c:v>
                </c:pt>
                <c:pt idx="19">
                  <c:v>0.76269185360094449</c:v>
                </c:pt>
                <c:pt idx="20">
                  <c:v>0.7669256381798002</c:v>
                </c:pt>
                <c:pt idx="21">
                  <c:v>0.79522184300341292</c:v>
                </c:pt>
                <c:pt idx="22">
                  <c:v>0.76356192425793246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D6-6142-8A6B-55404E99F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84864"/>
        <c:axId val="792703488"/>
      </c:lineChart>
      <c:catAx>
        <c:axId val="79248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702912"/>
        <c:crosses val="autoZero"/>
        <c:auto val="1"/>
        <c:lblAlgn val="ctr"/>
        <c:lblOffset val="100"/>
        <c:noMultiLvlLbl val="0"/>
      </c:catAx>
      <c:valAx>
        <c:axId val="79270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83328"/>
        <c:crosses val="autoZero"/>
        <c:crossBetween val="between"/>
      </c:valAx>
      <c:valAx>
        <c:axId val="7927034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84864"/>
        <c:crosses val="max"/>
        <c:crossBetween val="between"/>
      </c:valAx>
      <c:catAx>
        <c:axId val="792484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2703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4734531850580287"/>
          <c:y val="9.6746987951807251E-2"/>
          <c:w val="0.82997685185185188"/>
          <c:h val="0.12601535340805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[评分卡监控报告.xlsm]SVC_pivot!数据透视表15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百融</a:t>
            </a:r>
            <a:r>
              <a:rPr lang="en-US" altLang="zh-CN"/>
              <a:t>/</a:t>
            </a:r>
            <a:r>
              <a:rPr lang="zh-CN" altLang="en-US"/>
              <a:t>同盾最大多头数</a:t>
            </a:r>
          </a:p>
        </c:rich>
      </c:tx>
      <c:layout>
        <c:manualLayout>
          <c:xMode val="edge"/>
          <c:yMode val="edge"/>
          <c:x val="0.3595570002792691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147438812293315E-2"/>
          <c:y val="0.2479269883943348"/>
          <c:w val="0.9060392151812956"/>
          <c:h val="0.6614275389719412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SVC_pivot!$X$35:$X$37</c:f>
              <c:strCache>
                <c:ptCount val="1"/>
                <c:pt idx="0">
                  <c:v> AGR - 百同最大多头数=2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SVC_pivot!$X$38:$X$45</c:f>
              <c:numCache>
                <c:formatCode>General</c:formatCode>
                <c:ptCount val="8"/>
                <c:pt idx="0">
                  <c:v>298</c:v>
                </c:pt>
                <c:pt idx="1">
                  <c:v>320</c:v>
                </c:pt>
                <c:pt idx="2">
                  <c:v>327</c:v>
                </c:pt>
                <c:pt idx="3">
                  <c:v>359</c:v>
                </c:pt>
                <c:pt idx="4">
                  <c:v>409</c:v>
                </c:pt>
                <c:pt idx="5">
                  <c:v>300</c:v>
                </c:pt>
                <c:pt idx="6">
                  <c:v>272</c:v>
                </c:pt>
                <c:pt idx="7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D-044A-B9E9-DDA2789417CD}"/>
            </c:ext>
          </c:extLst>
        </c:ser>
        <c:ser>
          <c:idx val="1"/>
          <c:order val="1"/>
          <c:tx>
            <c:strRef>
              <c:f>SVC_pivot!$Y$35:$Y$37</c:f>
              <c:strCache>
                <c:ptCount val="1"/>
                <c:pt idx="0">
                  <c:v> AGR - 百同最大多头数&gt;=3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SVC_pivot!$Y$38:$Y$45</c:f>
              <c:numCache>
                <c:formatCode>General</c:formatCode>
                <c:ptCount val="8"/>
                <c:pt idx="0">
                  <c:v>243</c:v>
                </c:pt>
                <c:pt idx="1">
                  <c:v>272</c:v>
                </c:pt>
                <c:pt idx="2">
                  <c:v>266</c:v>
                </c:pt>
                <c:pt idx="3">
                  <c:v>306</c:v>
                </c:pt>
                <c:pt idx="4">
                  <c:v>334</c:v>
                </c:pt>
                <c:pt idx="5">
                  <c:v>252</c:v>
                </c:pt>
                <c:pt idx="6">
                  <c:v>256</c:v>
                </c:pt>
                <c:pt idx="7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D-044A-B9E9-DDA2789417CD}"/>
            </c:ext>
          </c:extLst>
        </c:ser>
        <c:ser>
          <c:idx val="2"/>
          <c:order val="2"/>
          <c:tx>
            <c:strRef>
              <c:f>SVC_pivot!$Z$35:$Z$37</c:f>
              <c:strCache>
                <c:ptCount val="1"/>
                <c:pt idx="0">
                  <c:v> AGR - 百同最大多头数low-2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SVC_pivot!$Z$38:$Z$45</c:f>
              <c:numCache>
                <c:formatCode>General</c:formatCode>
                <c:ptCount val="8"/>
                <c:pt idx="0">
                  <c:v>915</c:v>
                </c:pt>
                <c:pt idx="1">
                  <c:v>1087</c:v>
                </c:pt>
                <c:pt idx="2">
                  <c:v>1046</c:v>
                </c:pt>
                <c:pt idx="3">
                  <c:v>1056</c:v>
                </c:pt>
                <c:pt idx="4">
                  <c:v>1157</c:v>
                </c:pt>
                <c:pt idx="5">
                  <c:v>902</c:v>
                </c:pt>
                <c:pt idx="6">
                  <c:v>740</c:v>
                </c:pt>
                <c:pt idx="7">
                  <c:v>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D-044A-B9E9-DDA278941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2483840"/>
        <c:axId val="792337728"/>
      </c:barChart>
      <c:lineChart>
        <c:grouping val="standard"/>
        <c:varyColors val="0"/>
        <c:ser>
          <c:idx val="3"/>
          <c:order val="3"/>
          <c:tx>
            <c:strRef>
              <c:f>SVC_pivot!$AA$35:$AA$37</c:f>
              <c:strCache>
                <c:ptCount val="1"/>
                <c:pt idx="0">
                  <c:v>FSTPD10(%) - 百同最大多头数=2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SVC_pivot!$AA$38:$AA$45</c:f>
              <c:numCache>
                <c:formatCode>General</c:formatCode>
                <c:ptCount val="8"/>
                <c:pt idx="0">
                  <c:v>6.7114093959731544E-2</c:v>
                </c:pt>
                <c:pt idx="1">
                  <c:v>8.1250000000000003E-2</c:v>
                </c:pt>
                <c:pt idx="2">
                  <c:v>4.8929663608562692E-2</c:v>
                </c:pt>
                <c:pt idx="3">
                  <c:v>7.2423398328690811E-2</c:v>
                </c:pt>
                <c:pt idx="4">
                  <c:v>5.1344743276283619E-2</c:v>
                </c:pt>
                <c:pt idx="5">
                  <c:v>8.3333333333333329E-2</c:v>
                </c:pt>
                <c:pt idx="6">
                  <c:v>6.6176470588235295E-2</c:v>
                </c:pt>
                <c:pt idx="7">
                  <c:v>6.6666666666666666E-2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3D-044A-B9E9-DDA2789417CD}"/>
            </c:ext>
          </c:extLst>
        </c:ser>
        <c:ser>
          <c:idx val="4"/>
          <c:order val="4"/>
          <c:tx>
            <c:strRef>
              <c:f>SVC_pivot!$AB$35:$AB$37</c:f>
              <c:strCache>
                <c:ptCount val="1"/>
                <c:pt idx="0">
                  <c:v>FSTPD10(%) - 百同最大多头数&gt;=3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SVC_pivot!$AB$38:$AB$45</c:f>
              <c:numCache>
                <c:formatCode>General</c:formatCode>
                <c:ptCount val="8"/>
                <c:pt idx="0">
                  <c:v>0.14814814814814814</c:v>
                </c:pt>
                <c:pt idx="1">
                  <c:v>0.20220588235294118</c:v>
                </c:pt>
                <c:pt idx="2">
                  <c:v>0.16541353383458646</c:v>
                </c:pt>
                <c:pt idx="3">
                  <c:v>0.17647058823529413</c:v>
                </c:pt>
                <c:pt idx="4">
                  <c:v>0.15269461077844312</c:v>
                </c:pt>
                <c:pt idx="5">
                  <c:v>0.14285714285714285</c:v>
                </c:pt>
                <c:pt idx="6">
                  <c:v>0.1640625</c:v>
                </c:pt>
                <c:pt idx="7">
                  <c:v>0.17222222222222222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3D-044A-B9E9-DDA2789417CD}"/>
            </c:ext>
          </c:extLst>
        </c:ser>
        <c:ser>
          <c:idx val="5"/>
          <c:order val="5"/>
          <c:tx>
            <c:strRef>
              <c:f>SVC_pivot!$AC$35:$AC$37</c:f>
              <c:strCache>
                <c:ptCount val="1"/>
                <c:pt idx="0">
                  <c:v>FSTPD10(%) - 百同最大多头数low-2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SVC_pivot!$W$38:$W$45</c:f>
              <c:strCache>
                <c:ptCount val="8"/>
                <c:pt idx="0">
                  <c:v>2016/11/28</c:v>
                </c:pt>
                <c:pt idx="1">
                  <c:v>2016/12/5</c:v>
                </c:pt>
                <c:pt idx="2">
                  <c:v>2016/12/12</c:v>
                </c:pt>
                <c:pt idx="3">
                  <c:v>2016/12/19</c:v>
                </c:pt>
                <c:pt idx="4">
                  <c:v>2016/12/26</c:v>
                </c:pt>
                <c:pt idx="5">
                  <c:v>2017/1/2</c:v>
                </c:pt>
                <c:pt idx="6">
                  <c:v>2017/1/9</c:v>
                </c:pt>
                <c:pt idx="7">
                  <c:v>2017/1/16</c:v>
                </c:pt>
              </c:strCache>
            </c:strRef>
          </c:cat>
          <c:val>
            <c:numRef>
              <c:f>SVC_pivot!$AC$38:$AC$45</c:f>
              <c:numCache>
                <c:formatCode>General</c:formatCode>
                <c:ptCount val="8"/>
                <c:pt idx="0">
                  <c:v>4.9180327868852458E-2</c:v>
                </c:pt>
                <c:pt idx="1">
                  <c:v>5.1517939282428704E-2</c:v>
                </c:pt>
                <c:pt idx="2">
                  <c:v>4.8757170172084127E-2</c:v>
                </c:pt>
                <c:pt idx="3">
                  <c:v>4.6401515151515152E-2</c:v>
                </c:pt>
                <c:pt idx="4">
                  <c:v>3.9757994814174587E-2</c:v>
                </c:pt>
                <c:pt idx="5">
                  <c:v>6.097560975609756E-2</c:v>
                </c:pt>
                <c:pt idx="6">
                  <c:v>7.1621621621621626E-2</c:v>
                </c:pt>
                <c:pt idx="7">
                  <c:v>4.0201005025125629E-2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3D-044A-B9E9-DDA278941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85376"/>
        <c:axId val="792701184"/>
      </c:lineChart>
      <c:catAx>
        <c:axId val="7924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337728"/>
        <c:crosses val="autoZero"/>
        <c:auto val="1"/>
        <c:lblAlgn val="ctr"/>
        <c:lblOffset val="100"/>
        <c:noMultiLvlLbl val="0"/>
      </c:catAx>
      <c:valAx>
        <c:axId val="7923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83840"/>
        <c:crosses val="autoZero"/>
        <c:crossBetween val="between"/>
      </c:valAx>
      <c:valAx>
        <c:axId val="792701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85376"/>
        <c:crosses val="max"/>
        <c:crossBetween val="between"/>
      </c:valAx>
      <c:catAx>
        <c:axId val="792485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2701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4202646376865248E-2"/>
          <c:y val="7.6216001178996032E-2"/>
          <c:w val="0.98016158978985601"/>
          <c:h val="0.125527386890068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7620</xdr:rowOff>
    </xdr:from>
    <xdr:to>
      <xdr:col>11</xdr:col>
      <xdr:colOff>7620</xdr:colOff>
      <xdr:row>55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376897</xdr:colOff>
      <xdr:row>38</xdr:row>
      <xdr:rowOff>199878</xdr:rowOff>
    </xdr:from>
    <xdr:to>
      <xdr:col>22</xdr:col>
      <xdr:colOff>533400</xdr:colOff>
      <xdr:row>55</xdr:row>
      <xdr:rowOff>79716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10</xdr:col>
      <xdr:colOff>586740</xdr:colOff>
      <xdr:row>73</xdr:row>
      <xdr:rowOff>15240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23</xdr:col>
      <xdr:colOff>7620</xdr:colOff>
      <xdr:row>73</xdr:row>
      <xdr:rowOff>15240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74</xdr:row>
      <xdr:rowOff>0</xdr:rowOff>
    </xdr:from>
    <xdr:to>
      <xdr:col>10</xdr:col>
      <xdr:colOff>586740</xdr:colOff>
      <xdr:row>89</xdr:row>
      <xdr:rowOff>167640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7620</xdr:colOff>
      <xdr:row>74</xdr:row>
      <xdr:rowOff>0</xdr:rowOff>
    </xdr:from>
    <xdr:to>
      <xdr:col>23</xdr:col>
      <xdr:colOff>60960</xdr:colOff>
      <xdr:row>89</xdr:row>
      <xdr:rowOff>129540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10</xdr:col>
      <xdr:colOff>525780</xdr:colOff>
      <xdr:row>123</xdr:row>
      <xdr:rowOff>7620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108</xdr:row>
      <xdr:rowOff>0</xdr:rowOff>
    </xdr:from>
    <xdr:to>
      <xdr:col>23</xdr:col>
      <xdr:colOff>68580</xdr:colOff>
      <xdr:row>123</xdr:row>
      <xdr:rowOff>7620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125</xdr:row>
      <xdr:rowOff>15240</xdr:rowOff>
    </xdr:from>
    <xdr:to>
      <xdr:col>10</xdr:col>
      <xdr:colOff>495300</xdr:colOff>
      <xdr:row>141</xdr:row>
      <xdr:rowOff>22860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125</xdr:row>
      <xdr:rowOff>0</xdr:rowOff>
    </xdr:from>
    <xdr:to>
      <xdr:col>23</xdr:col>
      <xdr:colOff>53340</xdr:colOff>
      <xdr:row>140</xdr:row>
      <xdr:rowOff>175260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143</xdr:row>
      <xdr:rowOff>0</xdr:rowOff>
    </xdr:from>
    <xdr:to>
      <xdr:col>10</xdr:col>
      <xdr:colOff>457200</xdr:colOff>
      <xdr:row>158</xdr:row>
      <xdr:rowOff>160020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143</xdr:row>
      <xdr:rowOff>0</xdr:rowOff>
    </xdr:from>
    <xdr:to>
      <xdr:col>23</xdr:col>
      <xdr:colOff>0</xdr:colOff>
      <xdr:row>158</xdr:row>
      <xdr:rowOff>160020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160</xdr:row>
      <xdr:rowOff>45720</xdr:rowOff>
    </xdr:from>
    <xdr:to>
      <xdr:col>10</xdr:col>
      <xdr:colOff>480060</xdr:colOff>
      <xdr:row>175</xdr:row>
      <xdr:rowOff>152400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7620</xdr:colOff>
      <xdr:row>160</xdr:row>
      <xdr:rowOff>30480</xdr:rowOff>
    </xdr:from>
    <xdr:to>
      <xdr:col>23</xdr:col>
      <xdr:colOff>7620</xdr:colOff>
      <xdr:row>175</xdr:row>
      <xdr:rowOff>106680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0</xdr:colOff>
      <xdr:row>177</xdr:row>
      <xdr:rowOff>76200</xdr:rowOff>
    </xdr:from>
    <xdr:to>
      <xdr:col>23</xdr:col>
      <xdr:colOff>396240</xdr:colOff>
      <xdr:row>198</xdr:row>
      <xdr:rowOff>22860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177</xdr:row>
      <xdr:rowOff>0</xdr:rowOff>
    </xdr:from>
    <xdr:to>
      <xdr:col>10</xdr:col>
      <xdr:colOff>449580</xdr:colOff>
      <xdr:row>197</xdr:row>
      <xdr:rowOff>175260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0</xdr:colOff>
      <xdr:row>3</xdr:row>
      <xdr:rowOff>22860</xdr:rowOff>
    </xdr:from>
    <xdr:to>
      <xdr:col>22</xdr:col>
      <xdr:colOff>533400</xdr:colOff>
      <xdr:row>17</xdr:row>
      <xdr:rowOff>114300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3</xdr:row>
      <xdr:rowOff>22860</xdr:rowOff>
    </xdr:from>
    <xdr:to>
      <xdr:col>11</xdr:col>
      <xdr:colOff>15240</xdr:colOff>
      <xdr:row>17</xdr:row>
      <xdr:rowOff>137160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</xdr:row>
      <xdr:rowOff>0</xdr:rowOff>
    </xdr:from>
    <xdr:to>
      <xdr:col>11</xdr:col>
      <xdr:colOff>21102</xdr:colOff>
      <xdr:row>32</xdr:row>
      <xdr:rowOff>137160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10</xdr:col>
      <xdr:colOff>548640</xdr:colOff>
      <xdr:row>106</xdr:row>
      <xdr:rowOff>190500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0</xdr:colOff>
      <xdr:row>91</xdr:row>
      <xdr:rowOff>0</xdr:rowOff>
    </xdr:from>
    <xdr:to>
      <xdr:col>23</xdr:col>
      <xdr:colOff>22860</xdr:colOff>
      <xdr:row>106</xdr:row>
      <xdr:rowOff>190500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苏天怡" refreshedDate="42863.461378703701" createdVersion="5" refreshedVersion="4" minRefreshableVersion="3" recordCount="25104" xr:uid="{00000000-000A-0000-FFFF-FFFF3E000000}">
  <cacheSource type="worksheet">
    <worksheetSource ref="BL1:BT1048576" sheet="Sheet1"/>
  </cacheSource>
  <cacheFields count="9">
    <cacheField name="SCORING_DATE" numFmtId="0">
      <sharedItems containsNonDate="0" containsDate="1" containsString="0" containsBlank="1" minDate="2017-03-03T00:00:00" maxDate="2017-03-04T00:00:00"/>
    </cacheField>
    <cacheField name="DATA_WEEK" numFmtId="0">
      <sharedItems containsNonDate="0" containsDate="1" containsString="0" containsBlank="1" minDate="2016-08-29T00:00:00" maxDate="2017-01-17T00:00:00" count="22">
        <d v="2016-10-31T00:00:00"/>
        <d v="2016-11-07T00:00:00"/>
        <d v="2016-11-14T00:00:00"/>
        <d v="2016-11-21T00:00:00"/>
        <d v="2016-12-05T00:00:00"/>
        <d v="2016-11-28T00:00:00"/>
        <d v="2016-12-12T00:00:00"/>
        <d v="2016-12-19T00:00:00"/>
        <d v="2017-01-09T00:00:00"/>
        <d v="2017-01-16T00:00:00"/>
        <d v="2016-12-26T00:00:00"/>
        <d v="2017-01-02T00:00:00"/>
        <m/>
        <d v="2016-09-26T00:00:00" u="1"/>
        <d v="2016-09-19T00:00:00" u="1"/>
        <d v="2016-10-24T00:00:00" u="1"/>
        <d v="2016-09-12T00:00:00" u="1"/>
        <d v="2016-10-17T00:00:00" u="1"/>
        <d v="2016-09-05T00:00:00" u="1"/>
        <d v="2016-10-10T00:00:00" u="1"/>
        <d v="2016-10-03T00:00:00" u="1"/>
        <d v="2016-08-29T00:00:00" u="1"/>
      </sharedItems>
    </cacheField>
    <cacheField name="BAD" numFmtId="0">
      <sharedItems containsString="0" containsBlank="1" containsNumber="1" containsInteger="1" minValue="51" maxValue="136"/>
    </cacheField>
    <cacheField name="CNT" numFmtId="0">
      <sharedItems containsString="0" containsBlank="1" containsNumber="1" containsInteger="1" minValue="987" maxValue="1880"/>
    </cacheField>
    <cacheField name="GINI" numFmtId="0">
      <sharedItems containsString="0" containsBlank="1" containsNumber="1" minValue="0.23429088126869307" maxValue="0.43830653691559129"/>
    </cacheField>
    <cacheField name="KS" numFmtId="0">
      <sharedItems containsString="0" containsBlank="1" containsNumber="1" minValue="0.19223064617096752" maxValue="0.34965921114145815"/>
    </cacheField>
    <cacheField name="LIFT" numFmtId="0">
      <sharedItems containsString="0" containsBlank="1" containsNumber="1" minValue="2.0099290000000001" maxValue="3.7893880000000002"/>
    </cacheField>
    <cacheField name="CREATE_TIME" numFmtId="0">
      <sharedItems containsNonDate="0" containsDate="1" containsString="0" containsBlank="1" minDate="2017-03-06T09:47:56" maxDate="2017-05-08T07:02:16"/>
    </cacheField>
    <cacheField name="BAD_RATE" numFmtId="0">
      <sharedItems containsString="0" containsBlank="1" containsNumber="1" minValue="4.2584434654919234E-2" maxValue="8.771929824561404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苏天怡" refreshedDate="42863.461380208333" createdVersion="5" refreshedVersion="4" minRefreshableVersion="3" recordCount="25104" xr:uid="{00000000-000A-0000-FFFF-FFFF4B000000}">
  <cacheSource type="worksheet">
    <worksheetSource ref="BV1:CK1048576" sheet="Sheet1"/>
  </cacheSource>
  <cacheFields count="20">
    <cacheField name="APP_WEEK" numFmtId="0">
      <sharedItems containsNonDate="0" containsDate="1" containsString="0" containsBlank="1" minDate="2016-09-26T00:00:00" maxDate="2017-05-02T00:00:00" count="33">
        <d v="2016-11-28T00:00:00"/>
        <d v="2016-12-26T00:00:00"/>
        <d v="2017-02-27T00:00:00"/>
        <d v="2017-04-24T00:00:00"/>
        <d v="2017-04-10T00:00:00"/>
        <d v="2017-01-02T00:00:00"/>
        <d v="2017-02-06T00:00:00"/>
        <d v="2017-03-13T00:00:00"/>
        <d v="2017-03-20T00:00:00"/>
        <d v="2016-12-19T00:00:00"/>
        <d v="2017-04-03T00:00:00"/>
        <d v="2017-05-01T00:00:00"/>
        <d v="2017-02-13T00:00:00"/>
        <d v="2017-01-23T00:00:00"/>
        <d v="2017-03-06T00:00:00"/>
        <d v="2016-12-05T00:00:00"/>
        <d v="2017-02-20T00:00:00"/>
        <d v="2017-01-09T00:00:00"/>
        <d v="2017-01-30T00:00:00"/>
        <d v="2017-04-17T00:00:00"/>
        <d v="2016-12-12T00:00:00"/>
        <d v="2017-03-27T00:00:00"/>
        <d v="2017-01-16T00:00:00"/>
        <m/>
        <d v="2016-11-21T00:00:00" u="1"/>
        <d v="2016-11-14T00:00:00" u="1"/>
        <d v="2016-11-07T00:00:00" u="1"/>
        <d v="2016-09-26T00:00:00" u="1"/>
        <d v="2016-10-31T00:00:00" u="1"/>
        <d v="2016-10-24T00:00:00" u="1"/>
        <d v="2016-10-17T00:00:00" u="1"/>
        <d v="2016-10-10T00:00:00" u="1"/>
        <d v="2016-10-03T00:00:00" u="1"/>
      </sharedItems>
    </cacheField>
    <cacheField name="GRP_AGE" numFmtId="0">
      <sharedItems containsBlank="1" count="3">
        <s v="年龄[20,27)"/>
        <s v="年龄low-20,27-High"/>
        <m/>
      </sharedItems>
    </cacheField>
    <cacheField name="GRP_APP_HOUR_2" numFmtId="0">
      <sharedItems containsBlank="1" count="3">
        <s v="时点[10,18)"/>
        <s v="时点low-10,18-High"/>
        <m/>
      </sharedItems>
    </cacheField>
    <cacheField name="GRP_EDUEXPERIENCE" numFmtId="0">
      <sharedItems containsBlank="1" count="4">
        <s v="学历硕大中专"/>
        <s v="学历本科"/>
        <s v="学历其他"/>
        <m/>
      </sharedItems>
    </cacheField>
    <cacheField name="GRP_SCORE_SCORECONSOFFV2" numFmtId="0">
      <sharedItems containsBlank="1" count="5">
        <s v="百融分v2&gt;=640"/>
        <s v="百融分v2_missing"/>
        <s v="百融分v2_580-640"/>
        <s v="百融分v2&lt;580"/>
        <m/>
      </sharedItems>
    </cacheField>
    <cacheField name="GRP_SEX" numFmtId="0">
      <sharedItems containsBlank="1" count="3">
        <s v="女"/>
        <s v="男"/>
        <m/>
      </sharedItems>
    </cacheField>
    <cacheField name="GRP_CONS_TOT_M3_NUM" numFmtId="0">
      <sharedItems containsBlank="1" count="3">
        <s v="百融消费次数=0/missing"/>
        <s v="百融消费次数&gt;=1"/>
        <m/>
      </sharedItems>
    </cacheField>
    <cacheField name="GRP_ACM_M1M12_DEBIT_BAL2IN" numFmtId="0">
      <sharedItems containsBlank="1" count="5">
        <s v="百融余额/收入&gt;=0.12"/>
        <s v="百融余额/收入[0,0.12)/missing"/>
        <m/>
        <s v="百融余额/百融收入&gt;=0.12" u="1"/>
        <s v="百融收入[0,0.12)/missing" u="1"/>
      </sharedItems>
    </cacheField>
    <cacheField name="GRP_MAX_TYPE_AL" numFmtId="0">
      <sharedItems containsBlank="1" count="4">
        <s v="百同最大多头数=2"/>
        <s v="百同最大多头数low-2"/>
        <s v="百同最大多头数&gt;=3"/>
        <m/>
      </sharedItems>
    </cacheField>
    <cacheField name="SCORE_GROUP" numFmtId="0">
      <sharedItems containsString="0" containsBlank="1" containsNumber="1" containsInteger="1" minValue="1" maxValue="10" count="11">
        <n v="6"/>
        <n v="8"/>
        <n v="5"/>
        <n v="7"/>
        <n v="4"/>
        <n v="2"/>
        <n v="1"/>
        <n v="3"/>
        <n v="9"/>
        <n v="10"/>
        <m/>
      </sharedItems>
    </cacheField>
    <cacheField name="APPR" numFmtId="0">
      <sharedItems containsString="0" containsBlank="1" containsNumber="1" containsInteger="1" minValue="0" maxValue="127"/>
    </cacheField>
    <cacheField name="CNT" numFmtId="0">
      <sharedItems containsString="0" containsBlank="1" containsNumber="1" containsInteger="1" minValue="1" maxValue="150"/>
    </cacheField>
    <cacheField name="FSTPD10" numFmtId="0">
      <sharedItems containsString="0" containsBlank="1" containsNumber="1" containsInteger="1" minValue="0" maxValue="15"/>
    </cacheField>
    <cacheField name="AGR" numFmtId="0">
      <sharedItems containsString="0" containsBlank="1" containsNumber="1" containsInteger="1" minValue="0" maxValue="123"/>
    </cacheField>
    <cacheField name="IS_AGR" numFmtId="0">
      <sharedItems containsString="0" containsBlank="1" containsNumber="1" containsInteger="1" minValue="0" maxValue="1" count="3">
        <n v="1"/>
        <n v="0"/>
        <m/>
      </sharedItems>
    </cacheField>
    <cacheField name="SCORE" numFmtId="0">
      <sharedItems containsString="0" containsBlank="1" containsNumber="1" minValue="4.5788555386867564E-3" maxValue="9.6664586702591695"/>
    </cacheField>
    <cacheField name="通过率" numFmtId="0" formula="APPR/CNT" databaseField="0"/>
    <cacheField name="FPD30%" numFmtId="0" formula="#NAME?/AGR" databaseField="0"/>
    <cacheField name="avg score" numFmtId="0" formula="SCORE/CNT" databaseField="0"/>
    <cacheField name="FSTPD10%" numFmtId="0" formula="FSTPD10/AG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104">
  <r>
    <d v="2017-03-03T00:00:00"/>
    <x v="0"/>
    <n v="64"/>
    <n v="1013"/>
    <n v="0.39370389884088519"/>
    <n v="0.31742294520547948"/>
    <n v="2.6641400000000002"/>
    <d v="2017-03-06T09:47:56"/>
    <n v="6.3178677196446195E-2"/>
  </r>
  <r>
    <d v="2017-03-03T00:00:00"/>
    <x v="1"/>
    <n v="58"/>
    <n v="1362"/>
    <n v="0.43830653691559129"/>
    <n v="0.33541358155278189"/>
    <n v="2.762677"/>
    <d v="2017-03-06T09:47:56"/>
    <n v="4.2584434654919234E-2"/>
  </r>
  <r>
    <d v="2017-03-03T00:00:00"/>
    <x v="2"/>
    <n v="51"/>
    <n v="1172"/>
    <n v="0.4149481380420143"/>
    <n v="0.33401549736754649"/>
    <n v="3.1426180000000001"/>
    <d v="2017-03-06T09:47:56"/>
    <n v="4.3515358361774746E-2"/>
  </r>
  <r>
    <d v="2017-03-03T00:00:00"/>
    <x v="3"/>
    <n v="69"/>
    <n v="1247"/>
    <n v="0.38670308309342782"/>
    <n v="0.34965921114145815"/>
    <n v="3.7893880000000002"/>
    <d v="2017-03-13T07:04:17"/>
    <n v="5.5332798716920609E-2"/>
  </r>
  <r>
    <d v="2017-03-03T00:00:00"/>
    <x v="4"/>
    <n v="136"/>
    <n v="1654"/>
    <n v="0.41017592807874137"/>
    <n v="0.34309850422382393"/>
    <n v="2.2849379999999999"/>
    <d v="2017-03-27T07:02:45"/>
    <n v="8.222490931076179E-2"/>
  </r>
  <r>
    <d v="2017-03-03T00:00:00"/>
    <x v="5"/>
    <n v="97"/>
    <n v="1433"/>
    <n v="0.36679733316871416"/>
    <n v="0.29340545712698313"/>
    <n v="2.272799"/>
    <d v="2017-03-20T07:02:59"/>
    <n v="6.7690160502442434E-2"/>
  </r>
  <r>
    <d v="2017-03-03T00:00:00"/>
    <x v="6"/>
    <n v="109"/>
    <n v="1626"/>
    <n v="0.37452601404268443"/>
    <n v="0.29215677973789406"/>
    <n v="2.670404"/>
    <d v="2017-04-03T07:02:52"/>
    <n v="6.7035670356703575E-2"/>
  </r>
  <r>
    <d v="2017-03-03T00:00:00"/>
    <x v="7"/>
    <n v="129"/>
    <n v="1709"/>
    <n v="0.41994897458541852"/>
    <n v="0.3307428122853498"/>
    <n v="3.117191"/>
    <d v="2017-04-10T07:02:43"/>
    <n v="7.5482738443534231E-2"/>
  </r>
  <r>
    <d v="2017-03-03T00:00:00"/>
    <x v="8"/>
    <n v="110"/>
    <n v="1254"/>
    <n v="0.3666878575969485"/>
    <n v="0.29423076923076924"/>
    <n v="2.6448"/>
    <d v="2017-05-01T07:03:42"/>
    <n v="8.7719298245614044E-2"/>
  </r>
  <r>
    <d v="2017-03-03T00:00:00"/>
    <x v="9"/>
    <n v="69"/>
    <n v="987"/>
    <n v="0.36929683306494904"/>
    <n v="0.29776451643459317"/>
    <n v="2.7732920000000001"/>
    <d v="2017-05-08T07:02:16"/>
    <n v="6.9908814589665663E-2"/>
  </r>
  <r>
    <d v="2017-03-03T00:00:00"/>
    <x v="10"/>
    <n v="118"/>
    <n v="1880"/>
    <n v="0.39194674772504284"/>
    <n v="0.28087304488351067"/>
    <n v="2.8967640000000001"/>
    <d v="2017-04-17T07:03:05"/>
    <n v="6.2765957446808518E-2"/>
  </r>
  <r>
    <d v="2017-03-03T00:00:00"/>
    <x v="11"/>
    <n v="110"/>
    <n v="1417"/>
    <n v="0.23429088126869307"/>
    <n v="0.19223064617096752"/>
    <n v="2.0099290000000001"/>
    <d v="2017-04-24T07:01:54"/>
    <n v="7.7628793225123505E-2"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  <r>
    <m/>
    <x v="12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104">
  <r>
    <x v="0"/>
    <x v="0"/>
    <x v="0"/>
    <x v="0"/>
    <x v="0"/>
    <x v="0"/>
    <x v="0"/>
    <x v="0"/>
    <x v="0"/>
    <x v="0"/>
    <n v="11"/>
    <n v="12"/>
    <n v="0"/>
    <n v="11"/>
    <x v="0"/>
    <n v="0.53506410738091503"/>
  </r>
  <r>
    <x v="1"/>
    <x v="0"/>
    <x v="0"/>
    <x v="0"/>
    <x v="1"/>
    <x v="0"/>
    <x v="0"/>
    <x v="1"/>
    <x v="0"/>
    <x v="1"/>
    <n v="33"/>
    <n v="44"/>
    <n v="1"/>
    <n v="32"/>
    <x v="0"/>
    <n v="2.8504942961672981"/>
  </r>
  <r>
    <x v="2"/>
    <x v="0"/>
    <x v="0"/>
    <x v="0"/>
    <x v="1"/>
    <x v="0"/>
    <x v="0"/>
    <x v="1"/>
    <x v="1"/>
    <x v="2"/>
    <n v="74"/>
    <n v="88"/>
    <n v="0"/>
    <m/>
    <x v="1"/>
    <n v="3.8344880304176217"/>
  </r>
  <r>
    <x v="3"/>
    <x v="1"/>
    <x v="0"/>
    <x v="0"/>
    <x v="1"/>
    <x v="0"/>
    <x v="0"/>
    <x v="1"/>
    <x v="1"/>
    <x v="3"/>
    <n v="46"/>
    <n v="66"/>
    <n v="0"/>
    <m/>
    <x v="1"/>
    <n v="4.253241814914035"/>
  </r>
  <r>
    <x v="1"/>
    <x v="0"/>
    <x v="0"/>
    <x v="1"/>
    <x v="1"/>
    <x v="0"/>
    <x v="0"/>
    <x v="1"/>
    <x v="0"/>
    <x v="4"/>
    <n v="6"/>
    <n v="8"/>
    <n v="0"/>
    <n v="5"/>
    <x v="0"/>
    <n v="0.24501276686451509"/>
  </r>
  <r>
    <x v="4"/>
    <x v="0"/>
    <x v="1"/>
    <x v="0"/>
    <x v="0"/>
    <x v="0"/>
    <x v="0"/>
    <x v="1"/>
    <x v="1"/>
    <x v="5"/>
    <n v="7"/>
    <n v="8"/>
    <n v="0"/>
    <m/>
    <x v="1"/>
    <n v="0.16697565933268874"/>
  </r>
  <r>
    <x v="3"/>
    <x v="0"/>
    <x v="1"/>
    <x v="0"/>
    <x v="1"/>
    <x v="0"/>
    <x v="0"/>
    <x v="1"/>
    <x v="0"/>
    <x v="0"/>
    <n v="12"/>
    <n v="16"/>
    <n v="0"/>
    <m/>
    <x v="1"/>
    <n v="0.73441388038757816"/>
  </r>
  <r>
    <x v="3"/>
    <x v="0"/>
    <x v="1"/>
    <x v="1"/>
    <x v="0"/>
    <x v="0"/>
    <x v="0"/>
    <x v="1"/>
    <x v="1"/>
    <x v="6"/>
    <n v="5"/>
    <n v="6"/>
    <n v="0"/>
    <m/>
    <x v="1"/>
    <n v="5.7773010979357449E-2"/>
  </r>
  <r>
    <x v="1"/>
    <x v="1"/>
    <x v="0"/>
    <x v="0"/>
    <x v="0"/>
    <x v="0"/>
    <x v="1"/>
    <x v="0"/>
    <x v="1"/>
    <x v="7"/>
    <n v="13"/>
    <n v="15"/>
    <n v="0"/>
    <n v="13"/>
    <x v="0"/>
    <n v="0.32226846005703041"/>
  </r>
  <r>
    <x v="5"/>
    <x v="0"/>
    <x v="0"/>
    <x v="1"/>
    <x v="0"/>
    <x v="0"/>
    <x v="1"/>
    <x v="0"/>
    <x v="1"/>
    <x v="6"/>
    <n v="1"/>
    <n v="1"/>
    <n v="0"/>
    <n v="1"/>
    <x v="0"/>
    <n v="6.57977794506603E-3"/>
  </r>
  <r>
    <x v="5"/>
    <x v="0"/>
    <x v="1"/>
    <x v="0"/>
    <x v="2"/>
    <x v="0"/>
    <x v="0"/>
    <x v="1"/>
    <x v="1"/>
    <x v="7"/>
    <n v="3"/>
    <n v="3"/>
    <n v="0"/>
    <n v="3"/>
    <x v="0"/>
    <n v="9.0996392519581665E-2"/>
  </r>
  <r>
    <x v="6"/>
    <x v="0"/>
    <x v="1"/>
    <x v="0"/>
    <x v="1"/>
    <x v="0"/>
    <x v="0"/>
    <x v="1"/>
    <x v="1"/>
    <x v="4"/>
    <n v="25"/>
    <n v="29"/>
    <n v="2"/>
    <m/>
    <x v="1"/>
    <n v="0.8894358248422356"/>
  </r>
  <r>
    <x v="7"/>
    <x v="0"/>
    <x v="0"/>
    <x v="1"/>
    <x v="2"/>
    <x v="1"/>
    <x v="0"/>
    <x v="0"/>
    <x v="1"/>
    <x v="4"/>
    <n v="1"/>
    <n v="1"/>
    <n v="0"/>
    <m/>
    <x v="1"/>
    <n v="3.8861886041588509E-2"/>
  </r>
  <r>
    <x v="8"/>
    <x v="0"/>
    <x v="0"/>
    <x v="0"/>
    <x v="2"/>
    <x v="0"/>
    <x v="0"/>
    <x v="1"/>
    <x v="1"/>
    <x v="2"/>
    <n v="7"/>
    <n v="9"/>
    <n v="0"/>
    <m/>
    <x v="1"/>
    <n v="0.38789774432166263"/>
  </r>
  <r>
    <x v="0"/>
    <x v="1"/>
    <x v="0"/>
    <x v="0"/>
    <x v="1"/>
    <x v="1"/>
    <x v="0"/>
    <x v="1"/>
    <x v="1"/>
    <x v="8"/>
    <n v="24"/>
    <n v="29"/>
    <n v="0"/>
    <n v="22"/>
    <x v="0"/>
    <n v="3.4623064782983546"/>
  </r>
  <r>
    <x v="9"/>
    <x v="1"/>
    <x v="1"/>
    <x v="0"/>
    <x v="1"/>
    <x v="1"/>
    <x v="0"/>
    <x v="1"/>
    <x v="1"/>
    <x v="8"/>
    <n v="10"/>
    <n v="11"/>
    <n v="0"/>
    <n v="10"/>
    <x v="0"/>
    <n v="0.94660426135355691"/>
  </r>
  <r>
    <x v="10"/>
    <x v="1"/>
    <x v="0"/>
    <x v="2"/>
    <x v="1"/>
    <x v="0"/>
    <x v="0"/>
    <x v="1"/>
    <x v="1"/>
    <x v="1"/>
    <n v="19"/>
    <n v="26"/>
    <n v="0"/>
    <m/>
    <x v="1"/>
    <n v="2.1602550453417724"/>
  </r>
  <r>
    <x v="4"/>
    <x v="0"/>
    <x v="0"/>
    <x v="2"/>
    <x v="2"/>
    <x v="0"/>
    <x v="1"/>
    <x v="1"/>
    <x v="2"/>
    <x v="8"/>
    <n v="1"/>
    <n v="1"/>
    <n v="0"/>
    <m/>
    <x v="1"/>
    <n v="8.7362644124071173E-2"/>
  </r>
  <r>
    <x v="11"/>
    <x v="1"/>
    <x v="0"/>
    <x v="2"/>
    <x v="0"/>
    <x v="1"/>
    <x v="0"/>
    <x v="0"/>
    <x v="1"/>
    <x v="8"/>
    <n v="1"/>
    <n v="2"/>
    <n v="0"/>
    <m/>
    <x v="1"/>
    <n v="0.21454080743188383"/>
  </r>
  <r>
    <x v="5"/>
    <x v="1"/>
    <x v="0"/>
    <x v="0"/>
    <x v="0"/>
    <x v="0"/>
    <x v="0"/>
    <x v="1"/>
    <x v="1"/>
    <x v="0"/>
    <n v="33"/>
    <n v="38"/>
    <n v="3"/>
    <n v="32"/>
    <x v="0"/>
    <n v="1.6852621312398965"/>
  </r>
  <r>
    <x v="12"/>
    <x v="0"/>
    <x v="1"/>
    <x v="0"/>
    <x v="3"/>
    <x v="1"/>
    <x v="0"/>
    <x v="1"/>
    <x v="1"/>
    <x v="1"/>
    <n v="1"/>
    <n v="1"/>
    <n v="0"/>
    <m/>
    <x v="1"/>
    <n v="7.6980948887072007E-2"/>
  </r>
  <r>
    <x v="7"/>
    <x v="0"/>
    <x v="1"/>
    <x v="1"/>
    <x v="0"/>
    <x v="1"/>
    <x v="0"/>
    <x v="0"/>
    <x v="1"/>
    <x v="5"/>
    <n v="1"/>
    <n v="1"/>
    <n v="0"/>
    <m/>
    <x v="1"/>
    <n v="1.8776796462310515E-2"/>
  </r>
  <r>
    <x v="0"/>
    <x v="1"/>
    <x v="1"/>
    <x v="2"/>
    <x v="1"/>
    <x v="1"/>
    <x v="0"/>
    <x v="1"/>
    <x v="1"/>
    <x v="8"/>
    <n v="9"/>
    <n v="9"/>
    <n v="0"/>
    <n v="9"/>
    <x v="0"/>
    <n v="0.99193004464664003"/>
  </r>
  <r>
    <x v="11"/>
    <x v="0"/>
    <x v="0"/>
    <x v="1"/>
    <x v="0"/>
    <x v="0"/>
    <x v="0"/>
    <x v="1"/>
    <x v="1"/>
    <x v="6"/>
    <n v="5"/>
    <n v="5"/>
    <n v="0"/>
    <m/>
    <x v="1"/>
    <n v="6.9029751166664946E-2"/>
  </r>
  <r>
    <x v="13"/>
    <x v="1"/>
    <x v="0"/>
    <x v="0"/>
    <x v="1"/>
    <x v="0"/>
    <x v="0"/>
    <x v="1"/>
    <x v="1"/>
    <x v="3"/>
    <n v="9"/>
    <n v="10"/>
    <n v="0"/>
    <m/>
    <x v="1"/>
    <n v="0.64443057801727799"/>
  </r>
  <r>
    <x v="14"/>
    <x v="1"/>
    <x v="0"/>
    <x v="0"/>
    <x v="1"/>
    <x v="0"/>
    <x v="0"/>
    <x v="1"/>
    <x v="1"/>
    <x v="3"/>
    <n v="69"/>
    <n v="103"/>
    <n v="3"/>
    <m/>
    <x v="1"/>
    <n v="6.6376349535779635"/>
  </r>
  <r>
    <x v="15"/>
    <x v="0"/>
    <x v="0"/>
    <x v="0"/>
    <x v="1"/>
    <x v="0"/>
    <x v="0"/>
    <x v="1"/>
    <x v="2"/>
    <x v="9"/>
    <n v="31"/>
    <n v="37"/>
    <n v="9"/>
    <n v="31"/>
    <x v="0"/>
    <n v="4.9811197651851167"/>
  </r>
  <r>
    <x v="10"/>
    <x v="0"/>
    <x v="0"/>
    <x v="0"/>
    <x v="0"/>
    <x v="0"/>
    <x v="0"/>
    <x v="0"/>
    <x v="0"/>
    <x v="0"/>
    <n v="10"/>
    <n v="11"/>
    <n v="0"/>
    <m/>
    <x v="1"/>
    <n v="0.49047543176583869"/>
  </r>
  <r>
    <x v="16"/>
    <x v="0"/>
    <x v="1"/>
    <x v="0"/>
    <x v="0"/>
    <x v="0"/>
    <x v="0"/>
    <x v="0"/>
    <x v="0"/>
    <x v="4"/>
    <n v="6"/>
    <n v="8"/>
    <n v="0"/>
    <m/>
    <x v="1"/>
    <n v="0.25115565699003373"/>
  </r>
  <r>
    <x v="15"/>
    <x v="0"/>
    <x v="1"/>
    <x v="1"/>
    <x v="2"/>
    <x v="1"/>
    <x v="0"/>
    <x v="1"/>
    <x v="1"/>
    <x v="7"/>
    <n v="1"/>
    <n v="2"/>
    <n v="0"/>
    <n v="1"/>
    <x v="0"/>
    <n v="5.4627666423575506E-2"/>
  </r>
  <r>
    <x v="5"/>
    <x v="0"/>
    <x v="0"/>
    <x v="0"/>
    <x v="0"/>
    <x v="0"/>
    <x v="0"/>
    <x v="0"/>
    <x v="1"/>
    <x v="7"/>
    <n v="39"/>
    <n v="48"/>
    <n v="1"/>
    <n v="34"/>
    <x v="0"/>
    <n v="1.4294316370941103"/>
  </r>
  <r>
    <x v="17"/>
    <x v="0"/>
    <x v="0"/>
    <x v="1"/>
    <x v="1"/>
    <x v="0"/>
    <x v="0"/>
    <x v="1"/>
    <x v="1"/>
    <x v="5"/>
    <n v="8"/>
    <n v="10"/>
    <n v="0"/>
    <n v="6"/>
    <x v="0"/>
    <n v="0.20356051958531404"/>
  </r>
  <r>
    <x v="3"/>
    <x v="0"/>
    <x v="1"/>
    <x v="0"/>
    <x v="2"/>
    <x v="0"/>
    <x v="1"/>
    <x v="1"/>
    <x v="2"/>
    <x v="0"/>
    <n v="2"/>
    <n v="3"/>
    <n v="0"/>
    <m/>
    <x v="1"/>
    <n v="0.14431521664909075"/>
  </r>
  <r>
    <x v="8"/>
    <x v="0"/>
    <x v="1"/>
    <x v="0"/>
    <x v="1"/>
    <x v="0"/>
    <x v="0"/>
    <x v="1"/>
    <x v="1"/>
    <x v="4"/>
    <n v="27"/>
    <n v="31"/>
    <n v="0"/>
    <m/>
    <x v="1"/>
    <n v="0.95077622655549321"/>
  </r>
  <r>
    <x v="0"/>
    <x v="1"/>
    <x v="0"/>
    <x v="0"/>
    <x v="2"/>
    <x v="0"/>
    <x v="0"/>
    <x v="1"/>
    <x v="0"/>
    <x v="8"/>
    <n v="7"/>
    <n v="9"/>
    <n v="2"/>
    <n v="7"/>
    <x v="0"/>
    <n v="0.8444542716481056"/>
  </r>
  <r>
    <x v="17"/>
    <x v="0"/>
    <x v="1"/>
    <x v="0"/>
    <x v="3"/>
    <x v="0"/>
    <x v="0"/>
    <x v="1"/>
    <x v="2"/>
    <x v="9"/>
    <n v="1"/>
    <n v="1"/>
    <n v="0"/>
    <n v="1"/>
    <x v="0"/>
    <n v="0.1264019958894318"/>
  </r>
  <r>
    <x v="14"/>
    <x v="1"/>
    <x v="0"/>
    <x v="2"/>
    <x v="1"/>
    <x v="1"/>
    <x v="0"/>
    <x v="1"/>
    <x v="1"/>
    <x v="9"/>
    <n v="4"/>
    <n v="6"/>
    <n v="0"/>
    <m/>
    <x v="1"/>
    <n v="0.90814886671351436"/>
  </r>
  <r>
    <x v="9"/>
    <x v="0"/>
    <x v="1"/>
    <x v="0"/>
    <x v="2"/>
    <x v="1"/>
    <x v="0"/>
    <x v="1"/>
    <x v="1"/>
    <x v="0"/>
    <n v="5"/>
    <n v="6"/>
    <n v="0"/>
    <n v="4"/>
    <x v="0"/>
    <n v="0.34798546906036548"/>
  </r>
  <r>
    <x v="15"/>
    <x v="0"/>
    <x v="1"/>
    <x v="2"/>
    <x v="1"/>
    <x v="1"/>
    <x v="0"/>
    <x v="1"/>
    <x v="2"/>
    <x v="9"/>
    <n v="1"/>
    <n v="1"/>
    <n v="0"/>
    <n v="1"/>
    <x v="0"/>
    <n v="0.21859660432790401"/>
  </r>
  <r>
    <x v="6"/>
    <x v="0"/>
    <x v="0"/>
    <x v="0"/>
    <x v="0"/>
    <x v="0"/>
    <x v="0"/>
    <x v="1"/>
    <x v="1"/>
    <x v="7"/>
    <n v="14"/>
    <n v="16"/>
    <n v="0"/>
    <m/>
    <x v="1"/>
    <n v="0.47647721236470347"/>
  </r>
  <r>
    <x v="17"/>
    <x v="1"/>
    <x v="0"/>
    <x v="2"/>
    <x v="0"/>
    <x v="0"/>
    <x v="0"/>
    <x v="0"/>
    <x v="1"/>
    <x v="0"/>
    <n v="18"/>
    <n v="22"/>
    <n v="1"/>
    <n v="18"/>
    <x v="0"/>
    <n v="1.2658116747272641"/>
  </r>
  <r>
    <x v="18"/>
    <x v="1"/>
    <x v="0"/>
    <x v="0"/>
    <x v="2"/>
    <x v="0"/>
    <x v="0"/>
    <x v="1"/>
    <x v="0"/>
    <x v="8"/>
    <n v="2"/>
    <n v="2"/>
    <n v="0"/>
    <m/>
    <x v="1"/>
    <n v="0.18765650481069013"/>
  </r>
  <r>
    <x v="6"/>
    <x v="0"/>
    <x v="0"/>
    <x v="0"/>
    <x v="0"/>
    <x v="0"/>
    <x v="1"/>
    <x v="1"/>
    <x v="1"/>
    <x v="6"/>
    <n v="8"/>
    <n v="8"/>
    <n v="0"/>
    <m/>
    <x v="1"/>
    <n v="0.1145129726397961"/>
  </r>
  <r>
    <x v="11"/>
    <x v="1"/>
    <x v="0"/>
    <x v="0"/>
    <x v="2"/>
    <x v="0"/>
    <x v="0"/>
    <x v="1"/>
    <x v="1"/>
    <x v="3"/>
    <n v="7"/>
    <n v="8"/>
    <n v="0"/>
    <m/>
    <x v="1"/>
    <n v="0.51005763063491483"/>
  </r>
  <r>
    <x v="5"/>
    <x v="0"/>
    <x v="1"/>
    <x v="0"/>
    <x v="0"/>
    <x v="0"/>
    <x v="0"/>
    <x v="0"/>
    <x v="1"/>
    <x v="5"/>
    <n v="18"/>
    <n v="18"/>
    <n v="0"/>
    <n v="17"/>
    <x v="0"/>
    <n v="0.37569523349854966"/>
  </r>
  <r>
    <x v="15"/>
    <x v="0"/>
    <x v="0"/>
    <x v="2"/>
    <x v="0"/>
    <x v="0"/>
    <x v="0"/>
    <x v="0"/>
    <x v="1"/>
    <x v="4"/>
    <n v="10"/>
    <n v="13"/>
    <n v="0"/>
    <n v="9"/>
    <x v="0"/>
    <n v="0.5045467079028999"/>
  </r>
  <r>
    <x v="17"/>
    <x v="0"/>
    <x v="0"/>
    <x v="2"/>
    <x v="0"/>
    <x v="1"/>
    <x v="0"/>
    <x v="0"/>
    <x v="1"/>
    <x v="1"/>
    <n v="2"/>
    <n v="2"/>
    <n v="1"/>
    <n v="2"/>
    <x v="0"/>
    <n v="0.14724648342003765"/>
  </r>
  <r>
    <x v="0"/>
    <x v="0"/>
    <x v="0"/>
    <x v="2"/>
    <x v="0"/>
    <x v="0"/>
    <x v="0"/>
    <x v="0"/>
    <x v="1"/>
    <x v="4"/>
    <n v="7"/>
    <n v="8"/>
    <n v="1"/>
    <n v="7"/>
    <x v="0"/>
    <n v="0.31049028178639992"/>
  </r>
  <r>
    <x v="5"/>
    <x v="1"/>
    <x v="0"/>
    <x v="0"/>
    <x v="2"/>
    <x v="1"/>
    <x v="0"/>
    <x v="1"/>
    <x v="1"/>
    <x v="8"/>
    <n v="3"/>
    <n v="4"/>
    <n v="0"/>
    <n v="2"/>
    <x v="0"/>
    <n v="0.472772463663992"/>
  </r>
  <r>
    <x v="1"/>
    <x v="0"/>
    <x v="0"/>
    <x v="0"/>
    <x v="1"/>
    <x v="1"/>
    <x v="0"/>
    <x v="1"/>
    <x v="1"/>
    <x v="1"/>
    <n v="42"/>
    <n v="49"/>
    <n v="0"/>
    <n v="40"/>
    <x v="0"/>
    <n v="4.0322913094352462"/>
  </r>
  <r>
    <x v="9"/>
    <x v="0"/>
    <x v="0"/>
    <x v="0"/>
    <x v="1"/>
    <x v="1"/>
    <x v="0"/>
    <x v="1"/>
    <x v="1"/>
    <x v="1"/>
    <n v="35"/>
    <n v="39"/>
    <n v="5"/>
    <n v="32"/>
    <x v="0"/>
    <n v="3.2093747156729511"/>
  </r>
  <r>
    <x v="11"/>
    <x v="0"/>
    <x v="0"/>
    <x v="0"/>
    <x v="1"/>
    <x v="1"/>
    <x v="0"/>
    <x v="1"/>
    <x v="0"/>
    <x v="8"/>
    <n v="9"/>
    <n v="12"/>
    <n v="0"/>
    <m/>
    <x v="1"/>
    <n v="1.4398100705858135"/>
  </r>
  <r>
    <x v="2"/>
    <x v="0"/>
    <x v="0"/>
    <x v="0"/>
    <x v="1"/>
    <x v="1"/>
    <x v="0"/>
    <x v="1"/>
    <x v="1"/>
    <x v="1"/>
    <n v="33"/>
    <n v="48"/>
    <n v="0"/>
    <m/>
    <x v="1"/>
    <n v="3.9499996500590169"/>
  </r>
  <r>
    <x v="1"/>
    <x v="1"/>
    <x v="0"/>
    <x v="0"/>
    <x v="1"/>
    <x v="0"/>
    <x v="0"/>
    <x v="1"/>
    <x v="0"/>
    <x v="8"/>
    <n v="45"/>
    <n v="53"/>
    <n v="3"/>
    <n v="44"/>
    <x v="0"/>
    <n v="5.0246561411576574"/>
  </r>
  <r>
    <x v="15"/>
    <x v="1"/>
    <x v="0"/>
    <x v="2"/>
    <x v="1"/>
    <x v="1"/>
    <x v="0"/>
    <x v="1"/>
    <x v="0"/>
    <x v="9"/>
    <n v="4"/>
    <n v="4"/>
    <n v="0"/>
    <n v="4"/>
    <x v="0"/>
    <n v="0.85332670687630885"/>
  </r>
  <r>
    <x v="15"/>
    <x v="1"/>
    <x v="0"/>
    <x v="0"/>
    <x v="1"/>
    <x v="0"/>
    <x v="0"/>
    <x v="1"/>
    <x v="0"/>
    <x v="8"/>
    <n v="23"/>
    <n v="24"/>
    <n v="4"/>
    <n v="23"/>
    <x v="0"/>
    <n v="2.2753159884487508"/>
  </r>
  <r>
    <x v="19"/>
    <x v="1"/>
    <x v="1"/>
    <x v="0"/>
    <x v="1"/>
    <x v="0"/>
    <x v="0"/>
    <x v="1"/>
    <x v="1"/>
    <x v="0"/>
    <n v="8"/>
    <n v="14"/>
    <n v="0"/>
    <m/>
    <x v="1"/>
    <n v="0.63916270791110996"/>
  </r>
  <r>
    <x v="3"/>
    <x v="0"/>
    <x v="0"/>
    <x v="0"/>
    <x v="0"/>
    <x v="0"/>
    <x v="0"/>
    <x v="0"/>
    <x v="1"/>
    <x v="7"/>
    <n v="40"/>
    <n v="45"/>
    <n v="0"/>
    <m/>
    <x v="1"/>
    <n v="1.3400921597757285"/>
  </r>
  <r>
    <x v="1"/>
    <x v="1"/>
    <x v="1"/>
    <x v="1"/>
    <x v="0"/>
    <x v="0"/>
    <x v="0"/>
    <x v="0"/>
    <x v="0"/>
    <x v="7"/>
    <n v="1"/>
    <n v="1"/>
    <n v="0"/>
    <n v="1"/>
    <x v="0"/>
    <n v="2.1862051188270244E-2"/>
  </r>
  <r>
    <x v="16"/>
    <x v="0"/>
    <x v="0"/>
    <x v="0"/>
    <x v="3"/>
    <x v="1"/>
    <x v="0"/>
    <x v="1"/>
    <x v="2"/>
    <x v="9"/>
    <n v="6"/>
    <n v="8"/>
    <n v="0"/>
    <m/>
    <x v="1"/>
    <n v="2.326486268342828"/>
  </r>
  <r>
    <x v="15"/>
    <x v="0"/>
    <x v="0"/>
    <x v="0"/>
    <x v="1"/>
    <x v="1"/>
    <x v="0"/>
    <x v="1"/>
    <x v="0"/>
    <x v="8"/>
    <n v="16"/>
    <n v="19"/>
    <n v="1"/>
    <n v="16"/>
    <x v="0"/>
    <n v="2.2796992784275378"/>
  </r>
  <r>
    <x v="20"/>
    <x v="1"/>
    <x v="1"/>
    <x v="0"/>
    <x v="3"/>
    <x v="1"/>
    <x v="0"/>
    <x v="1"/>
    <x v="1"/>
    <x v="8"/>
    <n v="4"/>
    <n v="4"/>
    <n v="0"/>
    <n v="4"/>
    <x v="0"/>
    <n v="0.44790862094173889"/>
  </r>
  <r>
    <x v="5"/>
    <x v="1"/>
    <x v="0"/>
    <x v="0"/>
    <x v="0"/>
    <x v="0"/>
    <x v="0"/>
    <x v="0"/>
    <x v="0"/>
    <x v="1"/>
    <n v="14"/>
    <n v="16"/>
    <n v="0"/>
    <n v="14"/>
    <x v="0"/>
    <n v="1.0545697445056554"/>
  </r>
  <r>
    <x v="7"/>
    <x v="0"/>
    <x v="0"/>
    <x v="1"/>
    <x v="0"/>
    <x v="0"/>
    <x v="0"/>
    <x v="0"/>
    <x v="1"/>
    <x v="6"/>
    <n v="10"/>
    <n v="10"/>
    <n v="0"/>
    <m/>
    <x v="1"/>
    <n v="0.13805950233332989"/>
  </r>
  <r>
    <x v="21"/>
    <x v="1"/>
    <x v="0"/>
    <x v="2"/>
    <x v="1"/>
    <x v="0"/>
    <x v="0"/>
    <x v="1"/>
    <x v="2"/>
    <x v="9"/>
    <n v="6"/>
    <n v="13"/>
    <n v="0"/>
    <m/>
    <x v="1"/>
    <n v="3.071954665214558"/>
  </r>
  <r>
    <x v="1"/>
    <x v="1"/>
    <x v="0"/>
    <x v="2"/>
    <x v="1"/>
    <x v="0"/>
    <x v="0"/>
    <x v="1"/>
    <x v="2"/>
    <x v="9"/>
    <n v="14"/>
    <n v="20"/>
    <n v="5"/>
    <n v="14"/>
    <x v="0"/>
    <n v="4.7260841003300884"/>
  </r>
  <r>
    <x v="14"/>
    <x v="0"/>
    <x v="0"/>
    <x v="1"/>
    <x v="2"/>
    <x v="1"/>
    <x v="0"/>
    <x v="0"/>
    <x v="0"/>
    <x v="0"/>
    <n v="1"/>
    <n v="1"/>
    <n v="0"/>
    <m/>
    <x v="1"/>
    <n v="5.7917442228855184E-2"/>
  </r>
  <r>
    <x v="4"/>
    <x v="1"/>
    <x v="0"/>
    <x v="0"/>
    <x v="0"/>
    <x v="0"/>
    <x v="1"/>
    <x v="0"/>
    <x v="1"/>
    <x v="7"/>
    <n v="8"/>
    <n v="8"/>
    <n v="0"/>
    <m/>
    <x v="1"/>
    <n v="0.17187651203041621"/>
  </r>
  <r>
    <x v="6"/>
    <x v="0"/>
    <x v="0"/>
    <x v="1"/>
    <x v="1"/>
    <x v="1"/>
    <x v="0"/>
    <x v="1"/>
    <x v="2"/>
    <x v="8"/>
    <n v="3"/>
    <n v="3"/>
    <n v="0"/>
    <m/>
    <x v="1"/>
    <n v="0.36762021842103426"/>
  </r>
  <r>
    <x v="11"/>
    <x v="0"/>
    <x v="0"/>
    <x v="0"/>
    <x v="0"/>
    <x v="0"/>
    <x v="0"/>
    <x v="0"/>
    <x v="1"/>
    <x v="7"/>
    <n v="49"/>
    <n v="57"/>
    <n v="0"/>
    <m/>
    <x v="1"/>
    <n v="1.697450069049256"/>
  </r>
  <r>
    <x v="1"/>
    <x v="1"/>
    <x v="0"/>
    <x v="2"/>
    <x v="1"/>
    <x v="1"/>
    <x v="0"/>
    <x v="1"/>
    <x v="1"/>
    <x v="9"/>
    <n v="6"/>
    <n v="9"/>
    <n v="0"/>
    <n v="5"/>
    <x v="0"/>
    <n v="1.3622233000702715"/>
  </r>
  <r>
    <x v="2"/>
    <x v="1"/>
    <x v="1"/>
    <x v="0"/>
    <x v="2"/>
    <x v="0"/>
    <x v="0"/>
    <x v="1"/>
    <x v="2"/>
    <x v="9"/>
    <n v="3"/>
    <n v="4"/>
    <n v="1"/>
    <m/>
    <x v="1"/>
    <n v="0.55616380960994893"/>
  </r>
  <r>
    <x v="17"/>
    <x v="1"/>
    <x v="0"/>
    <x v="0"/>
    <x v="0"/>
    <x v="0"/>
    <x v="0"/>
    <x v="1"/>
    <x v="0"/>
    <x v="1"/>
    <n v="7"/>
    <n v="11"/>
    <n v="0"/>
    <n v="7"/>
    <x v="0"/>
    <n v="0.72501669934763813"/>
  </r>
  <r>
    <x v="4"/>
    <x v="0"/>
    <x v="0"/>
    <x v="0"/>
    <x v="2"/>
    <x v="0"/>
    <x v="0"/>
    <x v="0"/>
    <x v="0"/>
    <x v="3"/>
    <n v="9"/>
    <n v="9"/>
    <n v="0"/>
    <m/>
    <x v="1"/>
    <n v="0.5768525493388138"/>
  </r>
  <r>
    <x v="9"/>
    <x v="0"/>
    <x v="0"/>
    <x v="1"/>
    <x v="0"/>
    <x v="0"/>
    <x v="0"/>
    <x v="0"/>
    <x v="1"/>
    <x v="6"/>
    <n v="8"/>
    <n v="10"/>
    <n v="0"/>
    <n v="7"/>
    <x v="0"/>
    <n v="0.13805950233332989"/>
  </r>
  <r>
    <x v="0"/>
    <x v="0"/>
    <x v="1"/>
    <x v="0"/>
    <x v="0"/>
    <x v="1"/>
    <x v="1"/>
    <x v="0"/>
    <x v="1"/>
    <x v="5"/>
    <n v="2"/>
    <n v="3"/>
    <n v="0"/>
    <n v="2"/>
    <x v="0"/>
    <n v="5.839297264578111E-2"/>
  </r>
  <r>
    <x v="14"/>
    <x v="0"/>
    <x v="0"/>
    <x v="1"/>
    <x v="2"/>
    <x v="0"/>
    <x v="0"/>
    <x v="0"/>
    <x v="1"/>
    <x v="5"/>
    <n v="1"/>
    <n v="1"/>
    <n v="0"/>
    <m/>
    <x v="1"/>
    <n v="2.0129311329445246E-2"/>
  </r>
  <r>
    <x v="21"/>
    <x v="1"/>
    <x v="0"/>
    <x v="2"/>
    <x v="3"/>
    <x v="1"/>
    <x v="0"/>
    <x v="0"/>
    <x v="1"/>
    <x v="9"/>
    <n v="1"/>
    <n v="1"/>
    <n v="0"/>
    <m/>
    <x v="1"/>
    <n v="0.19280182250464545"/>
  </r>
  <r>
    <x v="0"/>
    <x v="0"/>
    <x v="1"/>
    <x v="0"/>
    <x v="0"/>
    <x v="0"/>
    <x v="0"/>
    <x v="1"/>
    <x v="2"/>
    <x v="1"/>
    <n v="2"/>
    <n v="3"/>
    <n v="0"/>
    <n v="2"/>
    <x v="0"/>
    <n v="0.20355317631477285"/>
  </r>
  <r>
    <x v="3"/>
    <x v="1"/>
    <x v="1"/>
    <x v="0"/>
    <x v="1"/>
    <x v="1"/>
    <x v="0"/>
    <x v="1"/>
    <x v="0"/>
    <x v="9"/>
    <n v="2"/>
    <n v="3"/>
    <n v="0"/>
    <m/>
    <x v="1"/>
    <n v="0.37570779373019209"/>
  </r>
  <r>
    <x v="3"/>
    <x v="1"/>
    <x v="0"/>
    <x v="0"/>
    <x v="0"/>
    <x v="0"/>
    <x v="1"/>
    <x v="1"/>
    <x v="1"/>
    <x v="7"/>
    <n v="12"/>
    <n v="13"/>
    <n v="0"/>
    <m/>
    <x v="1"/>
    <n v="0.27929933204942631"/>
  </r>
  <r>
    <x v="2"/>
    <x v="0"/>
    <x v="0"/>
    <x v="0"/>
    <x v="0"/>
    <x v="0"/>
    <x v="0"/>
    <x v="0"/>
    <x v="1"/>
    <x v="7"/>
    <n v="40"/>
    <n v="48"/>
    <n v="0"/>
    <m/>
    <x v="1"/>
    <n v="1.4294316370941103"/>
  </r>
  <r>
    <x v="7"/>
    <x v="1"/>
    <x v="0"/>
    <x v="0"/>
    <x v="1"/>
    <x v="0"/>
    <x v="0"/>
    <x v="1"/>
    <x v="0"/>
    <x v="8"/>
    <n v="18"/>
    <n v="39"/>
    <n v="0"/>
    <m/>
    <x v="1"/>
    <n v="3.6973884812292201"/>
  </r>
  <r>
    <x v="7"/>
    <x v="1"/>
    <x v="0"/>
    <x v="2"/>
    <x v="0"/>
    <x v="0"/>
    <x v="0"/>
    <x v="1"/>
    <x v="1"/>
    <x v="0"/>
    <n v="10"/>
    <n v="13"/>
    <n v="0"/>
    <m/>
    <x v="1"/>
    <n v="0.74797962597520162"/>
  </r>
  <r>
    <x v="7"/>
    <x v="0"/>
    <x v="0"/>
    <x v="0"/>
    <x v="2"/>
    <x v="1"/>
    <x v="0"/>
    <x v="1"/>
    <x v="1"/>
    <x v="1"/>
    <n v="7"/>
    <n v="10"/>
    <n v="0"/>
    <m/>
    <x v="1"/>
    <n v="0.81432380804835491"/>
  </r>
  <r>
    <x v="2"/>
    <x v="1"/>
    <x v="0"/>
    <x v="0"/>
    <x v="0"/>
    <x v="0"/>
    <x v="0"/>
    <x v="0"/>
    <x v="1"/>
    <x v="0"/>
    <n v="55"/>
    <n v="67"/>
    <n v="1"/>
    <m/>
    <x v="1"/>
    <n v="2.9713832313966599"/>
  </r>
  <r>
    <x v="6"/>
    <x v="0"/>
    <x v="0"/>
    <x v="2"/>
    <x v="2"/>
    <x v="0"/>
    <x v="0"/>
    <x v="0"/>
    <x v="0"/>
    <x v="1"/>
    <n v="3"/>
    <n v="5"/>
    <n v="1"/>
    <m/>
    <x v="1"/>
    <n v="0.41323265588868885"/>
  </r>
  <r>
    <x v="12"/>
    <x v="0"/>
    <x v="0"/>
    <x v="0"/>
    <x v="3"/>
    <x v="1"/>
    <x v="0"/>
    <x v="1"/>
    <x v="0"/>
    <x v="9"/>
    <n v="7"/>
    <n v="7"/>
    <n v="2"/>
    <m/>
    <x v="1"/>
    <n v="1.0808016220822496"/>
  </r>
  <r>
    <x v="19"/>
    <x v="0"/>
    <x v="0"/>
    <x v="0"/>
    <x v="1"/>
    <x v="1"/>
    <x v="0"/>
    <x v="1"/>
    <x v="0"/>
    <x v="8"/>
    <n v="7"/>
    <n v="12"/>
    <n v="0"/>
    <m/>
    <x v="1"/>
    <n v="1.4398100705858135"/>
  </r>
  <r>
    <x v="5"/>
    <x v="0"/>
    <x v="0"/>
    <x v="0"/>
    <x v="3"/>
    <x v="1"/>
    <x v="0"/>
    <x v="1"/>
    <x v="2"/>
    <x v="9"/>
    <n v="4"/>
    <n v="5"/>
    <n v="0"/>
    <n v="3"/>
    <x v="0"/>
    <n v="1.4540539177142675"/>
  </r>
  <r>
    <x v="11"/>
    <x v="0"/>
    <x v="0"/>
    <x v="0"/>
    <x v="1"/>
    <x v="0"/>
    <x v="0"/>
    <x v="1"/>
    <x v="1"/>
    <x v="2"/>
    <n v="84"/>
    <n v="103"/>
    <n v="0"/>
    <m/>
    <x v="1"/>
    <n v="4.488093944693353"/>
  </r>
  <r>
    <x v="6"/>
    <x v="1"/>
    <x v="0"/>
    <x v="0"/>
    <x v="1"/>
    <x v="1"/>
    <x v="0"/>
    <x v="1"/>
    <x v="1"/>
    <x v="8"/>
    <n v="20"/>
    <n v="27"/>
    <n v="3"/>
    <m/>
    <x v="1"/>
    <n v="3.2235267211743306"/>
  </r>
  <r>
    <x v="2"/>
    <x v="0"/>
    <x v="0"/>
    <x v="0"/>
    <x v="2"/>
    <x v="1"/>
    <x v="0"/>
    <x v="1"/>
    <x v="2"/>
    <x v="9"/>
    <n v="1"/>
    <n v="1"/>
    <n v="0"/>
    <m/>
    <x v="1"/>
    <n v="0.23237226266969685"/>
  </r>
  <r>
    <x v="1"/>
    <x v="0"/>
    <x v="1"/>
    <x v="0"/>
    <x v="3"/>
    <x v="1"/>
    <x v="0"/>
    <x v="1"/>
    <x v="1"/>
    <x v="1"/>
    <n v="3"/>
    <n v="3"/>
    <n v="1"/>
    <n v="3"/>
    <x v="0"/>
    <n v="0.23094284666121603"/>
  </r>
  <r>
    <x v="20"/>
    <x v="1"/>
    <x v="0"/>
    <x v="0"/>
    <x v="0"/>
    <x v="0"/>
    <x v="0"/>
    <x v="1"/>
    <x v="1"/>
    <x v="0"/>
    <n v="33"/>
    <n v="37"/>
    <n v="4"/>
    <n v="33"/>
    <x v="0"/>
    <n v="1.6409131277862152"/>
  </r>
  <r>
    <x v="22"/>
    <x v="0"/>
    <x v="0"/>
    <x v="2"/>
    <x v="1"/>
    <x v="0"/>
    <x v="0"/>
    <x v="1"/>
    <x v="1"/>
    <x v="0"/>
    <n v="12"/>
    <n v="12"/>
    <n v="2"/>
    <n v="12"/>
    <x v="0"/>
    <n v="0.67853662232092826"/>
  </r>
  <r>
    <x v="7"/>
    <x v="1"/>
    <x v="0"/>
    <x v="2"/>
    <x v="1"/>
    <x v="0"/>
    <x v="0"/>
    <x v="1"/>
    <x v="1"/>
    <x v="1"/>
    <n v="16"/>
    <n v="31"/>
    <n v="0"/>
    <m/>
    <x v="1"/>
    <n v="2.5756887079074984"/>
  </r>
  <r>
    <x v="9"/>
    <x v="1"/>
    <x v="0"/>
    <x v="0"/>
    <x v="1"/>
    <x v="1"/>
    <x v="0"/>
    <x v="1"/>
    <x v="2"/>
    <x v="9"/>
    <n v="7"/>
    <n v="9"/>
    <n v="2"/>
    <n v="7"/>
    <x v="0"/>
    <n v="2.848034995129431"/>
  </r>
  <r>
    <x v="21"/>
    <x v="1"/>
    <x v="1"/>
    <x v="0"/>
    <x v="2"/>
    <x v="0"/>
    <x v="1"/>
    <x v="1"/>
    <x v="0"/>
    <x v="4"/>
    <n v="2"/>
    <n v="2"/>
    <n v="0"/>
    <m/>
    <x v="1"/>
    <n v="6.5806557275802507E-2"/>
  </r>
  <r>
    <x v="5"/>
    <x v="0"/>
    <x v="1"/>
    <x v="0"/>
    <x v="1"/>
    <x v="1"/>
    <x v="0"/>
    <x v="1"/>
    <x v="1"/>
    <x v="0"/>
    <n v="12"/>
    <n v="13"/>
    <n v="0"/>
    <n v="12"/>
    <x v="0"/>
    <n v="0.76212960088171422"/>
  </r>
  <r>
    <x v="21"/>
    <x v="0"/>
    <x v="0"/>
    <x v="0"/>
    <x v="0"/>
    <x v="0"/>
    <x v="0"/>
    <x v="0"/>
    <x v="0"/>
    <x v="0"/>
    <n v="9"/>
    <n v="12"/>
    <n v="0"/>
    <m/>
    <x v="1"/>
    <n v="0.53506410738091503"/>
  </r>
  <r>
    <x v="7"/>
    <x v="0"/>
    <x v="0"/>
    <x v="0"/>
    <x v="0"/>
    <x v="0"/>
    <x v="0"/>
    <x v="1"/>
    <x v="1"/>
    <x v="7"/>
    <n v="32"/>
    <n v="40"/>
    <n v="0"/>
    <m/>
    <x v="1"/>
    <n v="1.1911930309117587"/>
  </r>
  <r>
    <x v="11"/>
    <x v="0"/>
    <x v="0"/>
    <x v="1"/>
    <x v="1"/>
    <x v="0"/>
    <x v="0"/>
    <x v="1"/>
    <x v="1"/>
    <x v="5"/>
    <n v="9"/>
    <n v="10"/>
    <n v="0"/>
    <m/>
    <x v="1"/>
    <n v="0.20356051958531404"/>
  </r>
  <r>
    <x v="14"/>
    <x v="1"/>
    <x v="0"/>
    <x v="0"/>
    <x v="0"/>
    <x v="0"/>
    <x v="0"/>
    <x v="0"/>
    <x v="0"/>
    <x v="1"/>
    <n v="24"/>
    <n v="29"/>
    <n v="0"/>
    <m/>
    <x v="1"/>
    <n v="1.9114076619165006"/>
  </r>
  <r>
    <x v="21"/>
    <x v="1"/>
    <x v="0"/>
    <x v="0"/>
    <x v="0"/>
    <x v="0"/>
    <x v="0"/>
    <x v="0"/>
    <x v="0"/>
    <x v="1"/>
    <n v="10"/>
    <n v="13"/>
    <n v="0"/>
    <m/>
    <x v="1"/>
    <n v="0.85683791741084503"/>
  </r>
  <r>
    <x v="10"/>
    <x v="1"/>
    <x v="1"/>
    <x v="0"/>
    <x v="1"/>
    <x v="1"/>
    <x v="0"/>
    <x v="1"/>
    <x v="1"/>
    <x v="8"/>
    <n v="6"/>
    <n v="8"/>
    <n v="0"/>
    <m/>
    <x v="1"/>
    <n v="0.68843946280258683"/>
  </r>
  <r>
    <x v="16"/>
    <x v="1"/>
    <x v="0"/>
    <x v="0"/>
    <x v="1"/>
    <x v="0"/>
    <x v="0"/>
    <x v="1"/>
    <x v="2"/>
    <x v="9"/>
    <n v="24"/>
    <n v="30"/>
    <n v="0"/>
    <m/>
    <x v="1"/>
    <n v="5.7126079964119612"/>
  </r>
  <r>
    <x v="14"/>
    <x v="1"/>
    <x v="1"/>
    <x v="0"/>
    <x v="1"/>
    <x v="0"/>
    <x v="0"/>
    <x v="1"/>
    <x v="1"/>
    <x v="0"/>
    <n v="8"/>
    <n v="12"/>
    <n v="1"/>
    <m/>
    <x v="1"/>
    <n v="0.5478537496380943"/>
  </r>
  <r>
    <x v="2"/>
    <x v="0"/>
    <x v="1"/>
    <x v="0"/>
    <x v="2"/>
    <x v="0"/>
    <x v="0"/>
    <x v="1"/>
    <x v="0"/>
    <x v="0"/>
    <n v="6"/>
    <n v="8"/>
    <n v="0"/>
    <m/>
    <x v="1"/>
    <n v="0.36322221773876928"/>
  </r>
  <r>
    <x v="13"/>
    <x v="0"/>
    <x v="0"/>
    <x v="0"/>
    <x v="1"/>
    <x v="0"/>
    <x v="0"/>
    <x v="1"/>
    <x v="0"/>
    <x v="1"/>
    <n v="4"/>
    <n v="5"/>
    <n v="0"/>
    <m/>
    <x v="1"/>
    <n v="0.3239198063826475"/>
  </r>
  <r>
    <x v="1"/>
    <x v="0"/>
    <x v="1"/>
    <x v="2"/>
    <x v="1"/>
    <x v="0"/>
    <x v="0"/>
    <x v="1"/>
    <x v="1"/>
    <x v="4"/>
    <n v="5"/>
    <n v="5"/>
    <n v="0"/>
    <n v="5"/>
    <x v="0"/>
    <n v="0.1998028331159119"/>
  </r>
  <r>
    <x v="15"/>
    <x v="1"/>
    <x v="0"/>
    <x v="0"/>
    <x v="2"/>
    <x v="1"/>
    <x v="0"/>
    <x v="1"/>
    <x v="1"/>
    <x v="8"/>
    <n v="7"/>
    <n v="8"/>
    <n v="0"/>
    <n v="7"/>
    <x v="0"/>
    <n v="0.94554492732798401"/>
  </r>
  <r>
    <x v="8"/>
    <x v="1"/>
    <x v="1"/>
    <x v="0"/>
    <x v="0"/>
    <x v="1"/>
    <x v="0"/>
    <x v="0"/>
    <x v="1"/>
    <x v="3"/>
    <n v="3"/>
    <n v="3"/>
    <n v="0"/>
    <m/>
    <x v="1"/>
    <n v="0.17895518928492249"/>
  </r>
  <r>
    <x v="10"/>
    <x v="0"/>
    <x v="0"/>
    <x v="1"/>
    <x v="0"/>
    <x v="0"/>
    <x v="0"/>
    <x v="0"/>
    <x v="0"/>
    <x v="5"/>
    <n v="1"/>
    <n v="1"/>
    <n v="0"/>
    <m/>
    <x v="1"/>
    <n v="2.0841983429204125E-2"/>
  </r>
  <r>
    <x v="11"/>
    <x v="1"/>
    <x v="0"/>
    <x v="0"/>
    <x v="1"/>
    <x v="1"/>
    <x v="0"/>
    <x v="1"/>
    <x v="1"/>
    <x v="8"/>
    <n v="11"/>
    <n v="18"/>
    <n v="0"/>
    <m/>
    <x v="1"/>
    <n v="2.1490178141162204"/>
  </r>
  <r>
    <x v="5"/>
    <x v="1"/>
    <x v="0"/>
    <x v="0"/>
    <x v="0"/>
    <x v="0"/>
    <x v="1"/>
    <x v="0"/>
    <x v="1"/>
    <x v="7"/>
    <n v="19"/>
    <n v="21"/>
    <n v="0"/>
    <n v="19"/>
    <x v="0"/>
    <n v="0.45117584407984257"/>
  </r>
  <r>
    <x v="21"/>
    <x v="0"/>
    <x v="0"/>
    <x v="0"/>
    <x v="1"/>
    <x v="1"/>
    <x v="0"/>
    <x v="1"/>
    <x v="1"/>
    <x v="1"/>
    <n v="16"/>
    <n v="20"/>
    <n v="0"/>
    <m/>
    <x v="1"/>
    <n v="1.6458331875245902"/>
  </r>
  <r>
    <x v="13"/>
    <x v="1"/>
    <x v="0"/>
    <x v="0"/>
    <x v="0"/>
    <x v="0"/>
    <x v="0"/>
    <x v="1"/>
    <x v="1"/>
    <x v="0"/>
    <n v="4"/>
    <n v="6"/>
    <n v="0"/>
    <m/>
    <x v="1"/>
    <n v="0.26609402072208899"/>
  </r>
  <r>
    <x v="21"/>
    <x v="0"/>
    <x v="0"/>
    <x v="2"/>
    <x v="0"/>
    <x v="0"/>
    <x v="0"/>
    <x v="0"/>
    <x v="1"/>
    <x v="4"/>
    <n v="6"/>
    <n v="6"/>
    <n v="0"/>
    <m/>
    <x v="1"/>
    <n v="0.23286771133979997"/>
  </r>
  <r>
    <x v="17"/>
    <x v="0"/>
    <x v="1"/>
    <x v="0"/>
    <x v="0"/>
    <x v="0"/>
    <x v="0"/>
    <x v="0"/>
    <x v="1"/>
    <x v="5"/>
    <n v="13"/>
    <n v="14"/>
    <n v="1"/>
    <n v="12"/>
    <x v="0"/>
    <n v="0.29220740383220528"/>
  </r>
  <r>
    <x v="16"/>
    <x v="0"/>
    <x v="0"/>
    <x v="0"/>
    <x v="2"/>
    <x v="1"/>
    <x v="1"/>
    <x v="1"/>
    <x v="1"/>
    <x v="4"/>
    <n v="8"/>
    <n v="8"/>
    <n v="0"/>
    <m/>
    <x v="1"/>
    <n v="0.32203739742547816"/>
  </r>
  <r>
    <x v="10"/>
    <x v="0"/>
    <x v="1"/>
    <x v="0"/>
    <x v="0"/>
    <x v="0"/>
    <x v="0"/>
    <x v="0"/>
    <x v="1"/>
    <x v="5"/>
    <n v="3"/>
    <n v="4"/>
    <n v="0"/>
    <m/>
    <x v="1"/>
    <n v="8.3487829666344368E-2"/>
  </r>
  <r>
    <x v="4"/>
    <x v="1"/>
    <x v="0"/>
    <x v="0"/>
    <x v="1"/>
    <x v="0"/>
    <x v="0"/>
    <x v="1"/>
    <x v="0"/>
    <x v="8"/>
    <n v="20"/>
    <n v="33"/>
    <n v="0"/>
    <m/>
    <x v="1"/>
    <n v="3.1285594841170323"/>
  </r>
  <r>
    <x v="22"/>
    <x v="0"/>
    <x v="1"/>
    <x v="0"/>
    <x v="0"/>
    <x v="1"/>
    <x v="0"/>
    <x v="1"/>
    <x v="1"/>
    <x v="4"/>
    <n v="1"/>
    <n v="1"/>
    <n v="0"/>
    <n v="1"/>
    <x v="0"/>
    <n v="4.0267246343836334E-2"/>
  </r>
  <r>
    <x v="12"/>
    <x v="1"/>
    <x v="0"/>
    <x v="1"/>
    <x v="0"/>
    <x v="0"/>
    <x v="1"/>
    <x v="1"/>
    <x v="1"/>
    <x v="6"/>
    <n v="2"/>
    <n v="2"/>
    <n v="0"/>
    <m/>
    <x v="1"/>
    <n v="1.9829579578179591E-2"/>
  </r>
  <r>
    <x v="18"/>
    <x v="1"/>
    <x v="0"/>
    <x v="0"/>
    <x v="2"/>
    <x v="1"/>
    <x v="0"/>
    <x v="0"/>
    <x v="1"/>
    <x v="8"/>
    <n v="1"/>
    <n v="1"/>
    <n v="0"/>
    <m/>
    <x v="1"/>
    <n v="0.118193115915998"/>
  </r>
  <r>
    <x v="1"/>
    <x v="1"/>
    <x v="1"/>
    <x v="0"/>
    <x v="0"/>
    <x v="1"/>
    <x v="0"/>
    <x v="0"/>
    <x v="0"/>
    <x v="8"/>
    <n v="1"/>
    <n v="1"/>
    <n v="0"/>
    <n v="1"/>
    <x v="0"/>
    <n v="8.7968370705737417E-2"/>
  </r>
  <r>
    <x v="4"/>
    <x v="0"/>
    <x v="0"/>
    <x v="1"/>
    <x v="1"/>
    <x v="1"/>
    <x v="0"/>
    <x v="1"/>
    <x v="1"/>
    <x v="4"/>
    <n v="6"/>
    <n v="6"/>
    <n v="0"/>
    <m/>
    <x v="1"/>
    <n v="0.23574703877313608"/>
  </r>
  <r>
    <x v="20"/>
    <x v="1"/>
    <x v="0"/>
    <x v="1"/>
    <x v="0"/>
    <x v="0"/>
    <x v="0"/>
    <x v="1"/>
    <x v="1"/>
    <x v="5"/>
    <n v="4"/>
    <n v="4"/>
    <n v="0"/>
    <n v="4"/>
    <x v="0"/>
    <n v="8.2908739469652437E-2"/>
  </r>
  <r>
    <x v="9"/>
    <x v="0"/>
    <x v="0"/>
    <x v="1"/>
    <x v="1"/>
    <x v="0"/>
    <x v="0"/>
    <x v="1"/>
    <x v="0"/>
    <x v="4"/>
    <n v="5"/>
    <n v="6"/>
    <n v="0"/>
    <n v="5"/>
    <x v="0"/>
    <n v="0.18375957514838631"/>
  </r>
  <r>
    <x v="1"/>
    <x v="0"/>
    <x v="0"/>
    <x v="1"/>
    <x v="1"/>
    <x v="0"/>
    <x v="0"/>
    <x v="1"/>
    <x v="1"/>
    <x v="5"/>
    <n v="14"/>
    <n v="15"/>
    <n v="0"/>
    <n v="14"/>
    <x v="0"/>
    <n v="0.30534077937797105"/>
  </r>
  <r>
    <x v="20"/>
    <x v="1"/>
    <x v="1"/>
    <x v="2"/>
    <x v="0"/>
    <x v="0"/>
    <x v="0"/>
    <x v="0"/>
    <x v="1"/>
    <x v="4"/>
    <n v="7"/>
    <n v="8"/>
    <n v="0"/>
    <n v="6"/>
    <x v="0"/>
    <n v="0.32539432021225373"/>
  </r>
  <r>
    <x v="21"/>
    <x v="0"/>
    <x v="1"/>
    <x v="2"/>
    <x v="0"/>
    <x v="0"/>
    <x v="0"/>
    <x v="1"/>
    <x v="1"/>
    <x v="7"/>
    <n v="3"/>
    <n v="3"/>
    <n v="0"/>
    <m/>
    <x v="1"/>
    <n v="8.1833526001017565E-2"/>
  </r>
  <r>
    <x v="14"/>
    <x v="1"/>
    <x v="1"/>
    <x v="2"/>
    <x v="0"/>
    <x v="0"/>
    <x v="1"/>
    <x v="1"/>
    <x v="1"/>
    <x v="5"/>
    <n v="4"/>
    <n v="4"/>
    <n v="0"/>
    <m/>
    <x v="1"/>
    <n v="7.8661557214741662E-2"/>
  </r>
  <r>
    <x v="1"/>
    <x v="0"/>
    <x v="0"/>
    <x v="0"/>
    <x v="0"/>
    <x v="0"/>
    <x v="0"/>
    <x v="1"/>
    <x v="2"/>
    <x v="8"/>
    <n v="6"/>
    <n v="7"/>
    <n v="1"/>
    <n v="5"/>
    <x v="0"/>
    <n v="0.66406444810073517"/>
  </r>
  <r>
    <x v="17"/>
    <x v="0"/>
    <x v="0"/>
    <x v="2"/>
    <x v="0"/>
    <x v="0"/>
    <x v="0"/>
    <x v="1"/>
    <x v="2"/>
    <x v="8"/>
    <n v="2"/>
    <n v="2"/>
    <n v="0"/>
    <n v="2"/>
    <x v="0"/>
    <n v="0.2423433124072577"/>
  </r>
  <r>
    <x v="10"/>
    <x v="1"/>
    <x v="0"/>
    <x v="1"/>
    <x v="2"/>
    <x v="0"/>
    <x v="0"/>
    <x v="0"/>
    <x v="0"/>
    <x v="0"/>
    <n v="1"/>
    <n v="1"/>
    <n v="0"/>
    <m/>
    <x v="1"/>
    <n v="4.5095690087541995E-2"/>
  </r>
  <r>
    <x v="10"/>
    <x v="0"/>
    <x v="0"/>
    <x v="2"/>
    <x v="3"/>
    <x v="0"/>
    <x v="0"/>
    <x v="1"/>
    <x v="2"/>
    <x v="9"/>
    <n v="2"/>
    <n v="2"/>
    <n v="0"/>
    <m/>
    <x v="1"/>
    <n v="0.4302325684154153"/>
  </r>
  <r>
    <x v="15"/>
    <x v="0"/>
    <x v="0"/>
    <x v="0"/>
    <x v="0"/>
    <x v="1"/>
    <x v="0"/>
    <x v="0"/>
    <x v="1"/>
    <x v="0"/>
    <n v="14"/>
    <n v="14"/>
    <n v="0"/>
    <n v="14"/>
    <x v="0"/>
    <n v="0.79759569989141332"/>
  </r>
  <r>
    <x v="5"/>
    <x v="1"/>
    <x v="0"/>
    <x v="1"/>
    <x v="1"/>
    <x v="0"/>
    <x v="0"/>
    <x v="1"/>
    <x v="1"/>
    <x v="4"/>
    <n v="4"/>
    <n v="5"/>
    <n v="0"/>
    <n v="3"/>
    <x v="0"/>
    <n v="0.15229789876830657"/>
  </r>
  <r>
    <x v="16"/>
    <x v="0"/>
    <x v="0"/>
    <x v="2"/>
    <x v="1"/>
    <x v="0"/>
    <x v="0"/>
    <x v="1"/>
    <x v="1"/>
    <x v="0"/>
    <n v="25"/>
    <n v="30"/>
    <n v="0"/>
    <m/>
    <x v="1"/>
    <n v="1.6963415558023207"/>
  </r>
  <r>
    <x v="1"/>
    <x v="1"/>
    <x v="1"/>
    <x v="2"/>
    <x v="0"/>
    <x v="0"/>
    <x v="0"/>
    <x v="1"/>
    <x v="2"/>
    <x v="9"/>
    <n v="1"/>
    <n v="1"/>
    <n v="0"/>
    <n v="1"/>
    <x v="0"/>
    <n v="0.12646792194996428"/>
  </r>
  <r>
    <x v="20"/>
    <x v="1"/>
    <x v="1"/>
    <x v="0"/>
    <x v="3"/>
    <x v="1"/>
    <x v="0"/>
    <x v="1"/>
    <x v="2"/>
    <x v="9"/>
    <n v="2"/>
    <n v="3"/>
    <n v="1"/>
    <n v="2"/>
    <x v="0"/>
    <n v="0.90294709665342776"/>
  </r>
  <r>
    <x v="1"/>
    <x v="0"/>
    <x v="0"/>
    <x v="2"/>
    <x v="1"/>
    <x v="1"/>
    <x v="0"/>
    <x v="1"/>
    <x v="2"/>
    <x v="9"/>
    <n v="2"/>
    <n v="2"/>
    <n v="0"/>
    <n v="2"/>
    <x v="0"/>
    <n v="0.57428643650157385"/>
  </r>
  <r>
    <x v="20"/>
    <x v="0"/>
    <x v="0"/>
    <x v="0"/>
    <x v="2"/>
    <x v="0"/>
    <x v="1"/>
    <x v="1"/>
    <x v="2"/>
    <x v="1"/>
    <n v="8"/>
    <n v="8"/>
    <n v="0"/>
    <n v="8"/>
    <x v="0"/>
    <n v="0.54264387147395299"/>
  </r>
  <r>
    <x v="21"/>
    <x v="1"/>
    <x v="1"/>
    <x v="0"/>
    <x v="0"/>
    <x v="1"/>
    <x v="0"/>
    <x v="0"/>
    <x v="0"/>
    <x v="8"/>
    <n v="1"/>
    <n v="1"/>
    <n v="0"/>
    <m/>
    <x v="1"/>
    <n v="8.7968370705737417E-2"/>
  </r>
  <r>
    <x v="22"/>
    <x v="0"/>
    <x v="0"/>
    <x v="2"/>
    <x v="3"/>
    <x v="1"/>
    <x v="0"/>
    <x v="1"/>
    <x v="1"/>
    <x v="9"/>
    <n v="1"/>
    <n v="1"/>
    <n v="0"/>
    <n v="1"/>
    <x v="0"/>
    <n v="0.13642618392543343"/>
  </r>
  <r>
    <x v="12"/>
    <x v="0"/>
    <x v="1"/>
    <x v="0"/>
    <x v="0"/>
    <x v="0"/>
    <x v="0"/>
    <x v="0"/>
    <x v="1"/>
    <x v="5"/>
    <n v="17"/>
    <n v="19"/>
    <n v="0"/>
    <m/>
    <x v="1"/>
    <n v="0.39656719091513576"/>
  </r>
  <r>
    <x v="9"/>
    <x v="0"/>
    <x v="0"/>
    <x v="0"/>
    <x v="3"/>
    <x v="1"/>
    <x v="0"/>
    <x v="1"/>
    <x v="2"/>
    <x v="9"/>
    <n v="7"/>
    <n v="7"/>
    <n v="3"/>
    <n v="6"/>
    <x v="0"/>
    <n v="2.0356754847999747"/>
  </r>
  <r>
    <x v="18"/>
    <x v="1"/>
    <x v="0"/>
    <x v="0"/>
    <x v="0"/>
    <x v="0"/>
    <x v="0"/>
    <x v="0"/>
    <x v="1"/>
    <x v="0"/>
    <n v="11"/>
    <n v="13"/>
    <n v="0"/>
    <m/>
    <x v="1"/>
    <n v="0.57653704489785951"/>
  </r>
  <r>
    <x v="11"/>
    <x v="0"/>
    <x v="0"/>
    <x v="0"/>
    <x v="2"/>
    <x v="0"/>
    <x v="0"/>
    <x v="0"/>
    <x v="2"/>
    <x v="9"/>
    <n v="7"/>
    <n v="16"/>
    <n v="0"/>
    <m/>
    <x v="1"/>
    <n v="2.1327759556112444"/>
  </r>
  <r>
    <x v="0"/>
    <x v="0"/>
    <x v="0"/>
    <x v="2"/>
    <x v="0"/>
    <x v="0"/>
    <x v="0"/>
    <x v="1"/>
    <x v="1"/>
    <x v="4"/>
    <n v="9"/>
    <n v="9"/>
    <n v="0"/>
    <n v="8"/>
    <x v="0"/>
    <n v="0.34930156700969994"/>
  </r>
  <r>
    <x v="5"/>
    <x v="1"/>
    <x v="1"/>
    <x v="0"/>
    <x v="1"/>
    <x v="0"/>
    <x v="0"/>
    <x v="1"/>
    <x v="1"/>
    <x v="0"/>
    <n v="25"/>
    <n v="25"/>
    <n v="1"/>
    <n v="24"/>
    <x v="0"/>
    <n v="1.1413619784126963"/>
  </r>
  <r>
    <x v="14"/>
    <x v="0"/>
    <x v="0"/>
    <x v="0"/>
    <x v="0"/>
    <x v="0"/>
    <x v="0"/>
    <x v="0"/>
    <x v="1"/>
    <x v="7"/>
    <n v="38"/>
    <n v="48"/>
    <n v="0"/>
    <m/>
    <x v="1"/>
    <n v="1.4294316370941103"/>
  </r>
  <r>
    <x v="17"/>
    <x v="1"/>
    <x v="0"/>
    <x v="2"/>
    <x v="1"/>
    <x v="1"/>
    <x v="0"/>
    <x v="1"/>
    <x v="0"/>
    <x v="9"/>
    <n v="1"/>
    <n v="1"/>
    <n v="1"/>
    <n v="1"/>
    <x v="0"/>
    <n v="0.21333167671907721"/>
  </r>
  <r>
    <x v="17"/>
    <x v="1"/>
    <x v="1"/>
    <x v="0"/>
    <x v="2"/>
    <x v="0"/>
    <x v="1"/>
    <x v="1"/>
    <x v="1"/>
    <x v="7"/>
    <n v="2"/>
    <n v="2"/>
    <n v="0"/>
    <n v="2"/>
    <x v="0"/>
    <n v="4.3772986615182218E-2"/>
  </r>
  <r>
    <x v="14"/>
    <x v="0"/>
    <x v="0"/>
    <x v="2"/>
    <x v="1"/>
    <x v="0"/>
    <x v="0"/>
    <x v="1"/>
    <x v="1"/>
    <x v="0"/>
    <n v="14"/>
    <n v="17"/>
    <n v="0"/>
    <m/>
    <x v="1"/>
    <n v="0.96126021495464842"/>
  </r>
  <r>
    <x v="4"/>
    <x v="0"/>
    <x v="1"/>
    <x v="1"/>
    <x v="1"/>
    <x v="1"/>
    <x v="0"/>
    <x v="1"/>
    <x v="1"/>
    <x v="7"/>
    <n v="3"/>
    <n v="3"/>
    <n v="0"/>
    <m/>
    <x v="1"/>
    <n v="8.2857661993138126E-2"/>
  </r>
  <r>
    <x v="18"/>
    <x v="0"/>
    <x v="0"/>
    <x v="0"/>
    <x v="2"/>
    <x v="0"/>
    <x v="0"/>
    <x v="0"/>
    <x v="0"/>
    <x v="3"/>
    <n v="2"/>
    <n v="2"/>
    <n v="0"/>
    <m/>
    <x v="1"/>
    <n v="0.12818945540862531"/>
  </r>
  <r>
    <x v="7"/>
    <x v="1"/>
    <x v="0"/>
    <x v="0"/>
    <x v="0"/>
    <x v="0"/>
    <x v="0"/>
    <x v="1"/>
    <x v="1"/>
    <x v="0"/>
    <n v="19"/>
    <n v="25"/>
    <n v="0"/>
    <m/>
    <x v="1"/>
    <n v="1.1087250863420373"/>
  </r>
  <r>
    <x v="4"/>
    <x v="1"/>
    <x v="1"/>
    <x v="0"/>
    <x v="0"/>
    <x v="0"/>
    <x v="0"/>
    <x v="0"/>
    <x v="1"/>
    <x v="4"/>
    <n v="10"/>
    <n v="12"/>
    <n v="0"/>
    <m/>
    <x v="1"/>
    <n v="0.37468066217076068"/>
  </r>
  <r>
    <x v="20"/>
    <x v="0"/>
    <x v="0"/>
    <x v="0"/>
    <x v="2"/>
    <x v="0"/>
    <x v="0"/>
    <x v="1"/>
    <x v="1"/>
    <x v="2"/>
    <n v="6"/>
    <n v="6"/>
    <n v="0"/>
    <n v="6"/>
    <x v="0"/>
    <n v="0.25859849621444175"/>
  </r>
  <r>
    <x v="6"/>
    <x v="0"/>
    <x v="1"/>
    <x v="1"/>
    <x v="0"/>
    <x v="0"/>
    <x v="0"/>
    <x v="0"/>
    <x v="1"/>
    <x v="6"/>
    <n v="1"/>
    <n v="1"/>
    <n v="0"/>
    <m/>
    <x v="1"/>
    <n v="9.6288351632262403E-3"/>
  </r>
  <r>
    <x v="3"/>
    <x v="0"/>
    <x v="0"/>
    <x v="2"/>
    <x v="0"/>
    <x v="0"/>
    <x v="0"/>
    <x v="0"/>
    <x v="1"/>
    <x v="4"/>
    <n v="5"/>
    <n v="9"/>
    <n v="0"/>
    <m/>
    <x v="1"/>
    <n v="0.34930156700969994"/>
  </r>
  <r>
    <x v="3"/>
    <x v="1"/>
    <x v="0"/>
    <x v="0"/>
    <x v="2"/>
    <x v="0"/>
    <x v="0"/>
    <x v="0"/>
    <x v="0"/>
    <x v="8"/>
    <n v="5"/>
    <n v="5"/>
    <n v="0"/>
    <m/>
    <x v="1"/>
    <n v="0.46914126202672529"/>
  </r>
  <r>
    <x v="20"/>
    <x v="1"/>
    <x v="0"/>
    <x v="0"/>
    <x v="0"/>
    <x v="0"/>
    <x v="0"/>
    <x v="0"/>
    <x v="1"/>
    <x v="0"/>
    <n v="63"/>
    <n v="68"/>
    <n v="7"/>
    <n v="61"/>
    <x v="0"/>
    <n v="3.0157322348503413"/>
  </r>
  <r>
    <x v="6"/>
    <x v="0"/>
    <x v="1"/>
    <x v="0"/>
    <x v="0"/>
    <x v="0"/>
    <x v="0"/>
    <x v="0"/>
    <x v="1"/>
    <x v="5"/>
    <n v="5"/>
    <n v="6"/>
    <n v="0"/>
    <m/>
    <x v="1"/>
    <n v="0.12523174449951655"/>
  </r>
  <r>
    <x v="1"/>
    <x v="1"/>
    <x v="1"/>
    <x v="2"/>
    <x v="1"/>
    <x v="1"/>
    <x v="0"/>
    <x v="1"/>
    <x v="1"/>
    <x v="8"/>
    <n v="4"/>
    <n v="5"/>
    <n v="0"/>
    <n v="4"/>
    <x v="0"/>
    <n v="0.55107224702591107"/>
  </r>
  <r>
    <x v="7"/>
    <x v="0"/>
    <x v="0"/>
    <x v="2"/>
    <x v="0"/>
    <x v="0"/>
    <x v="0"/>
    <x v="0"/>
    <x v="1"/>
    <x v="4"/>
    <n v="11"/>
    <n v="11"/>
    <n v="0"/>
    <m/>
    <x v="1"/>
    <n v="0.42692413745629992"/>
  </r>
  <r>
    <x v="20"/>
    <x v="0"/>
    <x v="0"/>
    <x v="2"/>
    <x v="0"/>
    <x v="0"/>
    <x v="0"/>
    <x v="1"/>
    <x v="1"/>
    <x v="4"/>
    <n v="7"/>
    <n v="7"/>
    <n v="0"/>
    <n v="7"/>
    <x v="0"/>
    <n v="0.27167899656309996"/>
  </r>
  <r>
    <x v="14"/>
    <x v="1"/>
    <x v="0"/>
    <x v="2"/>
    <x v="0"/>
    <x v="0"/>
    <x v="0"/>
    <x v="0"/>
    <x v="1"/>
    <x v="0"/>
    <n v="18"/>
    <n v="21"/>
    <n v="0"/>
    <m/>
    <x v="1"/>
    <n v="1.2082747804214795"/>
  </r>
  <r>
    <x v="5"/>
    <x v="0"/>
    <x v="1"/>
    <x v="0"/>
    <x v="0"/>
    <x v="0"/>
    <x v="0"/>
    <x v="1"/>
    <x v="0"/>
    <x v="4"/>
    <n v="3"/>
    <n v="4"/>
    <n v="0"/>
    <n v="3"/>
    <x v="0"/>
    <n v="0.12557782849501686"/>
  </r>
  <r>
    <x v="21"/>
    <x v="0"/>
    <x v="1"/>
    <x v="0"/>
    <x v="1"/>
    <x v="0"/>
    <x v="0"/>
    <x v="1"/>
    <x v="0"/>
    <x v="0"/>
    <n v="10"/>
    <n v="13"/>
    <n v="0"/>
    <m/>
    <x v="1"/>
    <n v="0.59671127781490729"/>
  </r>
  <r>
    <x v="12"/>
    <x v="1"/>
    <x v="1"/>
    <x v="0"/>
    <x v="0"/>
    <x v="1"/>
    <x v="0"/>
    <x v="0"/>
    <x v="1"/>
    <x v="3"/>
    <n v="3"/>
    <n v="4"/>
    <n v="0"/>
    <m/>
    <x v="1"/>
    <n v="0.23860691904656331"/>
  </r>
  <r>
    <x v="12"/>
    <x v="1"/>
    <x v="0"/>
    <x v="2"/>
    <x v="0"/>
    <x v="0"/>
    <x v="0"/>
    <x v="1"/>
    <x v="1"/>
    <x v="0"/>
    <n v="14"/>
    <n v="17"/>
    <n v="1"/>
    <m/>
    <x v="1"/>
    <n v="0.97812720319834057"/>
  </r>
  <r>
    <x v="8"/>
    <x v="1"/>
    <x v="0"/>
    <x v="0"/>
    <x v="2"/>
    <x v="0"/>
    <x v="1"/>
    <x v="1"/>
    <x v="2"/>
    <x v="8"/>
    <n v="1"/>
    <n v="2"/>
    <n v="0"/>
    <m/>
    <x v="1"/>
    <n v="0.19822699262559396"/>
  </r>
  <r>
    <x v="0"/>
    <x v="1"/>
    <x v="0"/>
    <x v="0"/>
    <x v="0"/>
    <x v="0"/>
    <x v="1"/>
    <x v="0"/>
    <x v="1"/>
    <x v="7"/>
    <n v="7"/>
    <n v="8"/>
    <n v="0"/>
    <n v="7"/>
    <x v="0"/>
    <n v="0.17187651203041621"/>
  </r>
  <r>
    <x v="8"/>
    <x v="0"/>
    <x v="0"/>
    <x v="1"/>
    <x v="1"/>
    <x v="1"/>
    <x v="0"/>
    <x v="1"/>
    <x v="2"/>
    <x v="8"/>
    <n v="1"/>
    <n v="1"/>
    <n v="0"/>
    <m/>
    <x v="1"/>
    <n v="0.12254007280701143"/>
  </r>
  <r>
    <x v="3"/>
    <x v="0"/>
    <x v="0"/>
    <x v="0"/>
    <x v="1"/>
    <x v="1"/>
    <x v="0"/>
    <x v="1"/>
    <x v="0"/>
    <x v="8"/>
    <n v="13"/>
    <n v="18"/>
    <n v="0"/>
    <m/>
    <x v="1"/>
    <n v="2.1597151058787203"/>
  </r>
  <r>
    <x v="19"/>
    <x v="0"/>
    <x v="1"/>
    <x v="0"/>
    <x v="0"/>
    <x v="0"/>
    <x v="0"/>
    <x v="0"/>
    <x v="1"/>
    <x v="5"/>
    <n v="15"/>
    <n v="16"/>
    <n v="0"/>
    <m/>
    <x v="1"/>
    <n v="0.33395131866537747"/>
  </r>
  <r>
    <x v="18"/>
    <x v="0"/>
    <x v="0"/>
    <x v="2"/>
    <x v="2"/>
    <x v="0"/>
    <x v="0"/>
    <x v="1"/>
    <x v="1"/>
    <x v="0"/>
    <n v="2"/>
    <n v="2"/>
    <n v="0"/>
    <m/>
    <x v="1"/>
    <n v="0.11187579774158009"/>
  </r>
  <r>
    <x v="5"/>
    <x v="0"/>
    <x v="0"/>
    <x v="1"/>
    <x v="0"/>
    <x v="0"/>
    <x v="1"/>
    <x v="0"/>
    <x v="0"/>
    <x v="6"/>
    <n v="2"/>
    <n v="2"/>
    <n v="0"/>
    <n v="2"/>
    <x v="0"/>
    <n v="1.9940626127143805E-2"/>
  </r>
  <r>
    <x v="6"/>
    <x v="0"/>
    <x v="0"/>
    <x v="1"/>
    <x v="1"/>
    <x v="0"/>
    <x v="0"/>
    <x v="1"/>
    <x v="2"/>
    <x v="1"/>
    <n v="3"/>
    <n v="3"/>
    <n v="0"/>
    <m/>
    <x v="1"/>
    <n v="0.19875754252291369"/>
  </r>
  <r>
    <x v="22"/>
    <x v="1"/>
    <x v="0"/>
    <x v="2"/>
    <x v="0"/>
    <x v="1"/>
    <x v="0"/>
    <x v="0"/>
    <x v="1"/>
    <x v="8"/>
    <n v="2"/>
    <n v="3"/>
    <n v="1"/>
    <n v="2"/>
    <x v="0"/>
    <n v="0.32181121114782574"/>
  </r>
  <r>
    <x v="10"/>
    <x v="0"/>
    <x v="0"/>
    <x v="0"/>
    <x v="0"/>
    <x v="1"/>
    <x v="0"/>
    <x v="0"/>
    <x v="0"/>
    <x v="1"/>
    <n v="3"/>
    <n v="3"/>
    <n v="0"/>
    <m/>
    <x v="1"/>
    <n v="0.25238736913833998"/>
  </r>
  <r>
    <x v="19"/>
    <x v="1"/>
    <x v="0"/>
    <x v="0"/>
    <x v="0"/>
    <x v="0"/>
    <x v="1"/>
    <x v="1"/>
    <x v="2"/>
    <x v="1"/>
    <n v="2"/>
    <n v="4"/>
    <n v="0"/>
    <m/>
    <x v="1"/>
    <n v="0.27897726641771564"/>
  </r>
  <r>
    <x v="17"/>
    <x v="0"/>
    <x v="0"/>
    <x v="1"/>
    <x v="1"/>
    <x v="1"/>
    <x v="0"/>
    <x v="1"/>
    <x v="0"/>
    <x v="0"/>
    <n v="2"/>
    <n v="3"/>
    <n v="0"/>
    <n v="2"/>
    <x v="0"/>
    <n v="0.17563321340738813"/>
  </r>
  <r>
    <x v="15"/>
    <x v="1"/>
    <x v="0"/>
    <x v="0"/>
    <x v="2"/>
    <x v="0"/>
    <x v="1"/>
    <x v="1"/>
    <x v="2"/>
    <x v="8"/>
    <n v="3"/>
    <n v="3"/>
    <n v="0"/>
    <n v="3"/>
    <x v="0"/>
    <n v="0.29734048893839099"/>
  </r>
  <r>
    <x v="15"/>
    <x v="0"/>
    <x v="0"/>
    <x v="0"/>
    <x v="2"/>
    <x v="0"/>
    <x v="0"/>
    <x v="0"/>
    <x v="2"/>
    <x v="9"/>
    <n v="4"/>
    <n v="4"/>
    <n v="0"/>
    <n v="4"/>
    <x v="0"/>
    <n v="0.53319398890281122"/>
  </r>
  <r>
    <x v="10"/>
    <x v="1"/>
    <x v="0"/>
    <x v="0"/>
    <x v="1"/>
    <x v="0"/>
    <x v="0"/>
    <x v="1"/>
    <x v="2"/>
    <x v="9"/>
    <n v="12"/>
    <n v="29"/>
    <n v="0"/>
    <m/>
    <x v="1"/>
    <n v="5.5221877298648954"/>
  </r>
  <r>
    <x v="8"/>
    <x v="1"/>
    <x v="1"/>
    <x v="0"/>
    <x v="0"/>
    <x v="0"/>
    <x v="0"/>
    <x v="0"/>
    <x v="0"/>
    <x v="0"/>
    <n v="3"/>
    <n v="4"/>
    <n v="0"/>
    <m/>
    <x v="1"/>
    <n v="0.18686210437130313"/>
  </r>
  <r>
    <x v="11"/>
    <x v="0"/>
    <x v="0"/>
    <x v="0"/>
    <x v="3"/>
    <x v="0"/>
    <x v="0"/>
    <x v="1"/>
    <x v="1"/>
    <x v="0"/>
    <n v="2"/>
    <n v="2"/>
    <n v="0"/>
    <m/>
    <x v="1"/>
    <n v="0.11500907125202124"/>
  </r>
  <r>
    <x v="20"/>
    <x v="1"/>
    <x v="0"/>
    <x v="2"/>
    <x v="2"/>
    <x v="0"/>
    <x v="0"/>
    <x v="0"/>
    <x v="2"/>
    <x v="9"/>
    <n v="2"/>
    <n v="2"/>
    <n v="1"/>
    <n v="2"/>
    <x v="0"/>
    <n v="0.4684944786219789"/>
  </r>
  <r>
    <x v="12"/>
    <x v="0"/>
    <x v="1"/>
    <x v="0"/>
    <x v="3"/>
    <x v="1"/>
    <x v="0"/>
    <x v="1"/>
    <x v="0"/>
    <x v="8"/>
    <n v="1"/>
    <n v="1"/>
    <n v="0"/>
    <m/>
    <x v="1"/>
    <n v="0.11253926602183867"/>
  </r>
  <r>
    <x v="10"/>
    <x v="1"/>
    <x v="0"/>
    <x v="0"/>
    <x v="2"/>
    <x v="0"/>
    <x v="1"/>
    <x v="1"/>
    <x v="2"/>
    <x v="8"/>
    <n v="7"/>
    <n v="7"/>
    <n v="0"/>
    <m/>
    <x v="1"/>
    <n v="0.69379447418957896"/>
  </r>
  <r>
    <x v="9"/>
    <x v="0"/>
    <x v="1"/>
    <x v="1"/>
    <x v="0"/>
    <x v="0"/>
    <x v="0"/>
    <x v="0"/>
    <x v="2"/>
    <x v="4"/>
    <n v="1"/>
    <n v="1"/>
    <n v="0"/>
    <n v="1"/>
    <x v="0"/>
    <n v="3.2132126409987367E-2"/>
  </r>
  <r>
    <x v="7"/>
    <x v="1"/>
    <x v="0"/>
    <x v="2"/>
    <x v="0"/>
    <x v="0"/>
    <x v="0"/>
    <x v="0"/>
    <x v="0"/>
    <x v="8"/>
    <n v="6"/>
    <n v="7"/>
    <n v="0"/>
    <m/>
    <x v="1"/>
    <n v="0.59458214168400458"/>
  </r>
  <r>
    <x v="16"/>
    <x v="1"/>
    <x v="0"/>
    <x v="2"/>
    <x v="0"/>
    <x v="1"/>
    <x v="0"/>
    <x v="1"/>
    <x v="1"/>
    <x v="8"/>
    <n v="2"/>
    <n v="3"/>
    <n v="0"/>
    <m/>
    <x v="1"/>
    <n v="0.32181121114782574"/>
  </r>
  <r>
    <x v="11"/>
    <x v="0"/>
    <x v="1"/>
    <x v="0"/>
    <x v="1"/>
    <x v="1"/>
    <x v="0"/>
    <x v="1"/>
    <x v="1"/>
    <x v="0"/>
    <n v="12"/>
    <n v="16"/>
    <n v="0"/>
    <m/>
    <x v="1"/>
    <n v="0.93800566262364826"/>
  </r>
  <r>
    <x v="0"/>
    <x v="1"/>
    <x v="1"/>
    <x v="0"/>
    <x v="3"/>
    <x v="1"/>
    <x v="0"/>
    <x v="1"/>
    <x v="1"/>
    <x v="8"/>
    <n v="2"/>
    <n v="2"/>
    <n v="0"/>
    <n v="2"/>
    <x v="0"/>
    <n v="0.22395431047086944"/>
  </r>
  <r>
    <x v="5"/>
    <x v="1"/>
    <x v="0"/>
    <x v="0"/>
    <x v="0"/>
    <x v="0"/>
    <x v="0"/>
    <x v="0"/>
    <x v="2"/>
    <x v="9"/>
    <n v="4"/>
    <n v="7"/>
    <n v="0"/>
    <n v="4"/>
    <x v="0"/>
    <n v="0.95751913107664366"/>
  </r>
  <r>
    <x v="12"/>
    <x v="1"/>
    <x v="1"/>
    <x v="0"/>
    <x v="0"/>
    <x v="0"/>
    <x v="1"/>
    <x v="1"/>
    <x v="1"/>
    <x v="5"/>
    <n v="3"/>
    <n v="4"/>
    <n v="0"/>
    <m/>
    <x v="1"/>
    <n v="6.0078389760745872E-2"/>
  </r>
  <r>
    <x v="22"/>
    <x v="1"/>
    <x v="0"/>
    <x v="1"/>
    <x v="1"/>
    <x v="0"/>
    <x v="0"/>
    <x v="1"/>
    <x v="1"/>
    <x v="4"/>
    <n v="5"/>
    <n v="5"/>
    <n v="1"/>
    <n v="5"/>
    <x v="0"/>
    <n v="0.15229789876830657"/>
  </r>
  <r>
    <x v="12"/>
    <x v="0"/>
    <x v="0"/>
    <x v="0"/>
    <x v="1"/>
    <x v="0"/>
    <x v="0"/>
    <x v="1"/>
    <x v="2"/>
    <x v="9"/>
    <n v="34"/>
    <n v="46"/>
    <n v="1"/>
    <m/>
    <x v="1"/>
    <n v="6.1927434918517665"/>
  </r>
  <r>
    <x v="15"/>
    <x v="0"/>
    <x v="0"/>
    <x v="0"/>
    <x v="2"/>
    <x v="0"/>
    <x v="0"/>
    <x v="1"/>
    <x v="2"/>
    <x v="9"/>
    <n v="21"/>
    <n v="22"/>
    <n v="5"/>
    <n v="21"/>
    <x v="0"/>
    <n v="2.9325669389654614"/>
  </r>
  <r>
    <x v="6"/>
    <x v="0"/>
    <x v="1"/>
    <x v="1"/>
    <x v="0"/>
    <x v="0"/>
    <x v="0"/>
    <x v="0"/>
    <x v="2"/>
    <x v="4"/>
    <n v="1"/>
    <n v="1"/>
    <n v="0"/>
    <m/>
    <x v="1"/>
    <n v="3.2132126409987367E-2"/>
  </r>
  <r>
    <x v="15"/>
    <x v="0"/>
    <x v="0"/>
    <x v="2"/>
    <x v="1"/>
    <x v="0"/>
    <x v="0"/>
    <x v="1"/>
    <x v="0"/>
    <x v="1"/>
    <n v="7"/>
    <n v="9"/>
    <n v="1"/>
    <n v="7"/>
    <x v="0"/>
    <n v="0.75165710994192536"/>
  </r>
  <r>
    <x v="17"/>
    <x v="1"/>
    <x v="0"/>
    <x v="0"/>
    <x v="2"/>
    <x v="0"/>
    <x v="0"/>
    <x v="1"/>
    <x v="1"/>
    <x v="3"/>
    <n v="10"/>
    <n v="11"/>
    <n v="0"/>
    <n v="10"/>
    <x v="0"/>
    <n v="0.70132924212300773"/>
  </r>
  <r>
    <x v="2"/>
    <x v="1"/>
    <x v="1"/>
    <x v="2"/>
    <x v="0"/>
    <x v="0"/>
    <x v="0"/>
    <x v="0"/>
    <x v="1"/>
    <x v="4"/>
    <n v="4"/>
    <n v="5"/>
    <n v="0"/>
    <m/>
    <x v="1"/>
    <n v="0.20337145013265859"/>
  </r>
  <r>
    <x v="19"/>
    <x v="1"/>
    <x v="0"/>
    <x v="0"/>
    <x v="2"/>
    <x v="0"/>
    <x v="0"/>
    <x v="1"/>
    <x v="0"/>
    <x v="8"/>
    <n v="5"/>
    <n v="6"/>
    <n v="0"/>
    <m/>
    <x v="1"/>
    <n v="0.56296951443207033"/>
  </r>
  <r>
    <x v="15"/>
    <x v="0"/>
    <x v="0"/>
    <x v="1"/>
    <x v="0"/>
    <x v="0"/>
    <x v="0"/>
    <x v="1"/>
    <x v="1"/>
    <x v="6"/>
    <n v="11"/>
    <n v="11"/>
    <n v="0"/>
    <n v="11"/>
    <x v="0"/>
    <n v="0.15186545256666287"/>
  </r>
  <r>
    <x v="20"/>
    <x v="0"/>
    <x v="0"/>
    <x v="1"/>
    <x v="1"/>
    <x v="1"/>
    <x v="0"/>
    <x v="1"/>
    <x v="0"/>
    <x v="0"/>
    <n v="3"/>
    <n v="3"/>
    <n v="0"/>
    <n v="3"/>
    <x v="0"/>
    <n v="0.17563321340738813"/>
  </r>
  <r>
    <x v="6"/>
    <x v="0"/>
    <x v="0"/>
    <x v="2"/>
    <x v="1"/>
    <x v="0"/>
    <x v="0"/>
    <x v="1"/>
    <x v="0"/>
    <x v="1"/>
    <n v="4"/>
    <n v="8"/>
    <n v="0"/>
    <m/>
    <x v="1"/>
    <n v="0.66813965328171143"/>
  </r>
  <r>
    <x v="6"/>
    <x v="0"/>
    <x v="0"/>
    <x v="0"/>
    <x v="2"/>
    <x v="0"/>
    <x v="0"/>
    <x v="0"/>
    <x v="1"/>
    <x v="2"/>
    <n v="4"/>
    <n v="4"/>
    <n v="0"/>
    <m/>
    <x v="1"/>
    <n v="0.1723989974762945"/>
  </r>
  <r>
    <x v="9"/>
    <x v="0"/>
    <x v="1"/>
    <x v="0"/>
    <x v="2"/>
    <x v="1"/>
    <x v="1"/>
    <x v="0"/>
    <x v="0"/>
    <x v="2"/>
    <n v="1"/>
    <n v="1"/>
    <n v="0"/>
    <n v="1"/>
    <x v="0"/>
    <n v="4.2412414648078343E-2"/>
  </r>
  <r>
    <x v="10"/>
    <x v="0"/>
    <x v="0"/>
    <x v="1"/>
    <x v="2"/>
    <x v="0"/>
    <x v="0"/>
    <x v="1"/>
    <x v="1"/>
    <x v="5"/>
    <n v="3"/>
    <n v="3"/>
    <n v="0"/>
    <m/>
    <x v="1"/>
    <n v="6.0387933988335737E-2"/>
  </r>
  <r>
    <x v="7"/>
    <x v="1"/>
    <x v="1"/>
    <x v="2"/>
    <x v="0"/>
    <x v="0"/>
    <x v="0"/>
    <x v="0"/>
    <x v="1"/>
    <x v="4"/>
    <n v="2"/>
    <n v="4"/>
    <n v="0"/>
    <m/>
    <x v="1"/>
    <n v="0.16269716010612686"/>
  </r>
  <r>
    <x v="9"/>
    <x v="0"/>
    <x v="1"/>
    <x v="1"/>
    <x v="0"/>
    <x v="0"/>
    <x v="0"/>
    <x v="1"/>
    <x v="1"/>
    <x v="6"/>
    <n v="3"/>
    <n v="3"/>
    <n v="0"/>
    <n v="3"/>
    <x v="0"/>
    <n v="2.8886505489678724E-2"/>
  </r>
  <r>
    <x v="9"/>
    <x v="0"/>
    <x v="1"/>
    <x v="1"/>
    <x v="2"/>
    <x v="0"/>
    <x v="0"/>
    <x v="1"/>
    <x v="1"/>
    <x v="6"/>
    <n v="2"/>
    <n v="3"/>
    <n v="0"/>
    <n v="2"/>
    <x v="0"/>
    <n v="4.2198883264988253E-2"/>
  </r>
  <r>
    <x v="21"/>
    <x v="0"/>
    <x v="0"/>
    <x v="0"/>
    <x v="0"/>
    <x v="0"/>
    <x v="0"/>
    <x v="0"/>
    <x v="1"/>
    <x v="7"/>
    <n v="28"/>
    <n v="33"/>
    <n v="0"/>
    <m/>
    <x v="1"/>
    <n v="0.98273425050220087"/>
  </r>
  <r>
    <x v="0"/>
    <x v="0"/>
    <x v="1"/>
    <x v="0"/>
    <x v="1"/>
    <x v="1"/>
    <x v="0"/>
    <x v="1"/>
    <x v="0"/>
    <x v="8"/>
    <n v="7"/>
    <n v="8"/>
    <n v="0"/>
    <n v="7"/>
    <x v="0"/>
    <n v="0.69199674111617315"/>
  </r>
  <r>
    <x v="17"/>
    <x v="0"/>
    <x v="0"/>
    <x v="0"/>
    <x v="0"/>
    <x v="0"/>
    <x v="1"/>
    <x v="1"/>
    <x v="1"/>
    <x v="6"/>
    <n v="7"/>
    <n v="7"/>
    <n v="0"/>
    <n v="6"/>
    <x v="0"/>
    <n v="0.10019885105982157"/>
  </r>
  <r>
    <x v="9"/>
    <x v="1"/>
    <x v="0"/>
    <x v="0"/>
    <x v="0"/>
    <x v="0"/>
    <x v="0"/>
    <x v="0"/>
    <x v="0"/>
    <x v="1"/>
    <n v="13"/>
    <n v="14"/>
    <n v="0"/>
    <n v="13"/>
    <x v="0"/>
    <n v="0.92274852644244854"/>
  </r>
  <r>
    <x v="22"/>
    <x v="1"/>
    <x v="1"/>
    <x v="1"/>
    <x v="0"/>
    <x v="1"/>
    <x v="0"/>
    <x v="0"/>
    <x v="1"/>
    <x v="7"/>
    <n v="1"/>
    <n v="1"/>
    <n v="0"/>
    <n v="1"/>
    <x v="0"/>
    <n v="2.8118975193987015E-2"/>
  </r>
  <r>
    <x v="20"/>
    <x v="1"/>
    <x v="0"/>
    <x v="0"/>
    <x v="0"/>
    <x v="1"/>
    <x v="1"/>
    <x v="1"/>
    <x v="0"/>
    <x v="3"/>
    <n v="1"/>
    <n v="1"/>
    <n v="0"/>
    <n v="1"/>
    <x v="0"/>
    <n v="6.1656780627368547E-2"/>
  </r>
  <r>
    <x v="3"/>
    <x v="1"/>
    <x v="0"/>
    <x v="1"/>
    <x v="1"/>
    <x v="1"/>
    <x v="0"/>
    <x v="1"/>
    <x v="0"/>
    <x v="8"/>
    <n v="1"/>
    <n v="1"/>
    <n v="0"/>
    <m/>
    <x v="1"/>
    <n v="8.593956647800631E-2"/>
  </r>
  <r>
    <x v="20"/>
    <x v="0"/>
    <x v="1"/>
    <x v="2"/>
    <x v="0"/>
    <x v="0"/>
    <x v="0"/>
    <x v="1"/>
    <x v="1"/>
    <x v="7"/>
    <n v="3"/>
    <n v="3"/>
    <n v="0"/>
    <n v="3"/>
    <x v="0"/>
    <n v="8.1833526001017565E-2"/>
  </r>
  <r>
    <x v="11"/>
    <x v="0"/>
    <x v="1"/>
    <x v="0"/>
    <x v="1"/>
    <x v="1"/>
    <x v="0"/>
    <x v="1"/>
    <x v="0"/>
    <x v="8"/>
    <n v="4"/>
    <n v="7"/>
    <n v="0"/>
    <m/>
    <x v="1"/>
    <n v="0.60549714847665148"/>
  </r>
  <r>
    <x v="5"/>
    <x v="1"/>
    <x v="0"/>
    <x v="1"/>
    <x v="1"/>
    <x v="0"/>
    <x v="0"/>
    <x v="1"/>
    <x v="0"/>
    <x v="0"/>
    <n v="2"/>
    <n v="2"/>
    <n v="0"/>
    <n v="2"/>
    <x v="0"/>
    <n v="9.1181144791481414E-2"/>
  </r>
  <r>
    <x v="9"/>
    <x v="1"/>
    <x v="0"/>
    <x v="1"/>
    <x v="2"/>
    <x v="1"/>
    <x v="0"/>
    <x v="0"/>
    <x v="1"/>
    <x v="0"/>
    <n v="1"/>
    <n v="1"/>
    <n v="0"/>
    <n v="1"/>
    <x v="0"/>
    <n v="5.7610445646867868E-2"/>
  </r>
  <r>
    <x v="11"/>
    <x v="1"/>
    <x v="0"/>
    <x v="0"/>
    <x v="2"/>
    <x v="0"/>
    <x v="1"/>
    <x v="1"/>
    <x v="1"/>
    <x v="4"/>
    <n v="5"/>
    <n v="5"/>
    <n v="0"/>
    <m/>
    <x v="1"/>
    <n v="0.15606774281173291"/>
  </r>
  <r>
    <x v="22"/>
    <x v="1"/>
    <x v="1"/>
    <x v="2"/>
    <x v="1"/>
    <x v="0"/>
    <x v="0"/>
    <x v="1"/>
    <x v="0"/>
    <x v="8"/>
    <n v="2"/>
    <n v="2"/>
    <n v="1"/>
    <n v="2"/>
    <x v="0"/>
    <n v="0.17466290492702188"/>
  </r>
  <r>
    <x v="21"/>
    <x v="1"/>
    <x v="0"/>
    <x v="2"/>
    <x v="0"/>
    <x v="1"/>
    <x v="0"/>
    <x v="0"/>
    <x v="1"/>
    <x v="8"/>
    <n v="1"/>
    <n v="1"/>
    <n v="0"/>
    <m/>
    <x v="1"/>
    <n v="0.10727040371594192"/>
  </r>
  <r>
    <x v="7"/>
    <x v="0"/>
    <x v="1"/>
    <x v="0"/>
    <x v="0"/>
    <x v="0"/>
    <x v="0"/>
    <x v="0"/>
    <x v="0"/>
    <x v="4"/>
    <n v="7"/>
    <n v="8"/>
    <n v="0"/>
    <m/>
    <x v="1"/>
    <n v="0.25115565699003373"/>
  </r>
  <r>
    <x v="17"/>
    <x v="1"/>
    <x v="1"/>
    <x v="0"/>
    <x v="2"/>
    <x v="0"/>
    <x v="1"/>
    <x v="1"/>
    <x v="0"/>
    <x v="4"/>
    <n v="3"/>
    <n v="4"/>
    <n v="0"/>
    <n v="3"/>
    <x v="0"/>
    <n v="0.13161311455160501"/>
  </r>
  <r>
    <x v="0"/>
    <x v="1"/>
    <x v="1"/>
    <x v="0"/>
    <x v="1"/>
    <x v="0"/>
    <x v="0"/>
    <x v="1"/>
    <x v="0"/>
    <x v="1"/>
    <n v="4"/>
    <n v="5"/>
    <n v="0"/>
    <n v="4"/>
    <x v="0"/>
    <n v="0.33902873924231464"/>
  </r>
  <r>
    <x v="22"/>
    <x v="0"/>
    <x v="0"/>
    <x v="0"/>
    <x v="1"/>
    <x v="1"/>
    <x v="0"/>
    <x v="1"/>
    <x v="0"/>
    <x v="8"/>
    <n v="5"/>
    <n v="8"/>
    <n v="0"/>
    <n v="5"/>
    <x v="0"/>
    <n v="0.95987338039054237"/>
  </r>
  <r>
    <x v="22"/>
    <x v="0"/>
    <x v="0"/>
    <x v="1"/>
    <x v="2"/>
    <x v="1"/>
    <x v="1"/>
    <x v="0"/>
    <x v="1"/>
    <x v="5"/>
    <n v="1"/>
    <n v="1"/>
    <n v="0"/>
    <n v="1"/>
    <x v="0"/>
    <n v="1.8770803012868077E-2"/>
  </r>
  <r>
    <x v="7"/>
    <x v="1"/>
    <x v="0"/>
    <x v="2"/>
    <x v="1"/>
    <x v="0"/>
    <x v="0"/>
    <x v="1"/>
    <x v="0"/>
    <x v="8"/>
    <n v="12"/>
    <n v="17"/>
    <n v="0"/>
    <m/>
    <x v="1"/>
    <n v="2.0586211805318717"/>
  </r>
  <r>
    <x v="20"/>
    <x v="1"/>
    <x v="0"/>
    <x v="0"/>
    <x v="0"/>
    <x v="0"/>
    <x v="0"/>
    <x v="0"/>
    <x v="0"/>
    <x v="1"/>
    <n v="14"/>
    <n v="15"/>
    <n v="0"/>
    <n v="14"/>
    <x v="0"/>
    <n v="0.98865913547405204"/>
  </r>
  <r>
    <x v="11"/>
    <x v="1"/>
    <x v="1"/>
    <x v="2"/>
    <x v="0"/>
    <x v="0"/>
    <x v="0"/>
    <x v="1"/>
    <x v="1"/>
    <x v="4"/>
    <n v="4"/>
    <n v="4"/>
    <n v="0"/>
    <m/>
    <x v="1"/>
    <n v="0.16269716010612686"/>
  </r>
  <r>
    <x v="1"/>
    <x v="1"/>
    <x v="1"/>
    <x v="2"/>
    <x v="3"/>
    <x v="1"/>
    <x v="0"/>
    <x v="1"/>
    <x v="1"/>
    <x v="9"/>
    <n v="1"/>
    <n v="1"/>
    <n v="1"/>
    <n v="1"/>
    <x v="0"/>
    <n v="0.14228125938985361"/>
  </r>
  <r>
    <x v="2"/>
    <x v="1"/>
    <x v="0"/>
    <x v="0"/>
    <x v="2"/>
    <x v="0"/>
    <x v="1"/>
    <x v="1"/>
    <x v="0"/>
    <x v="0"/>
    <n v="5"/>
    <n v="5"/>
    <n v="0"/>
    <m/>
    <x v="1"/>
    <n v="0.23350519599972364"/>
  </r>
  <r>
    <x v="21"/>
    <x v="1"/>
    <x v="0"/>
    <x v="0"/>
    <x v="2"/>
    <x v="1"/>
    <x v="0"/>
    <x v="1"/>
    <x v="1"/>
    <x v="8"/>
    <n v="4"/>
    <n v="6"/>
    <n v="0"/>
    <m/>
    <x v="1"/>
    <n v="0.70915869549598798"/>
  </r>
  <r>
    <x v="4"/>
    <x v="0"/>
    <x v="1"/>
    <x v="1"/>
    <x v="2"/>
    <x v="1"/>
    <x v="1"/>
    <x v="0"/>
    <x v="2"/>
    <x v="2"/>
    <n v="1"/>
    <n v="1"/>
    <n v="0"/>
    <m/>
    <x v="1"/>
    <n v="4.339737152735889E-2"/>
  </r>
  <r>
    <x v="19"/>
    <x v="1"/>
    <x v="0"/>
    <x v="0"/>
    <x v="1"/>
    <x v="1"/>
    <x v="0"/>
    <x v="1"/>
    <x v="1"/>
    <x v="8"/>
    <n v="14"/>
    <n v="24"/>
    <n v="0"/>
    <m/>
    <x v="1"/>
    <n v="2.8653570854882937"/>
  </r>
  <r>
    <x v="0"/>
    <x v="1"/>
    <x v="0"/>
    <x v="2"/>
    <x v="0"/>
    <x v="0"/>
    <x v="0"/>
    <x v="1"/>
    <x v="1"/>
    <x v="0"/>
    <n v="5"/>
    <n v="6"/>
    <n v="0"/>
    <n v="4"/>
    <x v="0"/>
    <n v="0.34522136583470842"/>
  </r>
  <r>
    <x v="8"/>
    <x v="0"/>
    <x v="0"/>
    <x v="0"/>
    <x v="2"/>
    <x v="0"/>
    <x v="0"/>
    <x v="1"/>
    <x v="0"/>
    <x v="3"/>
    <n v="9"/>
    <n v="16"/>
    <n v="0"/>
    <m/>
    <x v="1"/>
    <n v="1.0255156432690022"/>
  </r>
  <r>
    <x v="10"/>
    <x v="1"/>
    <x v="0"/>
    <x v="2"/>
    <x v="2"/>
    <x v="0"/>
    <x v="0"/>
    <x v="0"/>
    <x v="2"/>
    <x v="9"/>
    <n v="2"/>
    <n v="4"/>
    <n v="0"/>
    <m/>
    <x v="1"/>
    <n v="0.93698895724395781"/>
  </r>
  <r>
    <x v="12"/>
    <x v="1"/>
    <x v="0"/>
    <x v="2"/>
    <x v="2"/>
    <x v="0"/>
    <x v="0"/>
    <x v="1"/>
    <x v="2"/>
    <x v="9"/>
    <n v="3"/>
    <n v="3"/>
    <n v="1"/>
    <m/>
    <x v="1"/>
    <n v="0.70274171793296836"/>
  </r>
  <r>
    <x v="1"/>
    <x v="1"/>
    <x v="0"/>
    <x v="0"/>
    <x v="0"/>
    <x v="0"/>
    <x v="1"/>
    <x v="0"/>
    <x v="2"/>
    <x v="1"/>
    <n v="5"/>
    <n v="5"/>
    <n v="0"/>
    <n v="5"/>
    <x v="0"/>
    <n v="0.34872158302214451"/>
  </r>
  <r>
    <x v="14"/>
    <x v="0"/>
    <x v="0"/>
    <x v="0"/>
    <x v="0"/>
    <x v="0"/>
    <x v="1"/>
    <x v="0"/>
    <x v="0"/>
    <x v="7"/>
    <n v="2"/>
    <n v="2"/>
    <n v="0"/>
    <m/>
    <x v="1"/>
    <n v="4.3206929616634408E-2"/>
  </r>
  <r>
    <x v="19"/>
    <x v="1"/>
    <x v="1"/>
    <x v="0"/>
    <x v="0"/>
    <x v="0"/>
    <x v="0"/>
    <x v="0"/>
    <x v="1"/>
    <x v="4"/>
    <n v="10"/>
    <n v="11"/>
    <n v="0"/>
    <m/>
    <x v="1"/>
    <n v="0.34345727365653062"/>
  </r>
  <r>
    <x v="18"/>
    <x v="1"/>
    <x v="0"/>
    <x v="2"/>
    <x v="1"/>
    <x v="1"/>
    <x v="0"/>
    <x v="1"/>
    <x v="1"/>
    <x v="9"/>
    <n v="3"/>
    <n v="4"/>
    <n v="0"/>
    <m/>
    <x v="1"/>
    <n v="0.60543257780900961"/>
  </r>
  <r>
    <x v="17"/>
    <x v="0"/>
    <x v="0"/>
    <x v="2"/>
    <x v="0"/>
    <x v="0"/>
    <x v="1"/>
    <x v="0"/>
    <x v="1"/>
    <x v="5"/>
    <n v="1"/>
    <n v="1"/>
    <n v="0"/>
    <n v="1"/>
    <x v="0"/>
    <n v="1.874585193217462E-2"/>
  </r>
  <r>
    <x v="8"/>
    <x v="0"/>
    <x v="0"/>
    <x v="0"/>
    <x v="3"/>
    <x v="1"/>
    <x v="0"/>
    <x v="1"/>
    <x v="2"/>
    <x v="9"/>
    <n v="3"/>
    <n v="5"/>
    <n v="0"/>
    <m/>
    <x v="1"/>
    <n v="1.4540539177142675"/>
  </r>
  <r>
    <x v="1"/>
    <x v="0"/>
    <x v="1"/>
    <x v="0"/>
    <x v="0"/>
    <x v="0"/>
    <x v="0"/>
    <x v="1"/>
    <x v="1"/>
    <x v="5"/>
    <n v="9"/>
    <n v="13"/>
    <n v="0"/>
    <n v="9"/>
    <x v="0"/>
    <n v="0.27133544641561924"/>
  </r>
  <r>
    <x v="4"/>
    <x v="0"/>
    <x v="0"/>
    <x v="2"/>
    <x v="1"/>
    <x v="1"/>
    <x v="0"/>
    <x v="1"/>
    <x v="2"/>
    <x v="9"/>
    <n v="3"/>
    <n v="4"/>
    <n v="0"/>
    <m/>
    <x v="1"/>
    <n v="1.1485728730031477"/>
  </r>
  <r>
    <x v="13"/>
    <x v="0"/>
    <x v="0"/>
    <x v="1"/>
    <x v="1"/>
    <x v="0"/>
    <x v="0"/>
    <x v="1"/>
    <x v="0"/>
    <x v="4"/>
    <n v="1"/>
    <n v="1"/>
    <n v="0"/>
    <m/>
    <x v="1"/>
    <n v="3.0626595858064386E-2"/>
  </r>
  <r>
    <x v="10"/>
    <x v="0"/>
    <x v="1"/>
    <x v="0"/>
    <x v="1"/>
    <x v="1"/>
    <x v="0"/>
    <x v="1"/>
    <x v="1"/>
    <x v="0"/>
    <n v="6"/>
    <n v="8"/>
    <n v="0"/>
    <m/>
    <x v="1"/>
    <n v="0.46900283131182413"/>
  </r>
  <r>
    <x v="0"/>
    <x v="1"/>
    <x v="0"/>
    <x v="2"/>
    <x v="1"/>
    <x v="1"/>
    <x v="0"/>
    <x v="1"/>
    <x v="1"/>
    <x v="9"/>
    <n v="9"/>
    <n v="9"/>
    <n v="1"/>
    <n v="9"/>
    <x v="0"/>
    <n v="1.3622233000702715"/>
  </r>
  <r>
    <x v="14"/>
    <x v="0"/>
    <x v="0"/>
    <x v="2"/>
    <x v="3"/>
    <x v="0"/>
    <x v="0"/>
    <x v="1"/>
    <x v="2"/>
    <x v="9"/>
    <n v="1"/>
    <n v="1"/>
    <n v="0"/>
    <m/>
    <x v="1"/>
    <n v="0.21511628420770765"/>
  </r>
  <r>
    <x v="20"/>
    <x v="0"/>
    <x v="0"/>
    <x v="1"/>
    <x v="1"/>
    <x v="1"/>
    <x v="0"/>
    <x v="1"/>
    <x v="1"/>
    <x v="4"/>
    <n v="5"/>
    <n v="6"/>
    <n v="0"/>
    <n v="5"/>
    <x v="0"/>
    <n v="0.23574703877313608"/>
  </r>
  <r>
    <x v="1"/>
    <x v="0"/>
    <x v="1"/>
    <x v="0"/>
    <x v="0"/>
    <x v="0"/>
    <x v="0"/>
    <x v="1"/>
    <x v="0"/>
    <x v="4"/>
    <n v="3"/>
    <n v="3"/>
    <n v="0"/>
    <n v="3"/>
    <x v="0"/>
    <n v="9.4183371371262647E-2"/>
  </r>
  <r>
    <x v="16"/>
    <x v="1"/>
    <x v="0"/>
    <x v="2"/>
    <x v="2"/>
    <x v="1"/>
    <x v="1"/>
    <x v="1"/>
    <x v="1"/>
    <x v="1"/>
    <n v="1"/>
    <n v="1"/>
    <n v="0"/>
    <m/>
    <x v="1"/>
    <n v="7.7000245135165221E-2"/>
  </r>
  <r>
    <x v="17"/>
    <x v="0"/>
    <x v="0"/>
    <x v="0"/>
    <x v="3"/>
    <x v="0"/>
    <x v="0"/>
    <x v="1"/>
    <x v="2"/>
    <x v="9"/>
    <n v="2"/>
    <n v="2"/>
    <n v="0"/>
    <n v="2"/>
    <x v="0"/>
    <n v="0.34483527205385262"/>
  </r>
  <r>
    <x v="21"/>
    <x v="1"/>
    <x v="1"/>
    <x v="0"/>
    <x v="3"/>
    <x v="0"/>
    <x v="1"/>
    <x v="1"/>
    <x v="2"/>
    <x v="8"/>
    <n v="1"/>
    <n v="1"/>
    <n v="0"/>
    <m/>
    <x v="1"/>
    <n v="9.3794232171735367E-2"/>
  </r>
  <r>
    <x v="21"/>
    <x v="1"/>
    <x v="0"/>
    <x v="0"/>
    <x v="0"/>
    <x v="0"/>
    <x v="0"/>
    <x v="1"/>
    <x v="1"/>
    <x v="0"/>
    <n v="20"/>
    <n v="28"/>
    <n v="0"/>
    <m/>
    <x v="1"/>
    <n v="1.2417720967030819"/>
  </r>
  <r>
    <x v="10"/>
    <x v="0"/>
    <x v="0"/>
    <x v="2"/>
    <x v="2"/>
    <x v="0"/>
    <x v="0"/>
    <x v="0"/>
    <x v="1"/>
    <x v="0"/>
    <n v="2"/>
    <n v="2"/>
    <n v="0"/>
    <m/>
    <x v="1"/>
    <n v="0.11187579774158009"/>
  </r>
  <r>
    <x v="3"/>
    <x v="1"/>
    <x v="0"/>
    <x v="2"/>
    <x v="1"/>
    <x v="0"/>
    <x v="0"/>
    <x v="1"/>
    <x v="2"/>
    <x v="9"/>
    <n v="8"/>
    <n v="23"/>
    <n v="0"/>
    <m/>
    <x v="1"/>
    <n v="5.4349967153796026"/>
  </r>
  <r>
    <x v="9"/>
    <x v="1"/>
    <x v="0"/>
    <x v="0"/>
    <x v="0"/>
    <x v="0"/>
    <x v="0"/>
    <x v="1"/>
    <x v="2"/>
    <x v="9"/>
    <n v="6"/>
    <n v="7"/>
    <n v="1"/>
    <n v="6"/>
    <x v="0"/>
    <n v="0.95751913107664366"/>
  </r>
  <r>
    <x v="18"/>
    <x v="0"/>
    <x v="0"/>
    <x v="0"/>
    <x v="2"/>
    <x v="1"/>
    <x v="0"/>
    <x v="1"/>
    <x v="1"/>
    <x v="1"/>
    <n v="2"/>
    <n v="3"/>
    <n v="0"/>
    <m/>
    <x v="1"/>
    <n v="0.24429714241450645"/>
  </r>
  <r>
    <x v="8"/>
    <x v="1"/>
    <x v="1"/>
    <x v="1"/>
    <x v="2"/>
    <x v="0"/>
    <x v="0"/>
    <x v="1"/>
    <x v="0"/>
    <x v="4"/>
    <n v="1"/>
    <n v="1"/>
    <n v="0"/>
    <m/>
    <x v="1"/>
    <n v="3.1756427917222232E-2"/>
  </r>
  <r>
    <x v="14"/>
    <x v="1"/>
    <x v="0"/>
    <x v="0"/>
    <x v="0"/>
    <x v="0"/>
    <x v="0"/>
    <x v="0"/>
    <x v="2"/>
    <x v="9"/>
    <n v="7"/>
    <n v="12"/>
    <n v="1"/>
    <m/>
    <x v="1"/>
    <n v="1.6414613675599605"/>
  </r>
  <r>
    <x v="10"/>
    <x v="0"/>
    <x v="0"/>
    <x v="0"/>
    <x v="1"/>
    <x v="0"/>
    <x v="0"/>
    <x v="1"/>
    <x v="0"/>
    <x v="1"/>
    <n v="26"/>
    <n v="38"/>
    <n v="0"/>
    <m/>
    <x v="1"/>
    <n v="2.461790528508121"/>
  </r>
  <r>
    <x v="0"/>
    <x v="1"/>
    <x v="1"/>
    <x v="0"/>
    <x v="0"/>
    <x v="0"/>
    <x v="1"/>
    <x v="1"/>
    <x v="1"/>
    <x v="5"/>
    <n v="5"/>
    <n v="5"/>
    <n v="0"/>
    <n v="5"/>
    <x v="0"/>
    <n v="7.5097987200932345E-2"/>
  </r>
  <r>
    <x v="14"/>
    <x v="1"/>
    <x v="0"/>
    <x v="2"/>
    <x v="2"/>
    <x v="0"/>
    <x v="0"/>
    <x v="1"/>
    <x v="1"/>
    <x v="1"/>
    <n v="4"/>
    <n v="6"/>
    <n v="0"/>
    <m/>
    <x v="1"/>
    <n v="0.49331937417574845"/>
  </r>
  <r>
    <x v="16"/>
    <x v="1"/>
    <x v="0"/>
    <x v="0"/>
    <x v="1"/>
    <x v="1"/>
    <x v="0"/>
    <x v="1"/>
    <x v="2"/>
    <x v="9"/>
    <n v="3"/>
    <n v="7"/>
    <n v="0"/>
    <m/>
    <x v="1"/>
    <n v="2.2151383295451126"/>
  </r>
  <r>
    <x v="3"/>
    <x v="1"/>
    <x v="1"/>
    <x v="1"/>
    <x v="1"/>
    <x v="1"/>
    <x v="0"/>
    <x v="1"/>
    <x v="1"/>
    <x v="4"/>
    <n v="1"/>
    <n v="1"/>
    <n v="0"/>
    <m/>
    <x v="1"/>
    <n v="4.1176226521704343E-2"/>
  </r>
  <r>
    <x v="0"/>
    <x v="0"/>
    <x v="0"/>
    <x v="1"/>
    <x v="1"/>
    <x v="1"/>
    <x v="0"/>
    <x v="1"/>
    <x v="2"/>
    <x v="8"/>
    <n v="1"/>
    <n v="1"/>
    <n v="0"/>
    <n v="1"/>
    <x v="0"/>
    <n v="0.12254007280701143"/>
  </r>
  <r>
    <x v="3"/>
    <x v="1"/>
    <x v="1"/>
    <x v="0"/>
    <x v="0"/>
    <x v="0"/>
    <x v="0"/>
    <x v="0"/>
    <x v="1"/>
    <x v="4"/>
    <n v="4"/>
    <n v="5"/>
    <n v="0"/>
    <m/>
    <x v="1"/>
    <n v="0.15611694257115027"/>
  </r>
  <r>
    <x v="7"/>
    <x v="1"/>
    <x v="0"/>
    <x v="2"/>
    <x v="1"/>
    <x v="1"/>
    <x v="0"/>
    <x v="1"/>
    <x v="1"/>
    <x v="9"/>
    <n v="4"/>
    <n v="8"/>
    <n v="0"/>
    <m/>
    <x v="1"/>
    <n v="1.210865155618019"/>
  </r>
  <r>
    <x v="9"/>
    <x v="1"/>
    <x v="0"/>
    <x v="2"/>
    <x v="0"/>
    <x v="0"/>
    <x v="0"/>
    <x v="0"/>
    <x v="0"/>
    <x v="8"/>
    <n v="5"/>
    <n v="7"/>
    <n v="0"/>
    <n v="4"/>
    <x v="0"/>
    <n v="0.59458214168400458"/>
  </r>
  <r>
    <x v="8"/>
    <x v="0"/>
    <x v="1"/>
    <x v="2"/>
    <x v="3"/>
    <x v="1"/>
    <x v="1"/>
    <x v="1"/>
    <x v="0"/>
    <x v="1"/>
    <n v="1"/>
    <n v="1"/>
    <n v="0"/>
    <m/>
    <x v="1"/>
    <n v="7.3153415909843644E-2"/>
  </r>
  <r>
    <x v="7"/>
    <x v="0"/>
    <x v="0"/>
    <x v="1"/>
    <x v="1"/>
    <x v="1"/>
    <x v="0"/>
    <x v="1"/>
    <x v="0"/>
    <x v="0"/>
    <n v="3"/>
    <n v="3"/>
    <n v="0"/>
    <m/>
    <x v="1"/>
    <n v="0.17563321340738813"/>
  </r>
  <r>
    <x v="22"/>
    <x v="0"/>
    <x v="0"/>
    <x v="1"/>
    <x v="1"/>
    <x v="0"/>
    <x v="0"/>
    <x v="1"/>
    <x v="2"/>
    <x v="1"/>
    <n v="3"/>
    <n v="3"/>
    <n v="0"/>
    <n v="3"/>
    <x v="0"/>
    <n v="0.19875754252291369"/>
  </r>
  <r>
    <x v="9"/>
    <x v="0"/>
    <x v="1"/>
    <x v="0"/>
    <x v="0"/>
    <x v="0"/>
    <x v="0"/>
    <x v="0"/>
    <x v="1"/>
    <x v="5"/>
    <n v="23"/>
    <n v="25"/>
    <n v="0"/>
    <n v="22"/>
    <x v="0"/>
    <n v="0.52179893541465239"/>
  </r>
  <r>
    <x v="2"/>
    <x v="1"/>
    <x v="1"/>
    <x v="1"/>
    <x v="0"/>
    <x v="0"/>
    <x v="1"/>
    <x v="1"/>
    <x v="1"/>
    <x v="6"/>
    <n v="3"/>
    <n v="3"/>
    <n v="0"/>
    <m/>
    <x v="1"/>
    <n v="2.0720205964955687E-2"/>
  </r>
  <r>
    <x v="17"/>
    <x v="0"/>
    <x v="1"/>
    <x v="2"/>
    <x v="2"/>
    <x v="0"/>
    <x v="0"/>
    <x v="0"/>
    <x v="2"/>
    <x v="8"/>
    <n v="1"/>
    <n v="1"/>
    <n v="0"/>
    <n v="1"/>
    <x v="0"/>
    <n v="0.12320370260660997"/>
  </r>
  <r>
    <x v="20"/>
    <x v="0"/>
    <x v="1"/>
    <x v="0"/>
    <x v="0"/>
    <x v="1"/>
    <x v="0"/>
    <x v="0"/>
    <x v="1"/>
    <x v="4"/>
    <n v="5"/>
    <n v="6"/>
    <n v="0"/>
    <n v="5"/>
    <x v="0"/>
    <n v="0.24160347806301802"/>
  </r>
  <r>
    <x v="18"/>
    <x v="0"/>
    <x v="0"/>
    <x v="1"/>
    <x v="1"/>
    <x v="0"/>
    <x v="0"/>
    <x v="1"/>
    <x v="1"/>
    <x v="5"/>
    <n v="4"/>
    <n v="4"/>
    <n v="0"/>
    <m/>
    <x v="1"/>
    <n v="8.1424207834125614E-2"/>
  </r>
  <r>
    <x v="10"/>
    <x v="0"/>
    <x v="0"/>
    <x v="2"/>
    <x v="0"/>
    <x v="0"/>
    <x v="1"/>
    <x v="0"/>
    <x v="1"/>
    <x v="5"/>
    <n v="2"/>
    <n v="2"/>
    <n v="0"/>
    <m/>
    <x v="1"/>
    <n v="3.7491703864349239E-2"/>
  </r>
  <r>
    <x v="5"/>
    <x v="1"/>
    <x v="1"/>
    <x v="0"/>
    <x v="0"/>
    <x v="0"/>
    <x v="0"/>
    <x v="0"/>
    <x v="1"/>
    <x v="4"/>
    <n v="11"/>
    <n v="13"/>
    <n v="2"/>
    <n v="11"/>
    <x v="0"/>
    <n v="0.40590405068499069"/>
  </r>
  <r>
    <x v="16"/>
    <x v="0"/>
    <x v="0"/>
    <x v="0"/>
    <x v="2"/>
    <x v="0"/>
    <x v="0"/>
    <x v="1"/>
    <x v="0"/>
    <x v="3"/>
    <n v="6"/>
    <n v="7"/>
    <n v="0"/>
    <m/>
    <x v="1"/>
    <n v="0.44866309393018855"/>
  </r>
  <r>
    <x v="12"/>
    <x v="1"/>
    <x v="0"/>
    <x v="0"/>
    <x v="2"/>
    <x v="0"/>
    <x v="0"/>
    <x v="0"/>
    <x v="1"/>
    <x v="3"/>
    <n v="2"/>
    <n v="2"/>
    <n v="0"/>
    <m/>
    <x v="1"/>
    <n v="0.12751440765872871"/>
  </r>
  <r>
    <x v="7"/>
    <x v="0"/>
    <x v="0"/>
    <x v="1"/>
    <x v="2"/>
    <x v="1"/>
    <x v="1"/>
    <x v="1"/>
    <x v="1"/>
    <x v="5"/>
    <n v="1"/>
    <n v="1"/>
    <n v="0"/>
    <m/>
    <x v="1"/>
    <n v="1.8770803012868077E-2"/>
  </r>
  <r>
    <x v="19"/>
    <x v="0"/>
    <x v="1"/>
    <x v="0"/>
    <x v="2"/>
    <x v="1"/>
    <x v="0"/>
    <x v="0"/>
    <x v="1"/>
    <x v="0"/>
    <n v="1"/>
    <n v="1"/>
    <n v="0"/>
    <m/>
    <x v="1"/>
    <n v="5.7997578176727585E-2"/>
  </r>
  <r>
    <x v="22"/>
    <x v="0"/>
    <x v="0"/>
    <x v="2"/>
    <x v="2"/>
    <x v="1"/>
    <x v="0"/>
    <x v="1"/>
    <x v="1"/>
    <x v="8"/>
    <n v="3"/>
    <n v="3"/>
    <n v="0"/>
    <n v="3"/>
    <x v="0"/>
    <n v="0.31332732331424329"/>
  </r>
  <r>
    <x v="18"/>
    <x v="0"/>
    <x v="0"/>
    <x v="2"/>
    <x v="0"/>
    <x v="0"/>
    <x v="1"/>
    <x v="1"/>
    <x v="1"/>
    <x v="5"/>
    <n v="2"/>
    <n v="2"/>
    <n v="0"/>
    <m/>
    <x v="1"/>
    <n v="3.7491703864349239E-2"/>
  </r>
  <r>
    <x v="0"/>
    <x v="1"/>
    <x v="0"/>
    <x v="0"/>
    <x v="1"/>
    <x v="0"/>
    <x v="0"/>
    <x v="1"/>
    <x v="2"/>
    <x v="9"/>
    <n v="12"/>
    <n v="20"/>
    <n v="5"/>
    <n v="12"/>
    <x v="0"/>
    <n v="3.8084053309413073"/>
  </r>
  <r>
    <x v="3"/>
    <x v="0"/>
    <x v="0"/>
    <x v="0"/>
    <x v="2"/>
    <x v="0"/>
    <x v="1"/>
    <x v="1"/>
    <x v="2"/>
    <x v="1"/>
    <n v="2"/>
    <n v="2"/>
    <n v="0"/>
    <m/>
    <x v="1"/>
    <n v="0.13566096786848825"/>
  </r>
  <r>
    <x v="2"/>
    <x v="0"/>
    <x v="0"/>
    <x v="1"/>
    <x v="2"/>
    <x v="0"/>
    <x v="1"/>
    <x v="0"/>
    <x v="0"/>
    <x v="5"/>
    <n v="1"/>
    <n v="1"/>
    <n v="0"/>
    <m/>
    <x v="1"/>
    <n v="1.4562828746708278E-2"/>
  </r>
  <r>
    <x v="11"/>
    <x v="0"/>
    <x v="1"/>
    <x v="0"/>
    <x v="2"/>
    <x v="0"/>
    <x v="0"/>
    <x v="1"/>
    <x v="0"/>
    <x v="0"/>
    <n v="2"/>
    <n v="2"/>
    <n v="0"/>
    <m/>
    <x v="1"/>
    <n v="9.080555443469232E-2"/>
  </r>
  <r>
    <x v="14"/>
    <x v="0"/>
    <x v="0"/>
    <x v="2"/>
    <x v="2"/>
    <x v="1"/>
    <x v="0"/>
    <x v="1"/>
    <x v="0"/>
    <x v="9"/>
    <n v="2"/>
    <n v="2"/>
    <n v="0"/>
    <m/>
    <x v="1"/>
    <n v="0.30123130066825354"/>
  </r>
  <r>
    <x v="14"/>
    <x v="1"/>
    <x v="0"/>
    <x v="0"/>
    <x v="2"/>
    <x v="1"/>
    <x v="1"/>
    <x v="1"/>
    <x v="1"/>
    <x v="3"/>
    <n v="1"/>
    <n v="2"/>
    <n v="0"/>
    <m/>
    <x v="1"/>
    <n v="0.11926696437941101"/>
  </r>
  <r>
    <x v="9"/>
    <x v="0"/>
    <x v="1"/>
    <x v="0"/>
    <x v="2"/>
    <x v="1"/>
    <x v="0"/>
    <x v="1"/>
    <x v="0"/>
    <x v="8"/>
    <n v="5"/>
    <n v="5"/>
    <n v="0"/>
    <n v="5"/>
    <x v="0"/>
    <n v="0.4280023691368588"/>
  </r>
  <r>
    <x v="7"/>
    <x v="0"/>
    <x v="0"/>
    <x v="0"/>
    <x v="2"/>
    <x v="1"/>
    <x v="1"/>
    <x v="1"/>
    <x v="1"/>
    <x v="4"/>
    <n v="4"/>
    <n v="5"/>
    <n v="0"/>
    <m/>
    <x v="1"/>
    <n v="0.20127337339092383"/>
  </r>
  <r>
    <x v="16"/>
    <x v="1"/>
    <x v="1"/>
    <x v="0"/>
    <x v="0"/>
    <x v="1"/>
    <x v="0"/>
    <x v="1"/>
    <x v="1"/>
    <x v="3"/>
    <n v="1"/>
    <n v="1"/>
    <n v="0"/>
    <m/>
    <x v="1"/>
    <n v="5.9651729761640827E-2"/>
  </r>
  <r>
    <x v="1"/>
    <x v="0"/>
    <x v="0"/>
    <x v="0"/>
    <x v="1"/>
    <x v="1"/>
    <x v="0"/>
    <x v="1"/>
    <x v="2"/>
    <x v="9"/>
    <n v="7"/>
    <n v="10"/>
    <n v="2"/>
    <n v="7"/>
    <x v="0"/>
    <n v="2.3441780411071833"/>
  </r>
  <r>
    <x v="19"/>
    <x v="1"/>
    <x v="0"/>
    <x v="0"/>
    <x v="2"/>
    <x v="0"/>
    <x v="0"/>
    <x v="0"/>
    <x v="0"/>
    <x v="8"/>
    <n v="5"/>
    <n v="5"/>
    <n v="0"/>
    <m/>
    <x v="1"/>
    <n v="0.46914126202672529"/>
  </r>
  <r>
    <x v="8"/>
    <x v="0"/>
    <x v="0"/>
    <x v="2"/>
    <x v="0"/>
    <x v="0"/>
    <x v="1"/>
    <x v="1"/>
    <x v="0"/>
    <x v="7"/>
    <n v="1"/>
    <n v="1"/>
    <n v="0"/>
    <m/>
    <x v="1"/>
    <n v="2.8227386446598338E-2"/>
  </r>
  <r>
    <x v="5"/>
    <x v="0"/>
    <x v="1"/>
    <x v="1"/>
    <x v="0"/>
    <x v="0"/>
    <x v="0"/>
    <x v="1"/>
    <x v="1"/>
    <x v="6"/>
    <n v="3"/>
    <n v="3"/>
    <n v="0"/>
    <n v="2"/>
    <x v="0"/>
    <n v="2.8886505489678724E-2"/>
  </r>
  <r>
    <x v="15"/>
    <x v="0"/>
    <x v="1"/>
    <x v="0"/>
    <x v="0"/>
    <x v="1"/>
    <x v="0"/>
    <x v="0"/>
    <x v="1"/>
    <x v="4"/>
    <n v="8"/>
    <n v="9"/>
    <n v="0"/>
    <n v="6"/>
    <x v="0"/>
    <n v="0.362405217094527"/>
  </r>
  <r>
    <x v="22"/>
    <x v="0"/>
    <x v="0"/>
    <x v="0"/>
    <x v="2"/>
    <x v="1"/>
    <x v="0"/>
    <x v="0"/>
    <x v="1"/>
    <x v="1"/>
    <n v="2"/>
    <n v="2"/>
    <n v="0"/>
    <n v="2"/>
    <x v="0"/>
    <n v="0.16286476160967098"/>
  </r>
  <r>
    <x v="1"/>
    <x v="1"/>
    <x v="1"/>
    <x v="2"/>
    <x v="0"/>
    <x v="0"/>
    <x v="0"/>
    <x v="1"/>
    <x v="1"/>
    <x v="4"/>
    <n v="3"/>
    <n v="5"/>
    <n v="0"/>
    <n v="3"/>
    <x v="0"/>
    <n v="0.20337145013265859"/>
  </r>
  <r>
    <x v="15"/>
    <x v="0"/>
    <x v="1"/>
    <x v="2"/>
    <x v="2"/>
    <x v="0"/>
    <x v="1"/>
    <x v="1"/>
    <x v="1"/>
    <x v="5"/>
    <n v="2"/>
    <n v="2"/>
    <n v="0"/>
    <n v="2"/>
    <x v="0"/>
    <n v="3.8195091725400331E-2"/>
  </r>
  <r>
    <x v="14"/>
    <x v="1"/>
    <x v="1"/>
    <x v="1"/>
    <x v="0"/>
    <x v="0"/>
    <x v="1"/>
    <x v="0"/>
    <x v="1"/>
    <x v="6"/>
    <n v="1"/>
    <n v="1"/>
    <n v="0"/>
    <m/>
    <x v="1"/>
    <n v="6.9067353216518941E-3"/>
  </r>
  <r>
    <x v="19"/>
    <x v="0"/>
    <x v="1"/>
    <x v="2"/>
    <x v="0"/>
    <x v="0"/>
    <x v="1"/>
    <x v="1"/>
    <x v="0"/>
    <x v="5"/>
    <n v="2"/>
    <n v="2"/>
    <n v="0"/>
    <m/>
    <x v="1"/>
    <n v="3.9548851616047383E-2"/>
  </r>
  <r>
    <x v="19"/>
    <x v="1"/>
    <x v="0"/>
    <x v="1"/>
    <x v="2"/>
    <x v="0"/>
    <x v="1"/>
    <x v="1"/>
    <x v="0"/>
    <x v="7"/>
    <n v="1"/>
    <n v="1"/>
    <n v="0"/>
    <m/>
    <x v="1"/>
    <n v="2.1855094877283671E-2"/>
  </r>
  <r>
    <x v="1"/>
    <x v="1"/>
    <x v="1"/>
    <x v="0"/>
    <x v="3"/>
    <x v="1"/>
    <x v="0"/>
    <x v="0"/>
    <x v="1"/>
    <x v="8"/>
    <n v="1"/>
    <n v="1"/>
    <n v="0"/>
    <n v="1"/>
    <x v="0"/>
    <n v="0.11197715523543472"/>
  </r>
  <r>
    <x v="20"/>
    <x v="0"/>
    <x v="1"/>
    <x v="0"/>
    <x v="2"/>
    <x v="0"/>
    <x v="1"/>
    <x v="1"/>
    <x v="0"/>
    <x v="7"/>
    <n v="2"/>
    <n v="2"/>
    <n v="0"/>
    <n v="2"/>
    <x v="0"/>
    <n v="4.4015136917524199E-2"/>
  </r>
  <r>
    <x v="19"/>
    <x v="1"/>
    <x v="1"/>
    <x v="1"/>
    <x v="0"/>
    <x v="0"/>
    <x v="1"/>
    <x v="1"/>
    <x v="1"/>
    <x v="6"/>
    <n v="4"/>
    <n v="4"/>
    <n v="0"/>
    <m/>
    <x v="1"/>
    <n v="2.7626941286607577E-2"/>
  </r>
  <r>
    <x v="15"/>
    <x v="1"/>
    <x v="1"/>
    <x v="2"/>
    <x v="3"/>
    <x v="1"/>
    <x v="0"/>
    <x v="1"/>
    <x v="0"/>
    <x v="9"/>
    <n v="1"/>
    <n v="2"/>
    <n v="0"/>
    <n v="1"/>
    <x v="0"/>
    <n v="0.40284072279935335"/>
  </r>
  <r>
    <x v="19"/>
    <x v="0"/>
    <x v="1"/>
    <x v="0"/>
    <x v="2"/>
    <x v="0"/>
    <x v="0"/>
    <x v="0"/>
    <x v="0"/>
    <x v="0"/>
    <n v="2"/>
    <n v="2"/>
    <n v="0"/>
    <m/>
    <x v="1"/>
    <n v="9.080555443469232E-2"/>
  </r>
  <r>
    <x v="4"/>
    <x v="0"/>
    <x v="1"/>
    <x v="0"/>
    <x v="0"/>
    <x v="0"/>
    <x v="0"/>
    <x v="0"/>
    <x v="2"/>
    <x v="1"/>
    <n v="2"/>
    <n v="2"/>
    <n v="0"/>
    <m/>
    <x v="1"/>
    <n v="0.1357021175431819"/>
  </r>
  <r>
    <x v="15"/>
    <x v="0"/>
    <x v="0"/>
    <x v="0"/>
    <x v="0"/>
    <x v="0"/>
    <x v="0"/>
    <x v="0"/>
    <x v="2"/>
    <x v="8"/>
    <n v="3"/>
    <n v="5"/>
    <n v="1"/>
    <n v="3"/>
    <x v="0"/>
    <n v="0.47433174864338229"/>
  </r>
  <r>
    <x v="4"/>
    <x v="0"/>
    <x v="1"/>
    <x v="1"/>
    <x v="1"/>
    <x v="0"/>
    <x v="0"/>
    <x v="1"/>
    <x v="1"/>
    <x v="6"/>
    <n v="4"/>
    <n v="4"/>
    <n v="0"/>
    <m/>
    <x v="1"/>
    <n v="5.6902926035397941E-2"/>
  </r>
  <r>
    <x v="18"/>
    <x v="1"/>
    <x v="0"/>
    <x v="0"/>
    <x v="1"/>
    <x v="1"/>
    <x v="0"/>
    <x v="1"/>
    <x v="2"/>
    <x v="9"/>
    <n v="2"/>
    <n v="2"/>
    <n v="0"/>
    <m/>
    <x v="1"/>
    <n v="0.63289666558431801"/>
  </r>
  <r>
    <x v="9"/>
    <x v="1"/>
    <x v="1"/>
    <x v="0"/>
    <x v="0"/>
    <x v="0"/>
    <x v="1"/>
    <x v="1"/>
    <x v="1"/>
    <x v="5"/>
    <n v="5"/>
    <n v="5"/>
    <n v="0"/>
    <n v="5"/>
    <x v="0"/>
    <n v="7.5097987200932345E-2"/>
  </r>
  <r>
    <x v="7"/>
    <x v="1"/>
    <x v="1"/>
    <x v="0"/>
    <x v="2"/>
    <x v="0"/>
    <x v="1"/>
    <x v="1"/>
    <x v="1"/>
    <x v="7"/>
    <n v="1"/>
    <n v="1"/>
    <n v="0"/>
    <m/>
    <x v="1"/>
    <n v="2.1886493307591109E-2"/>
  </r>
  <r>
    <x v="7"/>
    <x v="0"/>
    <x v="0"/>
    <x v="0"/>
    <x v="0"/>
    <x v="1"/>
    <x v="0"/>
    <x v="0"/>
    <x v="1"/>
    <x v="0"/>
    <n v="5"/>
    <n v="6"/>
    <n v="0"/>
    <m/>
    <x v="1"/>
    <n v="0.34182672852489143"/>
  </r>
  <r>
    <x v="9"/>
    <x v="0"/>
    <x v="1"/>
    <x v="0"/>
    <x v="2"/>
    <x v="1"/>
    <x v="1"/>
    <x v="1"/>
    <x v="1"/>
    <x v="7"/>
    <n v="4"/>
    <n v="4"/>
    <n v="1"/>
    <n v="4"/>
    <x v="0"/>
    <n v="0.11321973750059976"/>
  </r>
  <r>
    <x v="17"/>
    <x v="0"/>
    <x v="0"/>
    <x v="0"/>
    <x v="3"/>
    <x v="0"/>
    <x v="1"/>
    <x v="1"/>
    <x v="2"/>
    <x v="8"/>
    <n v="1"/>
    <n v="2"/>
    <n v="0"/>
    <n v="1"/>
    <x v="0"/>
    <n v="0.17945147547396764"/>
  </r>
  <r>
    <x v="11"/>
    <x v="0"/>
    <x v="0"/>
    <x v="0"/>
    <x v="0"/>
    <x v="1"/>
    <x v="0"/>
    <x v="0"/>
    <x v="1"/>
    <x v="0"/>
    <n v="5"/>
    <n v="6"/>
    <n v="0"/>
    <m/>
    <x v="1"/>
    <n v="0.34182672852489143"/>
  </r>
  <r>
    <x v="9"/>
    <x v="0"/>
    <x v="1"/>
    <x v="2"/>
    <x v="0"/>
    <x v="0"/>
    <x v="1"/>
    <x v="1"/>
    <x v="1"/>
    <x v="6"/>
    <n v="2"/>
    <n v="2"/>
    <n v="1"/>
    <n v="2"/>
    <x v="0"/>
    <n v="2.6187938623725072E-2"/>
  </r>
  <r>
    <x v="21"/>
    <x v="0"/>
    <x v="1"/>
    <x v="0"/>
    <x v="2"/>
    <x v="1"/>
    <x v="0"/>
    <x v="1"/>
    <x v="1"/>
    <x v="0"/>
    <n v="1"/>
    <n v="2"/>
    <n v="0"/>
    <m/>
    <x v="1"/>
    <n v="0.11599515635345517"/>
  </r>
  <r>
    <x v="7"/>
    <x v="0"/>
    <x v="0"/>
    <x v="2"/>
    <x v="2"/>
    <x v="0"/>
    <x v="0"/>
    <x v="0"/>
    <x v="0"/>
    <x v="1"/>
    <n v="2"/>
    <n v="2"/>
    <n v="0"/>
    <m/>
    <x v="1"/>
    <n v="0.16529306235547556"/>
  </r>
  <r>
    <x v="16"/>
    <x v="0"/>
    <x v="0"/>
    <x v="2"/>
    <x v="0"/>
    <x v="0"/>
    <x v="0"/>
    <x v="1"/>
    <x v="1"/>
    <x v="4"/>
    <n v="2"/>
    <n v="2"/>
    <n v="0"/>
    <m/>
    <x v="1"/>
    <n v="7.7622570446599981E-2"/>
  </r>
  <r>
    <x v="14"/>
    <x v="1"/>
    <x v="0"/>
    <x v="1"/>
    <x v="0"/>
    <x v="0"/>
    <x v="0"/>
    <x v="0"/>
    <x v="1"/>
    <x v="5"/>
    <n v="3"/>
    <n v="3"/>
    <n v="0"/>
    <m/>
    <x v="1"/>
    <n v="6.2181554602239335E-2"/>
  </r>
  <r>
    <x v="1"/>
    <x v="1"/>
    <x v="1"/>
    <x v="2"/>
    <x v="0"/>
    <x v="0"/>
    <x v="1"/>
    <x v="1"/>
    <x v="1"/>
    <x v="5"/>
    <n v="5"/>
    <n v="5"/>
    <n v="0"/>
    <n v="5"/>
    <x v="0"/>
    <n v="9.8326946518427077E-2"/>
  </r>
  <r>
    <x v="3"/>
    <x v="0"/>
    <x v="0"/>
    <x v="2"/>
    <x v="1"/>
    <x v="0"/>
    <x v="0"/>
    <x v="1"/>
    <x v="2"/>
    <x v="9"/>
    <n v="10"/>
    <n v="16"/>
    <n v="0"/>
    <m/>
    <x v="1"/>
    <n v="2.7181682137319392"/>
  </r>
  <r>
    <x v="8"/>
    <x v="0"/>
    <x v="1"/>
    <x v="0"/>
    <x v="2"/>
    <x v="1"/>
    <x v="0"/>
    <x v="0"/>
    <x v="1"/>
    <x v="0"/>
    <n v="2"/>
    <n v="2"/>
    <n v="0"/>
    <m/>
    <x v="1"/>
    <n v="0.11599515635345517"/>
  </r>
  <r>
    <x v="21"/>
    <x v="0"/>
    <x v="1"/>
    <x v="0"/>
    <x v="3"/>
    <x v="1"/>
    <x v="1"/>
    <x v="1"/>
    <x v="0"/>
    <x v="0"/>
    <n v="2"/>
    <n v="2"/>
    <n v="0"/>
    <m/>
    <x v="1"/>
    <n v="0.11320213634494582"/>
  </r>
  <r>
    <x v="17"/>
    <x v="1"/>
    <x v="0"/>
    <x v="1"/>
    <x v="1"/>
    <x v="0"/>
    <x v="0"/>
    <x v="1"/>
    <x v="1"/>
    <x v="4"/>
    <n v="7"/>
    <n v="7"/>
    <n v="0"/>
    <n v="6"/>
    <x v="0"/>
    <n v="0.2132170582756292"/>
  </r>
  <r>
    <x v="17"/>
    <x v="1"/>
    <x v="1"/>
    <x v="0"/>
    <x v="0"/>
    <x v="0"/>
    <x v="0"/>
    <x v="0"/>
    <x v="2"/>
    <x v="8"/>
    <n v="1"/>
    <n v="1"/>
    <n v="0"/>
    <n v="1"/>
    <x v="0"/>
    <n v="9.9142550923112027E-2"/>
  </r>
  <r>
    <x v="11"/>
    <x v="0"/>
    <x v="0"/>
    <x v="1"/>
    <x v="2"/>
    <x v="0"/>
    <x v="0"/>
    <x v="1"/>
    <x v="1"/>
    <x v="5"/>
    <n v="1"/>
    <n v="1"/>
    <n v="0"/>
    <m/>
    <x v="1"/>
    <n v="2.0129311329445246E-2"/>
  </r>
  <r>
    <x v="4"/>
    <x v="0"/>
    <x v="0"/>
    <x v="2"/>
    <x v="0"/>
    <x v="0"/>
    <x v="0"/>
    <x v="0"/>
    <x v="0"/>
    <x v="0"/>
    <n v="3"/>
    <n v="4"/>
    <n v="0"/>
    <m/>
    <x v="1"/>
    <n v="0.23137409200839304"/>
  </r>
  <r>
    <x v="3"/>
    <x v="1"/>
    <x v="1"/>
    <x v="2"/>
    <x v="0"/>
    <x v="0"/>
    <x v="0"/>
    <x v="0"/>
    <x v="1"/>
    <x v="4"/>
    <n v="6"/>
    <n v="7"/>
    <n v="0"/>
    <m/>
    <x v="1"/>
    <n v="0.28472003018572201"/>
  </r>
  <r>
    <x v="1"/>
    <x v="1"/>
    <x v="1"/>
    <x v="1"/>
    <x v="0"/>
    <x v="0"/>
    <x v="1"/>
    <x v="0"/>
    <x v="1"/>
    <x v="6"/>
    <n v="2"/>
    <n v="2"/>
    <n v="0"/>
    <n v="2"/>
    <x v="0"/>
    <n v="1.3813470643303788E-2"/>
  </r>
  <r>
    <x v="18"/>
    <x v="1"/>
    <x v="0"/>
    <x v="0"/>
    <x v="0"/>
    <x v="0"/>
    <x v="1"/>
    <x v="0"/>
    <x v="0"/>
    <x v="4"/>
    <n v="1"/>
    <n v="1"/>
    <n v="0"/>
    <m/>
    <x v="1"/>
    <n v="3.2305716383655897E-2"/>
  </r>
  <r>
    <x v="20"/>
    <x v="0"/>
    <x v="0"/>
    <x v="1"/>
    <x v="2"/>
    <x v="0"/>
    <x v="0"/>
    <x v="1"/>
    <x v="2"/>
    <x v="1"/>
    <n v="1"/>
    <n v="2"/>
    <n v="1"/>
    <n v="1"/>
    <x v="0"/>
    <n v="0.1310975036068017"/>
  </r>
  <r>
    <x v="20"/>
    <x v="0"/>
    <x v="1"/>
    <x v="0"/>
    <x v="2"/>
    <x v="0"/>
    <x v="1"/>
    <x v="1"/>
    <x v="1"/>
    <x v="5"/>
    <n v="1"/>
    <n v="1"/>
    <n v="0"/>
    <n v="1"/>
    <x v="0"/>
    <n v="1.458390684269004E-2"/>
  </r>
  <r>
    <x v="21"/>
    <x v="0"/>
    <x v="0"/>
    <x v="0"/>
    <x v="1"/>
    <x v="1"/>
    <x v="0"/>
    <x v="1"/>
    <x v="2"/>
    <x v="9"/>
    <n v="2"/>
    <n v="6"/>
    <n v="0"/>
    <m/>
    <x v="1"/>
    <n v="1.4065068246643098"/>
  </r>
  <r>
    <x v="21"/>
    <x v="0"/>
    <x v="0"/>
    <x v="0"/>
    <x v="3"/>
    <x v="0"/>
    <x v="1"/>
    <x v="1"/>
    <x v="1"/>
    <x v="7"/>
    <n v="2"/>
    <n v="2"/>
    <n v="0"/>
    <m/>
    <x v="1"/>
    <n v="5.6113586994347098E-2"/>
  </r>
  <r>
    <x v="9"/>
    <x v="0"/>
    <x v="0"/>
    <x v="0"/>
    <x v="1"/>
    <x v="1"/>
    <x v="0"/>
    <x v="1"/>
    <x v="2"/>
    <x v="9"/>
    <n v="10"/>
    <n v="13"/>
    <n v="2"/>
    <n v="10"/>
    <x v="0"/>
    <n v="3.0474314534393381"/>
  </r>
  <r>
    <x v="3"/>
    <x v="1"/>
    <x v="0"/>
    <x v="1"/>
    <x v="0"/>
    <x v="0"/>
    <x v="0"/>
    <x v="1"/>
    <x v="1"/>
    <x v="5"/>
    <n v="1"/>
    <n v="1"/>
    <n v="0"/>
    <m/>
    <x v="1"/>
    <n v="2.0727184867413109E-2"/>
  </r>
  <r>
    <x v="19"/>
    <x v="0"/>
    <x v="1"/>
    <x v="2"/>
    <x v="0"/>
    <x v="0"/>
    <x v="0"/>
    <x v="1"/>
    <x v="0"/>
    <x v="4"/>
    <n v="1"/>
    <n v="1"/>
    <n v="0"/>
    <m/>
    <x v="1"/>
    <n v="4.089495301709424E-2"/>
  </r>
  <r>
    <x v="22"/>
    <x v="0"/>
    <x v="1"/>
    <x v="0"/>
    <x v="2"/>
    <x v="0"/>
    <x v="0"/>
    <x v="0"/>
    <x v="0"/>
    <x v="0"/>
    <n v="1"/>
    <n v="1"/>
    <n v="0"/>
    <n v="1"/>
    <x v="0"/>
    <n v="4.540277721734616E-2"/>
  </r>
  <r>
    <x v="19"/>
    <x v="0"/>
    <x v="0"/>
    <x v="0"/>
    <x v="2"/>
    <x v="1"/>
    <x v="0"/>
    <x v="0"/>
    <x v="0"/>
    <x v="8"/>
    <n v="2"/>
    <n v="3"/>
    <n v="0"/>
    <m/>
    <x v="1"/>
    <n v="0.35634676875446636"/>
  </r>
  <r>
    <x v="15"/>
    <x v="1"/>
    <x v="0"/>
    <x v="0"/>
    <x v="3"/>
    <x v="1"/>
    <x v="0"/>
    <x v="0"/>
    <x v="1"/>
    <x v="9"/>
    <n v="2"/>
    <n v="2"/>
    <n v="0"/>
    <n v="2"/>
    <x v="0"/>
    <n v="0.30733047533081592"/>
  </r>
  <r>
    <x v="7"/>
    <x v="1"/>
    <x v="1"/>
    <x v="0"/>
    <x v="2"/>
    <x v="0"/>
    <x v="0"/>
    <x v="0"/>
    <x v="1"/>
    <x v="0"/>
    <n v="1"/>
    <n v="1"/>
    <n v="0"/>
    <m/>
    <x v="1"/>
    <n v="4.5158935948663145E-2"/>
  </r>
  <r>
    <x v="5"/>
    <x v="1"/>
    <x v="1"/>
    <x v="0"/>
    <x v="0"/>
    <x v="0"/>
    <x v="0"/>
    <x v="1"/>
    <x v="0"/>
    <x v="0"/>
    <n v="4"/>
    <n v="4"/>
    <n v="0"/>
    <n v="4"/>
    <x v="0"/>
    <n v="0.18686210437130313"/>
  </r>
  <r>
    <x v="0"/>
    <x v="0"/>
    <x v="0"/>
    <x v="0"/>
    <x v="0"/>
    <x v="1"/>
    <x v="1"/>
    <x v="1"/>
    <x v="1"/>
    <x v="7"/>
    <n v="1"/>
    <n v="1"/>
    <n v="0"/>
    <n v="1"/>
    <x v="0"/>
    <n v="2.7788483854578296E-2"/>
  </r>
  <r>
    <x v="2"/>
    <x v="1"/>
    <x v="0"/>
    <x v="1"/>
    <x v="2"/>
    <x v="1"/>
    <x v="1"/>
    <x v="1"/>
    <x v="0"/>
    <x v="2"/>
    <n v="1"/>
    <n v="1"/>
    <n v="0"/>
    <m/>
    <x v="1"/>
    <n v="4.2124660671460507E-2"/>
  </r>
  <r>
    <x v="5"/>
    <x v="0"/>
    <x v="0"/>
    <x v="1"/>
    <x v="1"/>
    <x v="1"/>
    <x v="0"/>
    <x v="1"/>
    <x v="0"/>
    <x v="0"/>
    <n v="2"/>
    <n v="2"/>
    <n v="0"/>
    <n v="2"/>
    <x v="0"/>
    <n v="0.11708880893825875"/>
  </r>
  <r>
    <x v="15"/>
    <x v="1"/>
    <x v="0"/>
    <x v="2"/>
    <x v="2"/>
    <x v="0"/>
    <x v="0"/>
    <x v="0"/>
    <x v="2"/>
    <x v="9"/>
    <n v="2"/>
    <n v="2"/>
    <n v="0"/>
    <n v="2"/>
    <x v="0"/>
    <n v="0.4684944786219789"/>
  </r>
  <r>
    <x v="13"/>
    <x v="0"/>
    <x v="0"/>
    <x v="1"/>
    <x v="0"/>
    <x v="0"/>
    <x v="1"/>
    <x v="0"/>
    <x v="1"/>
    <x v="6"/>
    <n v="2"/>
    <n v="2"/>
    <n v="0"/>
    <m/>
    <x v="1"/>
    <n v="1.315955589013206E-2"/>
  </r>
  <r>
    <x v="0"/>
    <x v="1"/>
    <x v="1"/>
    <x v="0"/>
    <x v="3"/>
    <x v="1"/>
    <x v="1"/>
    <x v="1"/>
    <x v="0"/>
    <x v="1"/>
    <n v="1"/>
    <n v="1"/>
    <n v="0"/>
    <n v="1"/>
    <x v="0"/>
    <n v="8.3167200953685433E-2"/>
  </r>
  <r>
    <x v="16"/>
    <x v="1"/>
    <x v="0"/>
    <x v="2"/>
    <x v="0"/>
    <x v="0"/>
    <x v="0"/>
    <x v="0"/>
    <x v="0"/>
    <x v="8"/>
    <n v="5"/>
    <n v="7"/>
    <n v="0"/>
    <m/>
    <x v="1"/>
    <n v="0.59458214168400458"/>
  </r>
  <r>
    <x v="3"/>
    <x v="0"/>
    <x v="1"/>
    <x v="2"/>
    <x v="2"/>
    <x v="0"/>
    <x v="0"/>
    <x v="0"/>
    <x v="2"/>
    <x v="8"/>
    <n v="1"/>
    <n v="1"/>
    <n v="0"/>
    <m/>
    <x v="1"/>
    <n v="0.12320370260660997"/>
  </r>
  <r>
    <x v="9"/>
    <x v="0"/>
    <x v="0"/>
    <x v="2"/>
    <x v="0"/>
    <x v="0"/>
    <x v="0"/>
    <x v="1"/>
    <x v="0"/>
    <x v="0"/>
    <n v="4"/>
    <n v="4"/>
    <n v="0"/>
    <n v="4"/>
    <x v="0"/>
    <n v="0.23137409200839304"/>
  </r>
  <r>
    <x v="0"/>
    <x v="0"/>
    <x v="0"/>
    <x v="0"/>
    <x v="2"/>
    <x v="0"/>
    <x v="0"/>
    <x v="1"/>
    <x v="0"/>
    <x v="3"/>
    <n v="7"/>
    <n v="7"/>
    <n v="0"/>
    <n v="7"/>
    <x v="0"/>
    <n v="0.44866309393018855"/>
  </r>
  <r>
    <x v="19"/>
    <x v="0"/>
    <x v="1"/>
    <x v="0"/>
    <x v="2"/>
    <x v="1"/>
    <x v="0"/>
    <x v="0"/>
    <x v="2"/>
    <x v="9"/>
    <n v="1"/>
    <n v="1"/>
    <n v="0"/>
    <m/>
    <x v="1"/>
    <n v="0.17371434400069519"/>
  </r>
  <r>
    <x v="21"/>
    <x v="0"/>
    <x v="0"/>
    <x v="1"/>
    <x v="2"/>
    <x v="1"/>
    <x v="0"/>
    <x v="1"/>
    <x v="1"/>
    <x v="4"/>
    <n v="1"/>
    <n v="1"/>
    <n v="0"/>
    <m/>
    <x v="1"/>
    <n v="3.8861886041588509E-2"/>
  </r>
  <r>
    <x v="5"/>
    <x v="1"/>
    <x v="1"/>
    <x v="0"/>
    <x v="0"/>
    <x v="0"/>
    <x v="1"/>
    <x v="0"/>
    <x v="1"/>
    <x v="5"/>
    <n v="4"/>
    <n v="6"/>
    <n v="0"/>
    <n v="4"/>
    <x v="0"/>
    <n v="9.0117584641118811E-2"/>
  </r>
  <r>
    <x v="18"/>
    <x v="0"/>
    <x v="0"/>
    <x v="0"/>
    <x v="0"/>
    <x v="0"/>
    <x v="0"/>
    <x v="1"/>
    <x v="0"/>
    <x v="0"/>
    <n v="3"/>
    <n v="3"/>
    <n v="0"/>
    <m/>
    <x v="1"/>
    <n v="0.13376602684522876"/>
  </r>
  <r>
    <x v="4"/>
    <x v="1"/>
    <x v="0"/>
    <x v="0"/>
    <x v="0"/>
    <x v="0"/>
    <x v="1"/>
    <x v="1"/>
    <x v="1"/>
    <x v="7"/>
    <n v="18"/>
    <n v="19"/>
    <n v="0"/>
    <m/>
    <x v="1"/>
    <n v="0.40820671607223852"/>
  </r>
  <r>
    <x v="1"/>
    <x v="1"/>
    <x v="0"/>
    <x v="0"/>
    <x v="2"/>
    <x v="1"/>
    <x v="1"/>
    <x v="1"/>
    <x v="1"/>
    <x v="3"/>
    <n v="5"/>
    <n v="5"/>
    <n v="0"/>
    <n v="4"/>
    <x v="0"/>
    <n v="0.2981674109485275"/>
  </r>
  <r>
    <x v="0"/>
    <x v="0"/>
    <x v="0"/>
    <x v="0"/>
    <x v="0"/>
    <x v="1"/>
    <x v="0"/>
    <x v="0"/>
    <x v="1"/>
    <x v="0"/>
    <n v="6"/>
    <n v="7"/>
    <n v="0"/>
    <n v="6"/>
    <x v="0"/>
    <n v="0.39879784994570666"/>
  </r>
  <r>
    <x v="2"/>
    <x v="0"/>
    <x v="0"/>
    <x v="0"/>
    <x v="2"/>
    <x v="0"/>
    <x v="0"/>
    <x v="0"/>
    <x v="0"/>
    <x v="3"/>
    <n v="5"/>
    <n v="5"/>
    <n v="0"/>
    <m/>
    <x v="1"/>
    <n v="0.32047363852156324"/>
  </r>
  <r>
    <x v="3"/>
    <x v="0"/>
    <x v="0"/>
    <x v="2"/>
    <x v="2"/>
    <x v="1"/>
    <x v="0"/>
    <x v="1"/>
    <x v="1"/>
    <x v="8"/>
    <n v="1"/>
    <n v="1"/>
    <n v="0"/>
    <m/>
    <x v="1"/>
    <n v="0.10444244110474776"/>
  </r>
  <r>
    <x v="8"/>
    <x v="0"/>
    <x v="0"/>
    <x v="2"/>
    <x v="0"/>
    <x v="0"/>
    <x v="0"/>
    <x v="1"/>
    <x v="0"/>
    <x v="0"/>
    <n v="1"/>
    <n v="1"/>
    <n v="0"/>
    <m/>
    <x v="1"/>
    <n v="5.784352300209826E-2"/>
  </r>
  <r>
    <x v="12"/>
    <x v="1"/>
    <x v="0"/>
    <x v="0"/>
    <x v="2"/>
    <x v="1"/>
    <x v="0"/>
    <x v="0"/>
    <x v="1"/>
    <x v="8"/>
    <n v="1"/>
    <n v="1"/>
    <n v="1"/>
    <m/>
    <x v="1"/>
    <n v="0.118193115915998"/>
  </r>
  <r>
    <x v="6"/>
    <x v="1"/>
    <x v="0"/>
    <x v="2"/>
    <x v="0"/>
    <x v="1"/>
    <x v="1"/>
    <x v="0"/>
    <x v="1"/>
    <x v="0"/>
    <n v="1"/>
    <n v="1"/>
    <n v="0"/>
    <m/>
    <x v="1"/>
    <n v="5.3792377530532454E-2"/>
  </r>
  <r>
    <x v="21"/>
    <x v="0"/>
    <x v="1"/>
    <x v="0"/>
    <x v="0"/>
    <x v="0"/>
    <x v="1"/>
    <x v="1"/>
    <x v="0"/>
    <x v="5"/>
    <n v="1"/>
    <n v="1"/>
    <n v="0"/>
    <m/>
    <x v="1"/>
    <n v="1.5103271786810353E-2"/>
  </r>
  <r>
    <x v="0"/>
    <x v="1"/>
    <x v="0"/>
    <x v="2"/>
    <x v="0"/>
    <x v="1"/>
    <x v="0"/>
    <x v="0"/>
    <x v="1"/>
    <x v="8"/>
    <n v="1"/>
    <n v="1"/>
    <n v="0"/>
    <n v="1"/>
    <x v="0"/>
    <n v="0.10727040371594192"/>
  </r>
  <r>
    <x v="1"/>
    <x v="1"/>
    <x v="0"/>
    <x v="2"/>
    <x v="3"/>
    <x v="0"/>
    <x v="0"/>
    <x v="1"/>
    <x v="2"/>
    <x v="9"/>
    <n v="1"/>
    <n v="1"/>
    <n v="0"/>
    <n v="1"/>
    <x v="0"/>
    <n v="0.2929773242473675"/>
  </r>
  <r>
    <x v="0"/>
    <x v="0"/>
    <x v="0"/>
    <x v="2"/>
    <x v="1"/>
    <x v="1"/>
    <x v="0"/>
    <x v="1"/>
    <x v="2"/>
    <x v="9"/>
    <n v="2"/>
    <n v="2"/>
    <n v="0"/>
    <n v="2"/>
    <x v="0"/>
    <n v="0.57428643650157385"/>
  </r>
  <r>
    <x v="20"/>
    <x v="1"/>
    <x v="1"/>
    <x v="0"/>
    <x v="1"/>
    <x v="1"/>
    <x v="0"/>
    <x v="1"/>
    <x v="1"/>
    <x v="8"/>
    <n v="10"/>
    <n v="12"/>
    <n v="1"/>
    <n v="9"/>
    <x v="0"/>
    <n v="1.0326591942038801"/>
  </r>
  <r>
    <x v="17"/>
    <x v="1"/>
    <x v="0"/>
    <x v="2"/>
    <x v="1"/>
    <x v="0"/>
    <x v="0"/>
    <x v="1"/>
    <x v="0"/>
    <x v="8"/>
    <n v="8"/>
    <n v="12"/>
    <n v="0"/>
    <n v="8"/>
    <x v="0"/>
    <n v="1.45314436272838"/>
  </r>
  <r>
    <x v="16"/>
    <x v="0"/>
    <x v="1"/>
    <x v="0"/>
    <x v="1"/>
    <x v="0"/>
    <x v="0"/>
    <x v="1"/>
    <x v="2"/>
    <x v="8"/>
    <n v="7"/>
    <n v="11"/>
    <n v="1"/>
    <m/>
    <x v="1"/>
    <n v="1.072578629038011"/>
  </r>
  <r>
    <x v="15"/>
    <x v="0"/>
    <x v="1"/>
    <x v="1"/>
    <x v="0"/>
    <x v="0"/>
    <x v="0"/>
    <x v="1"/>
    <x v="0"/>
    <x v="5"/>
    <n v="1"/>
    <n v="1"/>
    <n v="0"/>
    <n v="1"/>
    <x v="0"/>
    <n v="1.4567498552386326E-2"/>
  </r>
  <r>
    <x v="18"/>
    <x v="0"/>
    <x v="0"/>
    <x v="0"/>
    <x v="2"/>
    <x v="0"/>
    <x v="0"/>
    <x v="1"/>
    <x v="2"/>
    <x v="9"/>
    <n v="3"/>
    <n v="5"/>
    <n v="0"/>
    <m/>
    <x v="1"/>
    <n v="0.66649248612851397"/>
  </r>
  <r>
    <x v="22"/>
    <x v="0"/>
    <x v="0"/>
    <x v="0"/>
    <x v="2"/>
    <x v="0"/>
    <x v="0"/>
    <x v="1"/>
    <x v="0"/>
    <x v="3"/>
    <n v="2"/>
    <n v="2"/>
    <n v="0"/>
    <n v="2"/>
    <x v="0"/>
    <n v="0.12818945540862531"/>
  </r>
  <r>
    <x v="2"/>
    <x v="1"/>
    <x v="0"/>
    <x v="1"/>
    <x v="2"/>
    <x v="0"/>
    <x v="1"/>
    <x v="1"/>
    <x v="1"/>
    <x v="6"/>
    <n v="2"/>
    <n v="2"/>
    <n v="0"/>
    <m/>
    <x v="1"/>
    <n v="2.8964209015393722E-2"/>
  </r>
  <r>
    <x v="10"/>
    <x v="0"/>
    <x v="1"/>
    <x v="0"/>
    <x v="0"/>
    <x v="1"/>
    <x v="0"/>
    <x v="0"/>
    <x v="1"/>
    <x v="4"/>
    <n v="2"/>
    <n v="2"/>
    <n v="0"/>
    <m/>
    <x v="1"/>
    <n v="8.0534492687672668E-2"/>
  </r>
  <r>
    <x v="5"/>
    <x v="0"/>
    <x v="0"/>
    <x v="2"/>
    <x v="2"/>
    <x v="0"/>
    <x v="0"/>
    <x v="1"/>
    <x v="1"/>
    <x v="0"/>
    <n v="4"/>
    <n v="4"/>
    <n v="0"/>
    <n v="4"/>
    <x v="0"/>
    <n v="0.22375159548316018"/>
  </r>
  <r>
    <x v="5"/>
    <x v="1"/>
    <x v="1"/>
    <x v="0"/>
    <x v="0"/>
    <x v="0"/>
    <x v="1"/>
    <x v="1"/>
    <x v="0"/>
    <x v="7"/>
    <n v="2"/>
    <n v="2"/>
    <n v="0"/>
    <n v="2"/>
    <x v="0"/>
    <n v="4.5319878411547367E-2"/>
  </r>
  <r>
    <x v="19"/>
    <x v="1"/>
    <x v="1"/>
    <x v="2"/>
    <x v="3"/>
    <x v="1"/>
    <x v="0"/>
    <x v="1"/>
    <x v="0"/>
    <x v="9"/>
    <n v="1"/>
    <n v="1"/>
    <n v="0"/>
    <m/>
    <x v="1"/>
    <n v="0.20142036139967667"/>
  </r>
  <r>
    <x v="7"/>
    <x v="0"/>
    <x v="1"/>
    <x v="1"/>
    <x v="2"/>
    <x v="0"/>
    <x v="1"/>
    <x v="1"/>
    <x v="1"/>
    <x v="6"/>
    <n v="2"/>
    <n v="2"/>
    <n v="0"/>
    <m/>
    <x v="1"/>
    <n v="1.340956362632839E-2"/>
  </r>
  <r>
    <x v="0"/>
    <x v="1"/>
    <x v="1"/>
    <x v="2"/>
    <x v="0"/>
    <x v="1"/>
    <x v="1"/>
    <x v="0"/>
    <x v="1"/>
    <x v="4"/>
    <n v="1"/>
    <n v="1"/>
    <n v="0"/>
    <n v="1"/>
    <x v="0"/>
    <n v="3.7982968009771363E-2"/>
  </r>
  <r>
    <x v="3"/>
    <x v="0"/>
    <x v="1"/>
    <x v="0"/>
    <x v="2"/>
    <x v="0"/>
    <x v="1"/>
    <x v="1"/>
    <x v="0"/>
    <x v="7"/>
    <n v="1"/>
    <n v="1"/>
    <n v="0"/>
    <m/>
    <x v="1"/>
    <n v="2.2007568458762099E-2"/>
  </r>
  <r>
    <x v="14"/>
    <x v="1"/>
    <x v="0"/>
    <x v="2"/>
    <x v="1"/>
    <x v="0"/>
    <x v="0"/>
    <x v="1"/>
    <x v="2"/>
    <x v="9"/>
    <n v="4"/>
    <n v="9"/>
    <n v="0"/>
    <m/>
    <x v="1"/>
    <n v="2.1267378451485399"/>
  </r>
  <r>
    <x v="7"/>
    <x v="0"/>
    <x v="0"/>
    <x v="0"/>
    <x v="0"/>
    <x v="1"/>
    <x v="1"/>
    <x v="1"/>
    <x v="1"/>
    <x v="7"/>
    <n v="1"/>
    <n v="1"/>
    <n v="0"/>
    <m/>
    <x v="1"/>
    <n v="2.7788483854578296E-2"/>
  </r>
  <r>
    <x v="4"/>
    <x v="0"/>
    <x v="0"/>
    <x v="1"/>
    <x v="2"/>
    <x v="1"/>
    <x v="0"/>
    <x v="0"/>
    <x v="1"/>
    <x v="4"/>
    <n v="3"/>
    <n v="4"/>
    <n v="0"/>
    <m/>
    <x v="1"/>
    <n v="0.15544754416635403"/>
  </r>
  <r>
    <x v="5"/>
    <x v="1"/>
    <x v="1"/>
    <x v="2"/>
    <x v="0"/>
    <x v="1"/>
    <x v="0"/>
    <x v="0"/>
    <x v="1"/>
    <x v="1"/>
    <n v="1"/>
    <n v="1"/>
    <n v="0"/>
    <n v="1"/>
    <x v="0"/>
    <n v="7.7023371586454323E-2"/>
  </r>
  <r>
    <x v="4"/>
    <x v="0"/>
    <x v="0"/>
    <x v="0"/>
    <x v="0"/>
    <x v="0"/>
    <x v="1"/>
    <x v="0"/>
    <x v="2"/>
    <x v="0"/>
    <n v="1"/>
    <n v="1"/>
    <n v="0"/>
    <m/>
    <x v="1"/>
    <n v="4.7244914771732829E-2"/>
  </r>
  <r>
    <x v="9"/>
    <x v="0"/>
    <x v="0"/>
    <x v="1"/>
    <x v="0"/>
    <x v="0"/>
    <x v="0"/>
    <x v="0"/>
    <x v="0"/>
    <x v="5"/>
    <n v="2"/>
    <n v="2"/>
    <n v="0"/>
    <n v="2"/>
    <x v="0"/>
    <n v="4.168396685840825E-2"/>
  </r>
  <r>
    <x v="10"/>
    <x v="1"/>
    <x v="0"/>
    <x v="2"/>
    <x v="0"/>
    <x v="0"/>
    <x v="1"/>
    <x v="0"/>
    <x v="1"/>
    <x v="7"/>
    <n v="3"/>
    <n v="3"/>
    <n v="0"/>
    <m/>
    <x v="1"/>
    <n v="8.4219225168211037E-2"/>
  </r>
  <r>
    <x v="2"/>
    <x v="1"/>
    <x v="0"/>
    <x v="1"/>
    <x v="0"/>
    <x v="0"/>
    <x v="0"/>
    <x v="0"/>
    <x v="0"/>
    <x v="4"/>
    <n v="1"/>
    <n v="1"/>
    <n v="0"/>
    <m/>
    <x v="1"/>
    <n v="3.1179022325415869E-2"/>
  </r>
  <r>
    <x v="1"/>
    <x v="0"/>
    <x v="0"/>
    <x v="0"/>
    <x v="3"/>
    <x v="0"/>
    <x v="1"/>
    <x v="1"/>
    <x v="0"/>
    <x v="2"/>
    <n v="1"/>
    <n v="1"/>
    <n v="0"/>
    <n v="1"/>
    <x v="0"/>
    <n v="4.2045949270268397E-2"/>
  </r>
  <r>
    <x v="16"/>
    <x v="0"/>
    <x v="0"/>
    <x v="2"/>
    <x v="3"/>
    <x v="0"/>
    <x v="0"/>
    <x v="1"/>
    <x v="1"/>
    <x v="1"/>
    <n v="1"/>
    <n v="1"/>
    <n v="0"/>
    <m/>
    <x v="1"/>
    <n v="7.4300283703463171E-2"/>
  </r>
  <r>
    <x v="6"/>
    <x v="0"/>
    <x v="1"/>
    <x v="0"/>
    <x v="0"/>
    <x v="0"/>
    <x v="0"/>
    <x v="0"/>
    <x v="2"/>
    <x v="1"/>
    <n v="3"/>
    <n v="3"/>
    <n v="0"/>
    <m/>
    <x v="1"/>
    <n v="0.20355317631477285"/>
  </r>
  <r>
    <x v="9"/>
    <x v="1"/>
    <x v="0"/>
    <x v="0"/>
    <x v="3"/>
    <x v="0"/>
    <x v="1"/>
    <x v="1"/>
    <x v="2"/>
    <x v="9"/>
    <n v="1"/>
    <n v="1"/>
    <n v="0"/>
    <n v="1"/>
    <x v="0"/>
    <n v="0.12970168387961117"/>
  </r>
  <r>
    <x v="14"/>
    <x v="0"/>
    <x v="0"/>
    <x v="2"/>
    <x v="0"/>
    <x v="0"/>
    <x v="0"/>
    <x v="1"/>
    <x v="1"/>
    <x v="4"/>
    <n v="11"/>
    <n v="12"/>
    <n v="0"/>
    <m/>
    <x v="1"/>
    <n v="0.46573542267959994"/>
  </r>
  <r>
    <x v="2"/>
    <x v="1"/>
    <x v="0"/>
    <x v="1"/>
    <x v="0"/>
    <x v="0"/>
    <x v="0"/>
    <x v="1"/>
    <x v="1"/>
    <x v="5"/>
    <n v="1"/>
    <n v="1"/>
    <n v="0"/>
    <m/>
    <x v="1"/>
    <n v="2.0727184867413109E-2"/>
  </r>
  <r>
    <x v="20"/>
    <x v="0"/>
    <x v="1"/>
    <x v="0"/>
    <x v="3"/>
    <x v="1"/>
    <x v="1"/>
    <x v="1"/>
    <x v="1"/>
    <x v="4"/>
    <n v="1"/>
    <n v="1"/>
    <n v="0"/>
    <n v="1"/>
    <x v="0"/>
    <n v="3.796116348571927E-2"/>
  </r>
  <r>
    <x v="3"/>
    <x v="0"/>
    <x v="1"/>
    <x v="1"/>
    <x v="2"/>
    <x v="0"/>
    <x v="0"/>
    <x v="1"/>
    <x v="1"/>
    <x v="6"/>
    <n v="1"/>
    <n v="1"/>
    <n v="0"/>
    <m/>
    <x v="1"/>
    <n v="1.4066294421662752E-2"/>
  </r>
  <r>
    <x v="14"/>
    <x v="0"/>
    <x v="1"/>
    <x v="0"/>
    <x v="3"/>
    <x v="0"/>
    <x v="1"/>
    <x v="1"/>
    <x v="2"/>
    <x v="3"/>
    <n v="1"/>
    <n v="1"/>
    <n v="0"/>
    <m/>
    <x v="1"/>
    <n v="6.407072599452876E-2"/>
  </r>
  <r>
    <x v="17"/>
    <x v="0"/>
    <x v="1"/>
    <x v="2"/>
    <x v="1"/>
    <x v="1"/>
    <x v="0"/>
    <x v="1"/>
    <x v="2"/>
    <x v="9"/>
    <n v="2"/>
    <n v="2"/>
    <n v="0"/>
    <n v="2"/>
    <x v="0"/>
    <n v="0.43719320865580802"/>
  </r>
  <r>
    <x v="0"/>
    <x v="0"/>
    <x v="1"/>
    <x v="0"/>
    <x v="2"/>
    <x v="1"/>
    <x v="0"/>
    <x v="1"/>
    <x v="2"/>
    <x v="9"/>
    <n v="1"/>
    <n v="1"/>
    <n v="1"/>
    <n v="1"/>
    <x v="0"/>
    <n v="0.17371434400069519"/>
  </r>
  <r>
    <x v="14"/>
    <x v="0"/>
    <x v="1"/>
    <x v="2"/>
    <x v="1"/>
    <x v="0"/>
    <x v="0"/>
    <x v="1"/>
    <x v="1"/>
    <x v="4"/>
    <n v="5"/>
    <n v="7"/>
    <n v="0"/>
    <m/>
    <x v="1"/>
    <n v="0.2797239663622767"/>
  </r>
  <r>
    <x v="9"/>
    <x v="1"/>
    <x v="1"/>
    <x v="1"/>
    <x v="0"/>
    <x v="0"/>
    <x v="1"/>
    <x v="0"/>
    <x v="1"/>
    <x v="6"/>
    <n v="2"/>
    <n v="2"/>
    <n v="0"/>
    <n v="2"/>
    <x v="0"/>
    <n v="1.3813470643303788E-2"/>
  </r>
  <r>
    <x v="22"/>
    <x v="1"/>
    <x v="0"/>
    <x v="1"/>
    <x v="0"/>
    <x v="0"/>
    <x v="0"/>
    <x v="0"/>
    <x v="0"/>
    <x v="4"/>
    <n v="1"/>
    <n v="1"/>
    <n v="0"/>
    <n v="1"/>
    <x v="0"/>
    <n v="3.1179022325415869E-2"/>
  </r>
  <r>
    <x v="20"/>
    <x v="1"/>
    <x v="1"/>
    <x v="0"/>
    <x v="2"/>
    <x v="1"/>
    <x v="0"/>
    <x v="1"/>
    <x v="1"/>
    <x v="8"/>
    <n v="4"/>
    <n v="4"/>
    <n v="0"/>
    <n v="4"/>
    <x v="0"/>
    <n v="0.34064002066679711"/>
  </r>
  <r>
    <x v="22"/>
    <x v="0"/>
    <x v="0"/>
    <x v="1"/>
    <x v="0"/>
    <x v="0"/>
    <x v="0"/>
    <x v="0"/>
    <x v="0"/>
    <x v="5"/>
    <n v="2"/>
    <n v="3"/>
    <n v="1"/>
    <n v="2"/>
    <x v="0"/>
    <n v="6.2525950287612375E-2"/>
  </r>
  <r>
    <x v="17"/>
    <x v="0"/>
    <x v="0"/>
    <x v="2"/>
    <x v="2"/>
    <x v="1"/>
    <x v="0"/>
    <x v="0"/>
    <x v="0"/>
    <x v="9"/>
    <n v="1"/>
    <n v="1"/>
    <n v="0"/>
    <n v="1"/>
    <x v="0"/>
    <n v="0.15061565033412677"/>
  </r>
  <r>
    <x v="21"/>
    <x v="1"/>
    <x v="1"/>
    <x v="2"/>
    <x v="0"/>
    <x v="0"/>
    <x v="0"/>
    <x v="0"/>
    <x v="0"/>
    <x v="3"/>
    <n v="2"/>
    <n v="2"/>
    <n v="0"/>
    <m/>
    <x v="1"/>
    <n v="0.12112508691129635"/>
  </r>
  <r>
    <x v="13"/>
    <x v="0"/>
    <x v="0"/>
    <x v="0"/>
    <x v="0"/>
    <x v="1"/>
    <x v="0"/>
    <x v="0"/>
    <x v="1"/>
    <x v="0"/>
    <n v="3"/>
    <n v="3"/>
    <n v="0"/>
    <m/>
    <x v="1"/>
    <n v="0.17091336426244572"/>
  </r>
  <r>
    <x v="14"/>
    <x v="0"/>
    <x v="1"/>
    <x v="1"/>
    <x v="0"/>
    <x v="0"/>
    <x v="1"/>
    <x v="1"/>
    <x v="1"/>
    <x v="6"/>
    <n v="2"/>
    <n v="2"/>
    <n v="0"/>
    <m/>
    <x v="1"/>
    <n v="9.1577110773735128E-3"/>
  </r>
  <r>
    <x v="15"/>
    <x v="1"/>
    <x v="1"/>
    <x v="1"/>
    <x v="0"/>
    <x v="1"/>
    <x v="0"/>
    <x v="0"/>
    <x v="1"/>
    <x v="7"/>
    <n v="1"/>
    <n v="1"/>
    <n v="0"/>
    <n v="1"/>
    <x v="0"/>
    <n v="2.8118975193987015E-2"/>
  </r>
  <r>
    <x v="15"/>
    <x v="0"/>
    <x v="1"/>
    <x v="0"/>
    <x v="0"/>
    <x v="1"/>
    <x v="0"/>
    <x v="0"/>
    <x v="2"/>
    <x v="9"/>
    <n v="1"/>
    <n v="1"/>
    <n v="0"/>
    <n v="1"/>
    <x v="0"/>
    <n v="0.12531446059028126"/>
  </r>
  <r>
    <x v="4"/>
    <x v="0"/>
    <x v="1"/>
    <x v="0"/>
    <x v="2"/>
    <x v="1"/>
    <x v="1"/>
    <x v="1"/>
    <x v="1"/>
    <x v="7"/>
    <n v="2"/>
    <n v="2"/>
    <n v="0"/>
    <m/>
    <x v="1"/>
    <n v="5.6609868750299878E-2"/>
  </r>
  <r>
    <x v="0"/>
    <x v="1"/>
    <x v="0"/>
    <x v="1"/>
    <x v="0"/>
    <x v="0"/>
    <x v="1"/>
    <x v="1"/>
    <x v="0"/>
    <x v="5"/>
    <n v="2"/>
    <n v="2"/>
    <n v="0"/>
    <n v="2"/>
    <x v="0"/>
    <n v="2.9995798450621777E-2"/>
  </r>
  <r>
    <x v="8"/>
    <x v="0"/>
    <x v="1"/>
    <x v="2"/>
    <x v="1"/>
    <x v="0"/>
    <x v="0"/>
    <x v="1"/>
    <x v="1"/>
    <x v="4"/>
    <n v="6"/>
    <n v="7"/>
    <n v="0"/>
    <m/>
    <x v="1"/>
    <n v="0.2797239663622767"/>
  </r>
  <r>
    <x v="5"/>
    <x v="1"/>
    <x v="1"/>
    <x v="0"/>
    <x v="2"/>
    <x v="0"/>
    <x v="1"/>
    <x v="1"/>
    <x v="1"/>
    <x v="7"/>
    <n v="1"/>
    <n v="2"/>
    <n v="0"/>
    <n v="1"/>
    <x v="0"/>
    <n v="4.3772986615182218E-2"/>
  </r>
  <r>
    <x v="7"/>
    <x v="0"/>
    <x v="1"/>
    <x v="2"/>
    <x v="0"/>
    <x v="0"/>
    <x v="0"/>
    <x v="1"/>
    <x v="1"/>
    <x v="7"/>
    <n v="1"/>
    <n v="2"/>
    <n v="0"/>
    <m/>
    <x v="1"/>
    <n v="5.4555684000678381E-2"/>
  </r>
  <r>
    <x v="2"/>
    <x v="0"/>
    <x v="1"/>
    <x v="0"/>
    <x v="1"/>
    <x v="0"/>
    <x v="0"/>
    <x v="1"/>
    <x v="0"/>
    <x v="0"/>
    <n v="7"/>
    <n v="10"/>
    <n v="0"/>
    <m/>
    <x v="1"/>
    <n v="0.45900867524223637"/>
  </r>
  <r>
    <x v="7"/>
    <x v="0"/>
    <x v="1"/>
    <x v="0"/>
    <x v="2"/>
    <x v="0"/>
    <x v="0"/>
    <x v="0"/>
    <x v="1"/>
    <x v="7"/>
    <n v="4"/>
    <n v="4"/>
    <n v="0"/>
    <m/>
    <x v="1"/>
    <n v="0.12132852335944222"/>
  </r>
  <r>
    <x v="21"/>
    <x v="0"/>
    <x v="1"/>
    <x v="0"/>
    <x v="2"/>
    <x v="0"/>
    <x v="0"/>
    <x v="1"/>
    <x v="0"/>
    <x v="0"/>
    <n v="3"/>
    <n v="3"/>
    <n v="0"/>
    <m/>
    <x v="1"/>
    <n v="0.13620833165203847"/>
  </r>
  <r>
    <x v="0"/>
    <x v="1"/>
    <x v="1"/>
    <x v="2"/>
    <x v="1"/>
    <x v="1"/>
    <x v="0"/>
    <x v="1"/>
    <x v="0"/>
    <x v="9"/>
    <n v="2"/>
    <n v="2"/>
    <n v="0"/>
    <n v="2"/>
    <x v="0"/>
    <n v="0.31697566320660109"/>
  </r>
  <r>
    <x v="9"/>
    <x v="0"/>
    <x v="0"/>
    <x v="1"/>
    <x v="2"/>
    <x v="1"/>
    <x v="0"/>
    <x v="1"/>
    <x v="1"/>
    <x v="4"/>
    <n v="1"/>
    <n v="1"/>
    <n v="0"/>
    <n v="1"/>
    <x v="0"/>
    <n v="3.8861886041588509E-2"/>
  </r>
  <r>
    <x v="11"/>
    <x v="1"/>
    <x v="0"/>
    <x v="0"/>
    <x v="3"/>
    <x v="0"/>
    <x v="0"/>
    <x v="1"/>
    <x v="0"/>
    <x v="8"/>
    <n v="2"/>
    <n v="2"/>
    <n v="0"/>
    <m/>
    <x v="1"/>
    <n v="0.24601606933333317"/>
  </r>
  <r>
    <x v="7"/>
    <x v="0"/>
    <x v="1"/>
    <x v="0"/>
    <x v="1"/>
    <x v="1"/>
    <x v="0"/>
    <x v="1"/>
    <x v="2"/>
    <x v="9"/>
    <n v="2"/>
    <n v="5"/>
    <n v="0"/>
    <m/>
    <x v="1"/>
    <n v="0.87680743802938443"/>
  </r>
  <r>
    <x v="6"/>
    <x v="1"/>
    <x v="1"/>
    <x v="1"/>
    <x v="0"/>
    <x v="0"/>
    <x v="0"/>
    <x v="1"/>
    <x v="1"/>
    <x v="6"/>
    <n v="1"/>
    <n v="1"/>
    <n v="0"/>
    <m/>
    <x v="1"/>
    <n v="1.4486748808385878E-2"/>
  </r>
  <r>
    <x v="1"/>
    <x v="0"/>
    <x v="0"/>
    <x v="0"/>
    <x v="3"/>
    <x v="1"/>
    <x v="0"/>
    <x v="1"/>
    <x v="0"/>
    <x v="9"/>
    <n v="4"/>
    <n v="4"/>
    <n v="0"/>
    <n v="4"/>
    <x v="0"/>
    <n v="0.61760092690414259"/>
  </r>
  <r>
    <x v="17"/>
    <x v="0"/>
    <x v="1"/>
    <x v="0"/>
    <x v="0"/>
    <x v="0"/>
    <x v="0"/>
    <x v="1"/>
    <x v="0"/>
    <x v="4"/>
    <n v="3"/>
    <n v="4"/>
    <n v="0"/>
    <n v="3"/>
    <x v="0"/>
    <n v="0.12557782849501686"/>
  </r>
  <r>
    <x v="8"/>
    <x v="1"/>
    <x v="0"/>
    <x v="0"/>
    <x v="0"/>
    <x v="1"/>
    <x v="1"/>
    <x v="1"/>
    <x v="1"/>
    <x v="4"/>
    <n v="2"/>
    <n v="2"/>
    <n v="0"/>
    <m/>
    <x v="1"/>
    <n v="8.2850067471544331E-2"/>
  </r>
  <r>
    <x v="8"/>
    <x v="0"/>
    <x v="1"/>
    <x v="0"/>
    <x v="0"/>
    <x v="0"/>
    <x v="0"/>
    <x v="1"/>
    <x v="2"/>
    <x v="1"/>
    <n v="1"/>
    <n v="1"/>
    <n v="0"/>
    <m/>
    <x v="1"/>
    <n v="6.785105877159095E-2"/>
  </r>
  <r>
    <x v="12"/>
    <x v="0"/>
    <x v="0"/>
    <x v="2"/>
    <x v="2"/>
    <x v="0"/>
    <x v="0"/>
    <x v="1"/>
    <x v="0"/>
    <x v="1"/>
    <n v="3"/>
    <n v="4"/>
    <n v="1"/>
    <m/>
    <x v="1"/>
    <n v="0.33058612471095111"/>
  </r>
  <r>
    <x v="11"/>
    <x v="0"/>
    <x v="0"/>
    <x v="1"/>
    <x v="0"/>
    <x v="0"/>
    <x v="1"/>
    <x v="1"/>
    <x v="2"/>
    <x v="7"/>
    <n v="2"/>
    <n v="2"/>
    <n v="0"/>
    <m/>
    <x v="1"/>
    <n v="4.4232660067189462E-2"/>
  </r>
  <r>
    <x v="19"/>
    <x v="1"/>
    <x v="1"/>
    <x v="0"/>
    <x v="1"/>
    <x v="0"/>
    <x v="0"/>
    <x v="1"/>
    <x v="0"/>
    <x v="1"/>
    <n v="3"/>
    <n v="7"/>
    <n v="0"/>
    <m/>
    <x v="1"/>
    <n v="0.47464023493924051"/>
  </r>
  <r>
    <x v="11"/>
    <x v="0"/>
    <x v="0"/>
    <x v="1"/>
    <x v="0"/>
    <x v="1"/>
    <x v="0"/>
    <x v="0"/>
    <x v="0"/>
    <x v="4"/>
    <n v="1"/>
    <n v="1"/>
    <n v="0"/>
    <m/>
    <x v="1"/>
    <n v="4.0210562870550678E-2"/>
  </r>
  <r>
    <x v="8"/>
    <x v="0"/>
    <x v="1"/>
    <x v="0"/>
    <x v="0"/>
    <x v="0"/>
    <x v="1"/>
    <x v="0"/>
    <x v="0"/>
    <x v="5"/>
    <n v="1"/>
    <n v="1"/>
    <n v="0"/>
    <m/>
    <x v="1"/>
    <n v="1.5103271786810353E-2"/>
  </r>
  <r>
    <x v="22"/>
    <x v="0"/>
    <x v="1"/>
    <x v="1"/>
    <x v="1"/>
    <x v="0"/>
    <x v="0"/>
    <x v="1"/>
    <x v="1"/>
    <x v="6"/>
    <n v="3"/>
    <n v="4"/>
    <n v="0"/>
    <n v="3"/>
    <x v="0"/>
    <n v="5.6902926035397941E-2"/>
  </r>
  <r>
    <x v="14"/>
    <x v="0"/>
    <x v="1"/>
    <x v="0"/>
    <x v="2"/>
    <x v="0"/>
    <x v="0"/>
    <x v="0"/>
    <x v="2"/>
    <x v="8"/>
    <n v="1"/>
    <n v="1"/>
    <n v="0"/>
    <m/>
    <x v="1"/>
    <n v="9.650569894562866E-2"/>
  </r>
  <r>
    <x v="20"/>
    <x v="1"/>
    <x v="0"/>
    <x v="0"/>
    <x v="2"/>
    <x v="0"/>
    <x v="1"/>
    <x v="1"/>
    <x v="0"/>
    <x v="0"/>
    <n v="2"/>
    <n v="2"/>
    <n v="0"/>
    <n v="2"/>
    <x v="0"/>
    <n v="9.3402078399889468E-2"/>
  </r>
  <r>
    <x v="12"/>
    <x v="1"/>
    <x v="0"/>
    <x v="0"/>
    <x v="3"/>
    <x v="1"/>
    <x v="0"/>
    <x v="1"/>
    <x v="0"/>
    <x v="9"/>
    <n v="1"/>
    <n v="2"/>
    <n v="0"/>
    <m/>
    <x v="1"/>
    <n v="0.43268518706094106"/>
  </r>
  <r>
    <x v="6"/>
    <x v="0"/>
    <x v="0"/>
    <x v="1"/>
    <x v="2"/>
    <x v="1"/>
    <x v="1"/>
    <x v="1"/>
    <x v="0"/>
    <x v="7"/>
    <n v="1"/>
    <n v="1"/>
    <n v="0"/>
    <m/>
    <x v="1"/>
    <n v="2.8264594111214687E-2"/>
  </r>
  <r>
    <x v="1"/>
    <x v="1"/>
    <x v="0"/>
    <x v="0"/>
    <x v="3"/>
    <x v="1"/>
    <x v="0"/>
    <x v="1"/>
    <x v="1"/>
    <x v="9"/>
    <n v="3"/>
    <n v="3"/>
    <n v="0"/>
    <n v="3"/>
    <x v="0"/>
    <n v="0.46099571299622388"/>
  </r>
  <r>
    <x v="13"/>
    <x v="1"/>
    <x v="0"/>
    <x v="0"/>
    <x v="0"/>
    <x v="0"/>
    <x v="0"/>
    <x v="0"/>
    <x v="1"/>
    <x v="0"/>
    <n v="2"/>
    <n v="3"/>
    <n v="0"/>
    <m/>
    <x v="1"/>
    <n v="0.13304701036104449"/>
  </r>
  <r>
    <x v="18"/>
    <x v="1"/>
    <x v="1"/>
    <x v="0"/>
    <x v="0"/>
    <x v="0"/>
    <x v="0"/>
    <x v="0"/>
    <x v="1"/>
    <x v="4"/>
    <n v="2"/>
    <n v="2"/>
    <n v="0"/>
    <m/>
    <x v="1"/>
    <n v="6.2446777028460111E-2"/>
  </r>
  <r>
    <x v="9"/>
    <x v="0"/>
    <x v="1"/>
    <x v="2"/>
    <x v="0"/>
    <x v="0"/>
    <x v="0"/>
    <x v="1"/>
    <x v="1"/>
    <x v="7"/>
    <n v="3"/>
    <n v="4"/>
    <n v="0"/>
    <n v="3"/>
    <x v="0"/>
    <n v="0.10911136800135676"/>
  </r>
  <r>
    <x v="1"/>
    <x v="0"/>
    <x v="1"/>
    <x v="0"/>
    <x v="3"/>
    <x v="1"/>
    <x v="1"/>
    <x v="1"/>
    <x v="2"/>
    <x v="8"/>
    <n v="1"/>
    <n v="2"/>
    <n v="0"/>
    <n v="1"/>
    <x v="0"/>
    <n v="0.23748074756293885"/>
  </r>
  <r>
    <x v="14"/>
    <x v="1"/>
    <x v="0"/>
    <x v="0"/>
    <x v="0"/>
    <x v="1"/>
    <x v="1"/>
    <x v="0"/>
    <x v="1"/>
    <x v="4"/>
    <n v="1"/>
    <n v="1"/>
    <n v="0"/>
    <m/>
    <x v="1"/>
    <n v="4.1425033735772165E-2"/>
  </r>
  <r>
    <x v="4"/>
    <x v="0"/>
    <x v="1"/>
    <x v="2"/>
    <x v="0"/>
    <x v="0"/>
    <x v="0"/>
    <x v="1"/>
    <x v="1"/>
    <x v="7"/>
    <n v="2"/>
    <n v="2"/>
    <n v="0"/>
    <m/>
    <x v="1"/>
    <n v="5.4555684000678381E-2"/>
  </r>
  <r>
    <x v="7"/>
    <x v="1"/>
    <x v="0"/>
    <x v="0"/>
    <x v="2"/>
    <x v="0"/>
    <x v="0"/>
    <x v="1"/>
    <x v="0"/>
    <x v="8"/>
    <n v="2"/>
    <n v="3"/>
    <n v="0"/>
    <m/>
    <x v="1"/>
    <n v="0.28148475721603516"/>
  </r>
  <r>
    <x v="10"/>
    <x v="0"/>
    <x v="1"/>
    <x v="1"/>
    <x v="1"/>
    <x v="0"/>
    <x v="0"/>
    <x v="1"/>
    <x v="1"/>
    <x v="6"/>
    <n v="3"/>
    <n v="3"/>
    <n v="0"/>
    <m/>
    <x v="1"/>
    <n v="4.2677194526548452E-2"/>
  </r>
  <r>
    <x v="6"/>
    <x v="0"/>
    <x v="0"/>
    <x v="2"/>
    <x v="0"/>
    <x v="0"/>
    <x v="1"/>
    <x v="1"/>
    <x v="1"/>
    <x v="5"/>
    <n v="1"/>
    <n v="2"/>
    <n v="0"/>
    <m/>
    <x v="1"/>
    <n v="3.7491703864349239E-2"/>
  </r>
  <r>
    <x v="12"/>
    <x v="1"/>
    <x v="0"/>
    <x v="0"/>
    <x v="0"/>
    <x v="0"/>
    <x v="1"/>
    <x v="0"/>
    <x v="0"/>
    <x v="4"/>
    <n v="2"/>
    <n v="3"/>
    <n v="0"/>
    <m/>
    <x v="1"/>
    <n v="9.6917149150967677E-2"/>
  </r>
  <r>
    <x v="13"/>
    <x v="1"/>
    <x v="0"/>
    <x v="2"/>
    <x v="1"/>
    <x v="0"/>
    <x v="0"/>
    <x v="1"/>
    <x v="1"/>
    <x v="1"/>
    <n v="2"/>
    <n v="3"/>
    <n v="0"/>
    <m/>
    <x v="1"/>
    <n v="0.24926019753943532"/>
  </r>
  <r>
    <x v="16"/>
    <x v="0"/>
    <x v="0"/>
    <x v="2"/>
    <x v="0"/>
    <x v="0"/>
    <x v="0"/>
    <x v="0"/>
    <x v="0"/>
    <x v="0"/>
    <n v="4"/>
    <n v="4"/>
    <n v="0"/>
    <m/>
    <x v="1"/>
    <n v="0.23137409200839304"/>
  </r>
  <r>
    <x v="9"/>
    <x v="0"/>
    <x v="0"/>
    <x v="1"/>
    <x v="0"/>
    <x v="0"/>
    <x v="1"/>
    <x v="1"/>
    <x v="1"/>
    <x v="6"/>
    <n v="5"/>
    <n v="7"/>
    <n v="0"/>
    <n v="3"/>
    <x v="0"/>
    <n v="4.6058445615462212E-2"/>
  </r>
  <r>
    <x v="14"/>
    <x v="1"/>
    <x v="1"/>
    <x v="0"/>
    <x v="1"/>
    <x v="1"/>
    <x v="0"/>
    <x v="1"/>
    <x v="0"/>
    <x v="9"/>
    <n v="2"/>
    <n v="3"/>
    <n v="1"/>
    <m/>
    <x v="1"/>
    <n v="0.37570779373019209"/>
  </r>
  <r>
    <x v="11"/>
    <x v="1"/>
    <x v="1"/>
    <x v="2"/>
    <x v="0"/>
    <x v="0"/>
    <x v="0"/>
    <x v="0"/>
    <x v="2"/>
    <x v="9"/>
    <n v="2"/>
    <n v="3"/>
    <n v="0"/>
    <m/>
    <x v="1"/>
    <n v="0.37940376584989283"/>
  </r>
  <r>
    <x v="4"/>
    <x v="1"/>
    <x v="1"/>
    <x v="0"/>
    <x v="2"/>
    <x v="1"/>
    <x v="1"/>
    <x v="1"/>
    <x v="1"/>
    <x v="2"/>
    <n v="1"/>
    <n v="1"/>
    <n v="0"/>
    <m/>
    <x v="1"/>
    <n v="4.2183923792892507E-2"/>
  </r>
  <r>
    <x v="0"/>
    <x v="0"/>
    <x v="1"/>
    <x v="1"/>
    <x v="1"/>
    <x v="0"/>
    <x v="0"/>
    <x v="1"/>
    <x v="2"/>
    <x v="0"/>
    <n v="2"/>
    <n v="2"/>
    <n v="0"/>
    <n v="2"/>
    <x v="0"/>
    <n v="9.3925729422400503E-2"/>
  </r>
  <r>
    <x v="12"/>
    <x v="1"/>
    <x v="0"/>
    <x v="1"/>
    <x v="1"/>
    <x v="0"/>
    <x v="0"/>
    <x v="1"/>
    <x v="0"/>
    <x v="0"/>
    <n v="1"/>
    <n v="1"/>
    <n v="0"/>
    <m/>
    <x v="1"/>
    <n v="4.5590572395740707E-2"/>
  </r>
  <r>
    <x v="1"/>
    <x v="1"/>
    <x v="0"/>
    <x v="0"/>
    <x v="3"/>
    <x v="1"/>
    <x v="0"/>
    <x v="0"/>
    <x v="1"/>
    <x v="9"/>
    <n v="2"/>
    <n v="2"/>
    <n v="0"/>
    <n v="2"/>
    <x v="0"/>
    <n v="0.30733047533081592"/>
  </r>
  <r>
    <x v="20"/>
    <x v="1"/>
    <x v="1"/>
    <x v="0"/>
    <x v="2"/>
    <x v="1"/>
    <x v="0"/>
    <x v="0"/>
    <x v="1"/>
    <x v="8"/>
    <n v="3"/>
    <n v="3"/>
    <n v="0"/>
    <n v="3"/>
    <x v="0"/>
    <n v="0.25548001550009786"/>
  </r>
  <r>
    <x v="20"/>
    <x v="0"/>
    <x v="1"/>
    <x v="2"/>
    <x v="3"/>
    <x v="1"/>
    <x v="1"/>
    <x v="1"/>
    <x v="1"/>
    <x v="0"/>
    <n v="1"/>
    <n v="1"/>
    <n v="0"/>
    <n v="1"/>
    <x v="0"/>
    <n v="4.9347614387798763E-2"/>
  </r>
  <r>
    <x v="2"/>
    <x v="0"/>
    <x v="1"/>
    <x v="0"/>
    <x v="1"/>
    <x v="1"/>
    <x v="0"/>
    <x v="1"/>
    <x v="2"/>
    <x v="9"/>
    <n v="1"/>
    <n v="4"/>
    <n v="0"/>
    <m/>
    <x v="1"/>
    <n v="0.70144595042350755"/>
  </r>
  <r>
    <x v="20"/>
    <x v="1"/>
    <x v="0"/>
    <x v="0"/>
    <x v="0"/>
    <x v="0"/>
    <x v="1"/>
    <x v="0"/>
    <x v="2"/>
    <x v="1"/>
    <n v="2"/>
    <n v="2"/>
    <n v="0"/>
    <n v="2"/>
    <x v="0"/>
    <n v="0.13948863320885782"/>
  </r>
  <r>
    <x v="21"/>
    <x v="1"/>
    <x v="1"/>
    <x v="0"/>
    <x v="2"/>
    <x v="0"/>
    <x v="0"/>
    <x v="1"/>
    <x v="1"/>
    <x v="0"/>
    <n v="2"/>
    <n v="2"/>
    <n v="0"/>
    <m/>
    <x v="1"/>
    <n v="9.0317871897326291E-2"/>
  </r>
  <r>
    <x v="2"/>
    <x v="0"/>
    <x v="0"/>
    <x v="1"/>
    <x v="0"/>
    <x v="0"/>
    <x v="0"/>
    <x v="0"/>
    <x v="0"/>
    <x v="5"/>
    <n v="1"/>
    <n v="1"/>
    <n v="0"/>
    <m/>
    <x v="1"/>
    <n v="2.0841983429204125E-2"/>
  </r>
  <r>
    <x v="22"/>
    <x v="0"/>
    <x v="0"/>
    <x v="2"/>
    <x v="2"/>
    <x v="1"/>
    <x v="1"/>
    <x v="0"/>
    <x v="2"/>
    <x v="9"/>
    <n v="1"/>
    <n v="1"/>
    <n v="0"/>
    <n v="1"/>
    <x v="0"/>
    <n v="0.15854002300480582"/>
  </r>
  <r>
    <x v="6"/>
    <x v="0"/>
    <x v="0"/>
    <x v="0"/>
    <x v="2"/>
    <x v="1"/>
    <x v="0"/>
    <x v="0"/>
    <x v="1"/>
    <x v="1"/>
    <n v="1"/>
    <n v="2"/>
    <n v="0"/>
    <m/>
    <x v="1"/>
    <n v="0.16286476160967098"/>
  </r>
  <r>
    <x v="3"/>
    <x v="1"/>
    <x v="0"/>
    <x v="0"/>
    <x v="1"/>
    <x v="1"/>
    <x v="0"/>
    <x v="1"/>
    <x v="0"/>
    <x v="9"/>
    <n v="2"/>
    <n v="4"/>
    <n v="0"/>
    <m/>
    <x v="1"/>
    <n v="0.68364049219704504"/>
  </r>
  <r>
    <x v="3"/>
    <x v="1"/>
    <x v="1"/>
    <x v="0"/>
    <x v="0"/>
    <x v="1"/>
    <x v="0"/>
    <x v="0"/>
    <x v="1"/>
    <x v="3"/>
    <n v="1"/>
    <n v="1"/>
    <n v="0"/>
    <m/>
    <x v="1"/>
    <n v="5.9651729761640827E-2"/>
  </r>
  <r>
    <x v="18"/>
    <x v="1"/>
    <x v="0"/>
    <x v="2"/>
    <x v="0"/>
    <x v="0"/>
    <x v="0"/>
    <x v="1"/>
    <x v="1"/>
    <x v="0"/>
    <n v="5"/>
    <n v="5"/>
    <n v="1"/>
    <m/>
    <x v="1"/>
    <n v="0.28768447152892368"/>
  </r>
  <r>
    <x v="7"/>
    <x v="1"/>
    <x v="1"/>
    <x v="0"/>
    <x v="0"/>
    <x v="0"/>
    <x v="0"/>
    <x v="0"/>
    <x v="2"/>
    <x v="8"/>
    <n v="4"/>
    <n v="4"/>
    <n v="0"/>
    <m/>
    <x v="1"/>
    <n v="0.39657020369244811"/>
  </r>
  <r>
    <x v="16"/>
    <x v="0"/>
    <x v="0"/>
    <x v="1"/>
    <x v="0"/>
    <x v="0"/>
    <x v="1"/>
    <x v="0"/>
    <x v="1"/>
    <x v="6"/>
    <n v="1"/>
    <n v="1"/>
    <n v="0"/>
    <m/>
    <x v="1"/>
    <n v="6.57977794506603E-3"/>
  </r>
  <r>
    <x v="5"/>
    <x v="1"/>
    <x v="1"/>
    <x v="0"/>
    <x v="0"/>
    <x v="0"/>
    <x v="0"/>
    <x v="1"/>
    <x v="2"/>
    <x v="8"/>
    <n v="2"/>
    <n v="2"/>
    <n v="0"/>
    <n v="2"/>
    <x v="0"/>
    <n v="0.19828510184622405"/>
  </r>
  <r>
    <x v="22"/>
    <x v="0"/>
    <x v="0"/>
    <x v="0"/>
    <x v="2"/>
    <x v="0"/>
    <x v="0"/>
    <x v="0"/>
    <x v="0"/>
    <x v="3"/>
    <n v="3"/>
    <n v="3"/>
    <n v="0"/>
    <n v="3"/>
    <x v="0"/>
    <n v="0.19228418311293793"/>
  </r>
  <r>
    <x v="22"/>
    <x v="1"/>
    <x v="0"/>
    <x v="1"/>
    <x v="0"/>
    <x v="0"/>
    <x v="1"/>
    <x v="0"/>
    <x v="0"/>
    <x v="5"/>
    <n v="2"/>
    <n v="2"/>
    <n v="0"/>
    <n v="2"/>
    <x v="0"/>
    <n v="2.9995798450621777E-2"/>
  </r>
  <r>
    <x v="8"/>
    <x v="0"/>
    <x v="1"/>
    <x v="0"/>
    <x v="2"/>
    <x v="0"/>
    <x v="0"/>
    <x v="0"/>
    <x v="2"/>
    <x v="8"/>
    <n v="2"/>
    <n v="4"/>
    <n v="0"/>
    <m/>
    <x v="1"/>
    <n v="0.38602279578251464"/>
  </r>
  <r>
    <x v="2"/>
    <x v="1"/>
    <x v="0"/>
    <x v="0"/>
    <x v="3"/>
    <x v="0"/>
    <x v="0"/>
    <x v="1"/>
    <x v="1"/>
    <x v="8"/>
    <n v="1"/>
    <n v="1"/>
    <n v="0"/>
    <m/>
    <x v="1"/>
    <n v="8.4456755045901957E-2"/>
  </r>
  <r>
    <x v="9"/>
    <x v="0"/>
    <x v="1"/>
    <x v="1"/>
    <x v="2"/>
    <x v="1"/>
    <x v="0"/>
    <x v="0"/>
    <x v="0"/>
    <x v="4"/>
    <n v="1"/>
    <n v="1"/>
    <n v="0"/>
    <n v="1"/>
    <x v="0"/>
    <n v="4.0948154717703626E-2"/>
  </r>
  <r>
    <x v="21"/>
    <x v="1"/>
    <x v="1"/>
    <x v="2"/>
    <x v="1"/>
    <x v="1"/>
    <x v="0"/>
    <x v="1"/>
    <x v="1"/>
    <x v="8"/>
    <n v="1"/>
    <n v="4"/>
    <n v="0"/>
    <m/>
    <x v="1"/>
    <n v="0.44085779762072891"/>
  </r>
  <r>
    <x v="17"/>
    <x v="1"/>
    <x v="0"/>
    <x v="0"/>
    <x v="3"/>
    <x v="0"/>
    <x v="1"/>
    <x v="0"/>
    <x v="2"/>
    <x v="9"/>
    <n v="1"/>
    <n v="1"/>
    <n v="0"/>
    <n v="1"/>
    <x v="0"/>
    <n v="0.12970168387961117"/>
  </r>
  <r>
    <x v="9"/>
    <x v="0"/>
    <x v="1"/>
    <x v="0"/>
    <x v="2"/>
    <x v="0"/>
    <x v="1"/>
    <x v="0"/>
    <x v="0"/>
    <x v="7"/>
    <n v="1"/>
    <n v="1"/>
    <n v="0"/>
    <n v="1"/>
    <x v="0"/>
    <n v="2.2007568458762099E-2"/>
  </r>
  <r>
    <x v="10"/>
    <x v="0"/>
    <x v="0"/>
    <x v="0"/>
    <x v="0"/>
    <x v="0"/>
    <x v="1"/>
    <x v="0"/>
    <x v="0"/>
    <x v="7"/>
    <n v="4"/>
    <n v="4"/>
    <n v="0"/>
    <m/>
    <x v="1"/>
    <n v="8.6413859233268817E-2"/>
  </r>
  <r>
    <x v="11"/>
    <x v="1"/>
    <x v="0"/>
    <x v="1"/>
    <x v="1"/>
    <x v="1"/>
    <x v="0"/>
    <x v="1"/>
    <x v="1"/>
    <x v="0"/>
    <n v="2"/>
    <n v="2"/>
    <n v="0"/>
    <m/>
    <x v="1"/>
    <n v="0.11646858008740466"/>
  </r>
  <r>
    <x v="11"/>
    <x v="0"/>
    <x v="1"/>
    <x v="0"/>
    <x v="2"/>
    <x v="0"/>
    <x v="1"/>
    <x v="1"/>
    <x v="0"/>
    <x v="7"/>
    <n v="2"/>
    <n v="2"/>
    <n v="0"/>
    <m/>
    <x v="1"/>
    <n v="4.4015136917524199E-2"/>
  </r>
  <r>
    <x v="21"/>
    <x v="1"/>
    <x v="0"/>
    <x v="0"/>
    <x v="2"/>
    <x v="0"/>
    <x v="1"/>
    <x v="1"/>
    <x v="1"/>
    <x v="4"/>
    <n v="3"/>
    <n v="3"/>
    <n v="0"/>
    <m/>
    <x v="1"/>
    <n v="9.3640645687039739E-2"/>
  </r>
  <r>
    <x v="7"/>
    <x v="1"/>
    <x v="0"/>
    <x v="1"/>
    <x v="0"/>
    <x v="0"/>
    <x v="0"/>
    <x v="0"/>
    <x v="1"/>
    <x v="5"/>
    <n v="2"/>
    <n v="2"/>
    <n v="0"/>
    <m/>
    <x v="1"/>
    <n v="4.1454369734826219E-2"/>
  </r>
  <r>
    <x v="14"/>
    <x v="0"/>
    <x v="0"/>
    <x v="2"/>
    <x v="2"/>
    <x v="0"/>
    <x v="1"/>
    <x v="1"/>
    <x v="1"/>
    <x v="7"/>
    <n v="1"/>
    <n v="1"/>
    <n v="0"/>
    <m/>
    <x v="1"/>
    <n v="2.7269210474849294E-2"/>
  </r>
  <r>
    <x v="19"/>
    <x v="0"/>
    <x v="1"/>
    <x v="0"/>
    <x v="2"/>
    <x v="0"/>
    <x v="0"/>
    <x v="1"/>
    <x v="1"/>
    <x v="7"/>
    <n v="2"/>
    <n v="3"/>
    <n v="0"/>
    <m/>
    <x v="1"/>
    <n v="9.0996392519581665E-2"/>
  </r>
  <r>
    <x v="19"/>
    <x v="1"/>
    <x v="0"/>
    <x v="0"/>
    <x v="3"/>
    <x v="1"/>
    <x v="0"/>
    <x v="0"/>
    <x v="2"/>
    <x v="9"/>
    <n v="2"/>
    <n v="2"/>
    <n v="0"/>
    <m/>
    <x v="1"/>
    <n v="0.76542055614954618"/>
  </r>
  <r>
    <x v="0"/>
    <x v="0"/>
    <x v="0"/>
    <x v="2"/>
    <x v="2"/>
    <x v="0"/>
    <x v="0"/>
    <x v="1"/>
    <x v="0"/>
    <x v="1"/>
    <n v="2"/>
    <n v="2"/>
    <n v="0"/>
    <n v="2"/>
    <x v="0"/>
    <n v="0.16529306235547556"/>
  </r>
  <r>
    <x v="4"/>
    <x v="0"/>
    <x v="1"/>
    <x v="1"/>
    <x v="0"/>
    <x v="0"/>
    <x v="0"/>
    <x v="0"/>
    <x v="1"/>
    <x v="6"/>
    <n v="2"/>
    <n v="3"/>
    <n v="0"/>
    <m/>
    <x v="1"/>
    <n v="2.8886505489678724E-2"/>
  </r>
  <r>
    <x v="6"/>
    <x v="1"/>
    <x v="1"/>
    <x v="0"/>
    <x v="2"/>
    <x v="1"/>
    <x v="0"/>
    <x v="1"/>
    <x v="1"/>
    <x v="8"/>
    <n v="3"/>
    <n v="3"/>
    <n v="0"/>
    <m/>
    <x v="1"/>
    <n v="0.25548001550009786"/>
  </r>
  <r>
    <x v="19"/>
    <x v="1"/>
    <x v="0"/>
    <x v="2"/>
    <x v="0"/>
    <x v="0"/>
    <x v="1"/>
    <x v="0"/>
    <x v="1"/>
    <x v="7"/>
    <n v="1"/>
    <n v="1"/>
    <n v="0"/>
    <m/>
    <x v="1"/>
    <n v="2.8073075056070349E-2"/>
  </r>
  <r>
    <x v="20"/>
    <x v="0"/>
    <x v="1"/>
    <x v="1"/>
    <x v="0"/>
    <x v="1"/>
    <x v="0"/>
    <x v="0"/>
    <x v="1"/>
    <x v="5"/>
    <n v="1"/>
    <n v="1"/>
    <n v="0"/>
    <n v="1"/>
    <x v="0"/>
    <n v="1.8776796462310515E-2"/>
  </r>
  <r>
    <x v="16"/>
    <x v="1"/>
    <x v="0"/>
    <x v="2"/>
    <x v="2"/>
    <x v="0"/>
    <x v="0"/>
    <x v="1"/>
    <x v="1"/>
    <x v="1"/>
    <n v="4"/>
    <n v="4"/>
    <n v="0"/>
    <m/>
    <x v="1"/>
    <n v="0.32887958278383228"/>
  </r>
  <r>
    <x v="12"/>
    <x v="1"/>
    <x v="1"/>
    <x v="2"/>
    <x v="3"/>
    <x v="1"/>
    <x v="1"/>
    <x v="1"/>
    <x v="2"/>
    <x v="9"/>
    <n v="1"/>
    <n v="1"/>
    <n v="0"/>
    <m/>
    <x v="1"/>
    <n v="0.21135260968507869"/>
  </r>
  <r>
    <x v="5"/>
    <x v="1"/>
    <x v="1"/>
    <x v="1"/>
    <x v="2"/>
    <x v="0"/>
    <x v="1"/>
    <x v="1"/>
    <x v="2"/>
    <x v="4"/>
    <n v="1"/>
    <n v="1"/>
    <n v="0"/>
    <n v="1"/>
    <x v="0"/>
    <n v="3.3675167837974015E-2"/>
  </r>
  <r>
    <x v="1"/>
    <x v="0"/>
    <x v="1"/>
    <x v="1"/>
    <x v="2"/>
    <x v="1"/>
    <x v="1"/>
    <x v="0"/>
    <x v="0"/>
    <x v="5"/>
    <n v="1"/>
    <n v="1"/>
    <n v="0"/>
    <n v="1"/>
    <x v="0"/>
    <n v="1.9800718313777412E-2"/>
  </r>
  <r>
    <x v="9"/>
    <x v="0"/>
    <x v="0"/>
    <x v="0"/>
    <x v="2"/>
    <x v="1"/>
    <x v="0"/>
    <x v="1"/>
    <x v="2"/>
    <x v="9"/>
    <n v="1"/>
    <n v="1"/>
    <n v="1"/>
    <n v="1"/>
    <x v="0"/>
    <n v="0.23237226266969685"/>
  </r>
  <r>
    <x v="9"/>
    <x v="1"/>
    <x v="0"/>
    <x v="2"/>
    <x v="3"/>
    <x v="1"/>
    <x v="0"/>
    <x v="0"/>
    <x v="0"/>
    <x v="9"/>
    <n v="1"/>
    <n v="1"/>
    <n v="0"/>
    <n v="1"/>
    <x v="0"/>
    <n v="0.26641728068577614"/>
  </r>
  <r>
    <x v="3"/>
    <x v="1"/>
    <x v="0"/>
    <x v="2"/>
    <x v="0"/>
    <x v="0"/>
    <x v="1"/>
    <x v="0"/>
    <x v="1"/>
    <x v="7"/>
    <n v="2"/>
    <n v="3"/>
    <n v="0"/>
    <m/>
    <x v="1"/>
    <n v="8.4219225168211037E-2"/>
  </r>
  <r>
    <x v="5"/>
    <x v="0"/>
    <x v="1"/>
    <x v="0"/>
    <x v="0"/>
    <x v="1"/>
    <x v="1"/>
    <x v="1"/>
    <x v="1"/>
    <x v="5"/>
    <n v="1"/>
    <n v="1"/>
    <n v="0"/>
    <n v="1"/>
    <x v="0"/>
    <n v="1.946432421526037E-2"/>
  </r>
  <r>
    <x v="9"/>
    <x v="1"/>
    <x v="1"/>
    <x v="1"/>
    <x v="3"/>
    <x v="0"/>
    <x v="0"/>
    <x v="1"/>
    <x v="2"/>
    <x v="8"/>
    <n v="1"/>
    <n v="1"/>
    <n v="0"/>
    <n v="1"/>
    <x v="0"/>
    <n v="9.072411536115646E-2"/>
  </r>
  <r>
    <x v="11"/>
    <x v="1"/>
    <x v="0"/>
    <x v="0"/>
    <x v="0"/>
    <x v="0"/>
    <x v="1"/>
    <x v="1"/>
    <x v="2"/>
    <x v="1"/>
    <n v="2"/>
    <n v="3"/>
    <n v="0"/>
    <m/>
    <x v="1"/>
    <n v="0.20923294981328672"/>
  </r>
  <r>
    <x v="9"/>
    <x v="1"/>
    <x v="1"/>
    <x v="1"/>
    <x v="2"/>
    <x v="1"/>
    <x v="1"/>
    <x v="1"/>
    <x v="1"/>
    <x v="5"/>
    <n v="1"/>
    <n v="1"/>
    <n v="0"/>
    <n v="1"/>
    <x v="0"/>
    <n v="1.9691539744554062E-2"/>
  </r>
  <r>
    <x v="5"/>
    <x v="1"/>
    <x v="1"/>
    <x v="1"/>
    <x v="2"/>
    <x v="1"/>
    <x v="0"/>
    <x v="0"/>
    <x v="1"/>
    <x v="4"/>
    <n v="1"/>
    <n v="1"/>
    <n v="0"/>
    <n v="1"/>
    <x v="0"/>
    <n v="4.0727216848803351E-2"/>
  </r>
  <r>
    <x v="10"/>
    <x v="1"/>
    <x v="0"/>
    <x v="0"/>
    <x v="0"/>
    <x v="1"/>
    <x v="1"/>
    <x v="0"/>
    <x v="1"/>
    <x v="4"/>
    <n v="1"/>
    <n v="1"/>
    <n v="0"/>
    <m/>
    <x v="1"/>
    <n v="4.1425033735772165E-2"/>
  </r>
  <r>
    <x v="17"/>
    <x v="1"/>
    <x v="1"/>
    <x v="0"/>
    <x v="0"/>
    <x v="1"/>
    <x v="0"/>
    <x v="1"/>
    <x v="0"/>
    <x v="8"/>
    <n v="1"/>
    <n v="1"/>
    <n v="0"/>
    <n v="1"/>
    <x v="0"/>
    <n v="8.7968370705737417E-2"/>
  </r>
  <r>
    <x v="7"/>
    <x v="0"/>
    <x v="0"/>
    <x v="1"/>
    <x v="0"/>
    <x v="1"/>
    <x v="0"/>
    <x v="0"/>
    <x v="1"/>
    <x v="7"/>
    <n v="1"/>
    <n v="1"/>
    <n v="0"/>
    <m/>
    <x v="1"/>
    <n v="2.6814967241158918E-2"/>
  </r>
  <r>
    <x v="3"/>
    <x v="1"/>
    <x v="1"/>
    <x v="2"/>
    <x v="2"/>
    <x v="0"/>
    <x v="0"/>
    <x v="0"/>
    <x v="1"/>
    <x v="0"/>
    <n v="1"/>
    <n v="1"/>
    <n v="0"/>
    <m/>
    <x v="1"/>
    <n v="5.857291153169402E-2"/>
  </r>
  <r>
    <x v="8"/>
    <x v="1"/>
    <x v="0"/>
    <x v="0"/>
    <x v="0"/>
    <x v="0"/>
    <x v="1"/>
    <x v="0"/>
    <x v="0"/>
    <x v="4"/>
    <n v="3"/>
    <n v="4"/>
    <n v="0"/>
    <m/>
    <x v="1"/>
    <n v="0.12922286553462359"/>
  </r>
  <r>
    <x v="1"/>
    <x v="0"/>
    <x v="0"/>
    <x v="1"/>
    <x v="3"/>
    <x v="0"/>
    <x v="1"/>
    <x v="1"/>
    <x v="2"/>
    <x v="2"/>
    <n v="1"/>
    <n v="2"/>
    <n v="0"/>
    <m/>
    <x v="0"/>
    <n v="8.6045555945248708E-2"/>
  </r>
  <r>
    <x v="0"/>
    <x v="1"/>
    <x v="1"/>
    <x v="2"/>
    <x v="0"/>
    <x v="1"/>
    <x v="1"/>
    <x v="1"/>
    <x v="1"/>
    <x v="4"/>
    <n v="1"/>
    <n v="1"/>
    <n v="0"/>
    <n v="1"/>
    <x v="0"/>
    <n v="3.7982968009771363E-2"/>
  </r>
  <r>
    <x v="3"/>
    <x v="0"/>
    <x v="1"/>
    <x v="1"/>
    <x v="1"/>
    <x v="0"/>
    <x v="0"/>
    <x v="1"/>
    <x v="1"/>
    <x v="6"/>
    <n v="5"/>
    <n v="6"/>
    <n v="0"/>
    <m/>
    <x v="1"/>
    <n v="8.5354389053096905E-2"/>
  </r>
  <r>
    <x v="16"/>
    <x v="1"/>
    <x v="1"/>
    <x v="0"/>
    <x v="2"/>
    <x v="1"/>
    <x v="0"/>
    <x v="0"/>
    <x v="1"/>
    <x v="8"/>
    <n v="2"/>
    <n v="2"/>
    <n v="0"/>
    <m/>
    <x v="1"/>
    <n v="0.17032001033339855"/>
  </r>
  <r>
    <x v="14"/>
    <x v="1"/>
    <x v="0"/>
    <x v="0"/>
    <x v="2"/>
    <x v="1"/>
    <x v="1"/>
    <x v="0"/>
    <x v="1"/>
    <x v="3"/>
    <n v="1"/>
    <n v="1"/>
    <n v="0"/>
    <m/>
    <x v="1"/>
    <n v="5.9633482189705503E-2"/>
  </r>
  <r>
    <x v="2"/>
    <x v="1"/>
    <x v="1"/>
    <x v="1"/>
    <x v="2"/>
    <x v="0"/>
    <x v="1"/>
    <x v="1"/>
    <x v="1"/>
    <x v="6"/>
    <n v="1"/>
    <n v="1"/>
    <n v="0"/>
    <m/>
    <x v="1"/>
    <n v="1.0102508517850141E-2"/>
  </r>
  <r>
    <x v="11"/>
    <x v="1"/>
    <x v="1"/>
    <x v="0"/>
    <x v="2"/>
    <x v="0"/>
    <x v="1"/>
    <x v="1"/>
    <x v="1"/>
    <x v="7"/>
    <n v="1"/>
    <n v="1"/>
    <n v="0"/>
    <m/>
    <x v="1"/>
    <n v="2.1886493307591109E-2"/>
  </r>
  <r>
    <x v="15"/>
    <x v="0"/>
    <x v="0"/>
    <x v="1"/>
    <x v="0"/>
    <x v="1"/>
    <x v="0"/>
    <x v="0"/>
    <x v="0"/>
    <x v="4"/>
    <n v="1"/>
    <n v="1"/>
    <n v="0"/>
    <n v="1"/>
    <x v="0"/>
    <n v="4.0210562870550678E-2"/>
  </r>
  <r>
    <x v="4"/>
    <x v="0"/>
    <x v="1"/>
    <x v="0"/>
    <x v="0"/>
    <x v="0"/>
    <x v="0"/>
    <x v="0"/>
    <x v="0"/>
    <x v="4"/>
    <n v="3"/>
    <n v="3"/>
    <n v="0"/>
    <m/>
    <x v="1"/>
    <n v="9.4183371371262647E-2"/>
  </r>
  <r>
    <x v="12"/>
    <x v="1"/>
    <x v="0"/>
    <x v="2"/>
    <x v="0"/>
    <x v="1"/>
    <x v="0"/>
    <x v="0"/>
    <x v="0"/>
    <x v="9"/>
    <n v="1"/>
    <n v="1"/>
    <n v="0"/>
    <m/>
    <x v="1"/>
    <n v="0.15447817831305766"/>
  </r>
  <r>
    <x v="17"/>
    <x v="1"/>
    <x v="1"/>
    <x v="0"/>
    <x v="0"/>
    <x v="0"/>
    <x v="1"/>
    <x v="0"/>
    <x v="2"/>
    <x v="0"/>
    <n v="1"/>
    <n v="1"/>
    <n v="0"/>
    <n v="1"/>
    <x v="0"/>
    <n v="4.9491902792675999E-2"/>
  </r>
  <r>
    <x v="9"/>
    <x v="0"/>
    <x v="0"/>
    <x v="1"/>
    <x v="0"/>
    <x v="1"/>
    <x v="0"/>
    <x v="0"/>
    <x v="0"/>
    <x v="4"/>
    <n v="1"/>
    <n v="1"/>
    <n v="0"/>
    <n v="1"/>
    <x v="0"/>
    <n v="4.0210562870550678E-2"/>
  </r>
  <r>
    <x v="6"/>
    <x v="0"/>
    <x v="0"/>
    <x v="0"/>
    <x v="2"/>
    <x v="0"/>
    <x v="0"/>
    <x v="0"/>
    <x v="0"/>
    <x v="3"/>
    <n v="2"/>
    <n v="3"/>
    <n v="0"/>
    <m/>
    <x v="1"/>
    <n v="0.19228418311293793"/>
  </r>
  <r>
    <x v="13"/>
    <x v="0"/>
    <x v="0"/>
    <x v="0"/>
    <x v="0"/>
    <x v="0"/>
    <x v="1"/>
    <x v="1"/>
    <x v="1"/>
    <x v="6"/>
    <n v="1"/>
    <n v="1"/>
    <n v="0"/>
    <m/>
    <x v="1"/>
    <n v="1.4314121579974512E-2"/>
  </r>
  <r>
    <x v="20"/>
    <x v="1"/>
    <x v="0"/>
    <x v="0"/>
    <x v="3"/>
    <x v="0"/>
    <x v="1"/>
    <x v="0"/>
    <x v="2"/>
    <x v="9"/>
    <n v="1"/>
    <n v="1"/>
    <n v="0"/>
    <n v="1"/>
    <x v="0"/>
    <n v="0.12970168387961117"/>
  </r>
  <r>
    <x v="10"/>
    <x v="0"/>
    <x v="1"/>
    <x v="0"/>
    <x v="3"/>
    <x v="0"/>
    <x v="1"/>
    <x v="1"/>
    <x v="2"/>
    <x v="3"/>
    <n v="2"/>
    <n v="3"/>
    <n v="0"/>
    <m/>
    <x v="1"/>
    <n v="0.19221217798358631"/>
  </r>
  <r>
    <x v="16"/>
    <x v="0"/>
    <x v="1"/>
    <x v="1"/>
    <x v="1"/>
    <x v="0"/>
    <x v="0"/>
    <x v="1"/>
    <x v="2"/>
    <x v="0"/>
    <n v="1"/>
    <n v="1"/>
    <n v="0"/>
    <m/>
    <x v="1"/>
    <n v="4.6962864711200251E-2"/>
  </r>
  <r>
    <x v="16"/>
    <x v="0"/>
    <x v="1"/>
    <x v="1"/>
    <x v="0"/>
    <x v="0"/>
    <x v="0"/>
    <x v="1"/>
    <x v="0"/>
    <x v="5"/>
    <n v="1"/>
    <n v="1"/>
    <n v="0"/>
    <m/>
    <x v="1"/>
    <n v="1.4567498552386326E-2"/>
  </r>
  <r>
    <x v="9"/>
    <x v="1"/>
    <x v="0"/>
    <x v="0"/>
    <x v="2"/>
    <x v="0"/>
    <x v="0"/>
    <x v="0"/>
    <x v="2"/>
    <x v="9"/>
    <n v="4"/>
    <n v="8"/>
    <n v="0"/>
    <n v="4"/>
    <x v="0"/>
    <n v="1.5093123074797092"/>
  </r>
  <r>
    <x v="3"/>
    <x v="0"/>
    <x v="1"/>
    <x v="1"/>
    <x v="2"/>
    <x v="1"/>
    <x v="1"/>
    <x v="0"/>
    <x v="2"/>
    <x v="2"/>
    <n v="1"/>
    <n v="1"/>
    <n v="0"/>
    <m/>
    <x v="1"/>
    <n v="4.339737152735889E-2"/>
  </r>
  <r>
    <x v="1"/>
    <x v="1"/>
    <x v="1"/>
    <x v="0"/>
    <x v="0"/>
    <x v="1"/>
    <x v="0"/>
    <x v="0"/>
    <x v="1"/>
    <x v="3"/>
    <n v="1"/>
    <n v="1"/>
    <n v="0"/>
    <n v="1"/>
    <x v="0"/>
    <n v="5.9651729761640827E-2"/>
  </r>
  <r>
    <x v="14"/>
    <x v="0"/>
    <x v="1"/>
    <x v="2"/>
    <x v="1"/>
    <x v="0"/>
    <x v="0"/>
    <x v="1"/>
    <x v="0"/>
    <x v="3"/>
    <n v="3"/>
    <n v="4"/>
    <n v="0"/>
    <m/>
    <x v="1"/>
    <n v="0.23808595196527138"/>
  </r>
  <r>
    <x v="10"/>
    <x v="0"/>
    <x v="0"/>
    <x v="0"/>
    <x v="3"/>
    <x v="0"/>
    <x v="0"/>
    <x v="0"/>
    <x v="2"/>
    <x v="9"/>
    <n v="1"/>
    <n v="1"/>
    <n v="0"/>
    <m/>
    <x v="1"/>
    <n v="0.17241763602692631"/>
  </r>
  <r>
    <x v="0"/>
    <x v="0"/>
    <x v="0"/>
    <x v="0"/>
    <x v="2"/>
    <x v="0"/>
    <x v="0"/>
    <x v="0"/>
    <x v="2"/>
    <x v="9"/>
    <n v="3"/>
    <n v="4"/>
    <n v="0"/>
    <n v="3"/>
    <x v="0"/>
    <n v="0.53319398890281122"/>
  </r>
  <r>
    <x v="1"/>
    <x v="0"/>
    <x v="0"/>
    <x v="1"/>
    <x v="2"/>
    <x v="1"/>
    <x v="1"/>
    <x v="1"/>
    <x v="2"/>
    <x v="3"/>
    <n v="1"/>
    <n v="1"/>
    <n v="0"/>
    <n v="1"/>
    <x v="0"/>
    <n v="6.1316744395758779E-2"/>
  </r>
  <r>
    <x v="12"/>
    <x v="1"/>
    <x v="0"/>
    <x v="0"/>
    <x v="2"/>
    <x v="0"/>
    <x v="1"/>
    <x v="1"/>
    <x v="1"/>
    <x v="4"/>
    <n v="1"/>
    <n v="1"/>
    <n v="0"/>
    <m/>
    <x v="1"/>
    <n v="3.1213548562346576E-2"/>
  </r>
  <r>
    <x v="16"/>
    <x v="0"/>
    <x v="1"/>
    <x v="2"/>
    <x v="2"/>
    <x v="0"/>
    <x v="0"/>
    <x v="1"/>
    <x v="1"/>
    <x v="4"/>
    <n v="2"/>
    <n v="2"/>
    <n v="0"/>
    <m/>
    <x v="1"/>
    <n v="7.9048533545055685E-2"/>
  </r>
  <r>
    <x v="14"/>
    <x v="1"/>
    <x v="0"/>
    <x v="0"/>
    <x v="2"/>
    <x v="0"/>
    <x v="1"/>
    <x v="1"/>
    <x v="2"/>
    <x v="8"/>
    <n v="1"/>
    <n v="1"/>
    <n v="0"/>
    <m/>
    <x v="1"/>
    <n v="9.9113496312796978E-2"/>
  </r>
  <r>
    <x v="9"/>
    <x v="1"/>
    <x v="0"/>
    <x v="0"/>
    <x v="3"/>
    <x v="0"/>
    <x v="0"/>
    <x v="1"/>
    <x v="2"/>
    <x v="9"/>
    <n v="2"/>
    <n v="2"/>
    <n v="1"/>
    <n v="2"/>
    <x v="0"/>
    <n v="0.47908124645836453"/>
  </r>
  <r>
    <x v="0"/>
    <x v="0"/>
    <x v="1"/>
    <x v="2"/>
    <x v="0"/>
    <x v="0"/>
    <x v="0"/>
    <x v="1"/>
    <x v="1"/>
    <x v="7"/>
    <n v="3"/>
    <n v="3"/>
    <n v="0"/>
    <n v="3"/>
    <x v="0"/>
    <n v="8.1833526001017565E-2"/>
  </r>
  <r>
    <x v="16"/>
    <x v="1"/>
    <x v="0"/>
    <x v="1"/>
    <x v="1"/>
    <x v="1"/>
    <x v="0"/>
    <x v="1"/>
    <x v="1"/>
    <x v="0"/>
    <n v="1"/>
    <n v="1"/>
    <n v="0"/>
    <m/>
    <x v="1"/>
    <n v="5.8234290043702328E-2"/>
  </r>
  <r>
    <x v="9"/>
    <x v="1"/>
    <x v="1"/>
    <x v="0"/>
    <x v="2"/>
    <x v="0"/>
    <x v="0"/>
    <x v="1"/>
    <x v="2"/>
    <x v="9"/>
    <n v="3"/>
    <n v="3"/>
    <n v="0"/>
    <n v="3"/>
    <x v="0"/>
    <n v="0.41712285720746167"/>
  </r>
  <r>
    <x v="4"/>
    <x v="1"/>
    <x v="0"/>
    <x v="0"/>
    <x v="3"/>
    <x v="0"/>
    <x v="1"/>
    <x v="1"/>
    <x v="2"/>
    <x v="9"/>
    <n v="1"/>
    <n v="1"/>
    <n v="0"/>
    <m/>
    <x v="1"/>
    <n v="0.12970168387961117"/>
  </r>
  <r>
    <x v="9"/>
    <x v="0"/>
    <x v="1"/>
    <x v="1"/>
    <x v="2"/>
    <x v="0"/>
    <x v="1"/>
    <x v="1"/>
    <x v="0"/>
    <x v="6"/>
    <n v="1"/>
    <n v="1"/>
    <n v="0"/>
    <n v="1"/>
    <x v="0"/>
    <n v="1.0159072239262455E-2"/>
  </r>
  <r>
    <x v="12"/>
    <x v="0"/>
    <x v="0"/>
    <x v="2"/>
    <x v="3"/>
    <x v="1"/>
    <x v="0"/>
    <x v="1"/>
    <x v="2"/>
    <x v="9"/>
    <n v="1"/>
    <n v="2"/>
    <n v="0"/>
    <m/>
    <x v="1"/>
    <n v="0.70082915315798311"/>
  </r>
  <r>
    <x v="3"/>
    <x v="1"/>
    <x v="0"/>
    <x v="2"/>
    <x v="0"/>
    <x v="0"/>
    <x v="1"/>
    <x v="1"/>
    <x v="1"/>
    <x v="7"/>
    <n v="1"/>
    <n v="1"/>
    <n v="0"/>
    <m/>
    <x v="1"/>
    <n v="2.8073075056070349E-2"/>
  </r>
  <r>
    <x v="2"/>
    <x v="0"/>
    <x v="0"/>
    <x v="1"/>
    <x v="0"/>
    <x v="0"/>
    <x v="1"/>
    <x v="1"/>
    <x v="0"/>
    <x v="6"/>
    <n v="1"/>
    <n v="1"/>
    <n v="0"/>
    <m/>
    <x v="1"/>
    <n v="9.9703130635719027E-3"/>
  </r>
  <r>
    <x v="1"/>
    <x v="1"/>
    <x v="1"/>
    <x v="0"/>
    <x v="2"/>
    <x v="0"/>
    <x v="0"/>
    <x v="1"/>
    <x v="1"/>
    <x v="0"/>
    <n v="3"/>
    <n v="3"/>
    <n v="0"/>
    <n v="2"/>
    <x v="0"/>
    <n v="0.13547680784598942"/>
  </r>
  <r>
    <x v="11"/>
    <x v="0"/>
    <x v="1"/>
    <x v="0"/>
    <x v="2"/>
    <x v="1"/>
    <x v="1"/>
    <x v="1"/>
    <x v="2"/>
    <x v="8"/>
    <n v="1"/>
    <n v="1"/>
    <n v="0"/>
    <m/>
    <x v="1"/>
    <n v="9.0468526032261742E-2"/>
  </r>
  <r>
    <x v="3"/>
    <x v="1"/>
    <x v="1"/>
    <x v="0"/>
    <x v="0"/>
    <x v="0"/>
    <x v="0"/>
    <x v="1"/>
    <x v="0"/>
    <x v="0"/>
    <n v="2"/>
    <n v="2"/>
    <n v="0"/>
    <m/>
    <x v="1"/>
    <n v="9.3431052185651564E-2"/>
  </r>
  <r>
    <x v="13"/>
    <x v="0"/>
    <x v="1"/>
    <x v="2"/>
    <x v="0"/>
    <x v="1"/>
    <x v="0"/>
    <x v="0"/>
    <x v="0"/>
    <x v="1"/>
    <n v="1"/>
    <n v="1"/>
    <n v="0"/>
    <m/>
    <x v="1"/>
    <n v="7.7425317298704582E-2"/>
  </r>
  <r>
    <x v="9"/>
    <x v="1"/>
    <x v="0"/>
    <x v="2"/>
    <x v="0"/>
    <x v="1"/>
    <x v="0"/>
    <x v="0"/>
    <x v="1"/>
    <x v="8"/>
    <n v="1"/>
    <n v="2"/>
    <n v="0"/>
    <n v="1"/>
    <x v="0"/>
    <n v="0.21454080743188383"/>
  </r>
  <r>
    <x v="8"/>
    <x v="1"/>
    <x v="0"/>
    <x v="1"/>
    <x v="2"/>
    <x v="0"/>
    <x v="0"/>
    <x v="1"/>
    <x v="1"/>
    <x v="7"/>
    <n v="1"/>
    <n v="1"/>
    <n v="0"/>
    <m/>
    <x v="1"/>
    <n v="3.012375921220177E-2"/>
  </r>
  <r>
    <x v="5"/>
    <x v="0"/>
    <x v="1"/>
    <x v="0"/>
    <x v="0"/>
    <x v="1"/>
    <x v="1"/>
    <x v="0"/>
    <x v="1"/>
    <x v="5"/>
    <n v="1"/>
    <n v="2"/>
    <n v="0"/>
    <n v="1"/>
    <x v="0"/>
    <n v="3.892864843052074E-2"/>
  </r>
  <r>
    <x v="16"/>
    <x v="0"/>
    <x v="1"/>
    <x v="1"/>
    <x v="2"/>
    <x v="0"/>
    <x v="1"/>
    <x v="1"/>
    <x v="2"/>
    <x v="7"/>
    <n v="1"/>
    <n v="1"/>
    <n v="0"/>
    <m/>
    <x v="1"/>
    <n v="2.2529806175554733E-2"/>
  </r>
  <r>
    <x v="1"/>
    <x v="1"/>
    <x v="0"/>
    <x v="1"/>
    <x v="1"/>
    <x v="1"/>
    <x v="0"/>
    <x v="1"/>
    <x v="2"/>
    <x v="9"/>
    <n v="1"/>
    <n v="1"/>
    <n v="0"/>
    <n v="1"/>
    <x v="0"/>
    <n v="0.17433593735276651"/>
  </r>
  <r>
    <x v="1"/>
    <x v="0"/>
    <x v="0"/>
    <x v="2"/>
    <x v="2"/>
    <x v="0"/>
    <x v="0"/>
    <x v="0"/>
    <x v="2"/>
    <x v="9"/>
    <n v="1"/>
    <n v="1"/>
    <n v="0"/>
    <n v="1"/>
    <x v="0"/>
    <n v="0.1682793086942907"/>
  </r>
  <r>
    <x v="5"/>
    <x v="1"/>
    <x v="1"/>
    <x v="0"/>
    <x v="2"/>
    <x v="1"/>
    <x v="0"/>
    <x v="1"/>
    <x v="2"/>
    <x v="9"/>
    <n v="1"/>
    <n v="1"/>
    <n v="0"/>
    <n v="1"/>
    <x v="0"/>
    <n v="0.24119501983049757"/>
  </r>
  <r>
    <x v="11"/>
    <x v="1"/>
    <x v="0"/>
    <x v="0"/>
    <x v="0"/>
    <x v="1"/>
    <x v="0"/>
    <x v="1"/>
    <x v="1"/>
    <x v="1"/>
    <n v="1"/>
    <n v="1"/>
    <n v="0"/>
    <m/>
    <x v="1"/>
    <n v="8.3695532436182302E-2"/>
  </r>
  <r>
    <x v="20"/>
    <x v="1"/>
    <x v="0"/>
    <x v="1"/>
    <x v="1"/>
    <x v="0"/>
    <x v="0"/>
    <x v="1"/>
    <x v="0"/>
    <x v="0"/>
    <n v="1"/>
    <n v="1"/>
    <n v="0"/>
    <n v="1"/>
    <x v="0"/>
    <n v="4.5590572395740707E-2"/>
  </r>
  <r>
    <x v="22"/>
    <x v="1"/>
    <x v="0"/>
    <x v="0"/>
    <x v="3"/>
    <x v="1"/>
    <x v="1"/>
    <x v="1"/>
    <x v="0"/>
    <x v="8"/>
    <n v="1"/>
    <n v="1"/>
    <n v="0"/>
    <n v="1"/>
    <x v="0"/>
    <n v="0.11552492690011482"/>
  </r>
  <r>
    <x v="9"/>
    <x v="0"/>
    <x v="0"/>
    <x v="1"/>
    <x v="0"/>
    <x v="1"/>
    <x v="1"/>
    <x v="1"/>
    <x v="1"/>
    <x v="6"/>
    <n v="1"/>
    <n v="1"/>
    <n v="0"/>
    <n v="1"/>
    <x v="0"/>
    <n v="1.2868595029812536E-2"/>
  </r>
  <r>
    <x v="9"/>
    <x v="1"/>
    <x v="0"/>
    <x v="0"/>
    <x v="0"/>
    <x v="1"/>
    <x v="0"/>
    <x v="0"/>
    <x v="2"/>
    <x v="9"/>
    <n v="1"/>
    <n v="2"/>
    <n v="0"/>
    <n v="1"/>
    <x v="0"/>
    <n v="0.47548915672805464"/>
  </r>
  <r>
    <x v="2"/>
    <x v="0"/>
    <x v="1"/>
    <x v="0"/>
    <x v="2"/>
    <x v="0"/>
    <x v="0"/>
    <x v="0"/>
    <x v="2"/>
    <x v="8"/>
    <n v="2"/>
    <n v="2"/>
    <n v="0"/>
    <m/>
    <x v="1"/>
    <n v="0.19301139789125732"/>
  </r>
  <r>
    <x v="5"/>
    <x v="0"/>
    <x v="0"/>
    <x v="0"/>
    <x v="3"/>
    <x v="0"/>
    <x v="0"/>
    <x v="1"/>
    <x v="0"/>
    <x v="8"/>
    <n v="1"/>
    <n v="1"/>
    <n v="0"/>
    <n v="1"/>
    <x v="0"/>
    <n v="8.4893923858991527E-2"/>
  </r>
  <r>
    <x v="9"/>
    <x v="1"/>
    <x v="0"/>
    <x v="0"/>
    <x v="0"/>
    <x v="1"/>
    <x v="0"/>
    <x v="1"/>
    <x v="0"/>
    <x v="8"/>
    <n v="1"/>
    <n v="1"/>
    <n v="0"/>
    <n v="1"/>
    <x v="0"/>
    <n v="0.12194562411528299"/>
  </r>
  <r>
    <x v="6"/>
    <x v="0"/>
    <x v="1"/>
    <x v="0"/>
    <x v="2"/>
    <x v="0"/>
    <x v="1"/>
    <x v="1"/>
    <x v="2"/>
    <x v="0"/>
    <n v="1"/>
    <n v="3"/>
    <n v="0"/>
    <m/>
    <x v="1"/>
    <n v="0.14431521664909075"/>
  </r>
  <r>
    <x v="7"/>
    <x v="1"/>
    <x v="0"/>
    <x v="1"/>
    <x v="3"/>
    <x v="1"/>
    <x v="0"/>
    <x v="1"/>
    <x v="2"/>
    <x v="9"/>
    <n v="1"/>
    <n v="1"/>
    <n v="0"/>
    <m/>
    <x v="1"/>
    <n v="0.22043695258754784"/>
  </r>
  <r>
    <x v="12"/>
    <x v="0"/>
    <x v="0"/>
    <x v="0"/>
    <x v="2"/>
    <x v="1"/>
    <x v="0"/>
    <x v="0"/>
    <x v="2"/>
    <x v="9"/>
    <n v="1"/>
    <n v="1"/>
    <n v="1"/>
    <m/>
    <x v="1"/>
    <n v="0.23237226266969685"/>
  </r>
  <r>
    <x v="18"/>
    <x v="1"/>
    <x v="0"/>
    <x v="0"/>
    <x v="2"/>
    <x v="0"/>
    <x v="0"/>
    <x v="0"/>
    <x v="2"/>
    <x v="9"/>
    <n v="1"/>
    <n v="1"/>
    <n v="0"/>
    <m/>
    <x v="1"/>
    <n v="0.18866403843496365"/>
  </r>
  <r>
    <x v="15"/>
    <x v="0"/>
    <x v="1"/>
    <x v="0"/>
    <x v="3"/>
    <x v="1"/>
    <x v="1"/>
    <x v="1"/>
    <x v="1"/>
    <x v="4"/>
    <n v="1"/>
    <n v="1"/>
    <n v="0"/>
    <n v="1"/>
    <x v="0"/>
    <n v="3.796116348571927E-2"/>
  </r>
  <r>
    <x v="21"/>
    <x v="0"/>
    <x v="0"/>
    <x v="0"/>
    <x v="3"/>
    <x v="1"/>
    <x v="0"/>
    <x v="0"/>
    <x v="2"/>
    <x v="9"/>
    <n v="2"/>
    <n v="4"/>
    <n v="0"/>
    <m/>
    <x v="1"/>
    <n v="1.163243134171414"/>
  </r>
  <r>
    <x v="20"/>
    <x v="0"/>
    <x v="1"/>
    <x v="1"/>
    <x v="1"/>
    <x v="0"/>
    <x v="0"/>
    <x v="1"/>
    <x v="0"/>
    <x v="5"/>
    <n v="3"/>
    <n v="3"/>
    <n v="0"/>
    <n v="3"/>
    <x v="0"/>
    <n v="6.4413130023151369E-2"/>
  </r>
  <r>
    <x v="1"/>
    <x v="1"/>
    <x v="1"/>
    <x v="1"/>
    <x v="1"/>
    <x v="1"/>
    <x v="0"/>
    <x v="1"/>
    <x v="1"/>
    <x v="4"/>
    <n v="1"/>
    <n v="1"/>
    <n v="0"/>
    <n v="1"/>
    <x v="0"/>
    <n v="4.1176226521704343E-2"/>
  </r>
  <r>
    <x v="5"/>
    <x v="1"/>
    <x v="0"/>
    <x v="1"/>
    <x v="3"/>
    <x v="0"/>
    <x v="1"/>
    <x v="1"/>
    <x v="1"/>
    <x v="5"/>
    <n v="1"/>
    <n v="1"/>
    <n v="0"/>
    <n v="1"/>
    <x v="0"/>
    <n v="1.9517393207062139E-2"/>
  </r>
  <r>
    <x v="7"/>
    <x v="0"/>
    <x v="1"/>
    <x v="1"/>
    <x v="1"/>
    <x v="1"/>
    <x v="0"/>
    <x v="1"/>
    <x v="0"/>
    <x v="4"/>
    <n v="1"/>
    <n v="1"/>
    <n v="0"/>
    <m/>
    <x v="1"/>
    <n v="4.1399495065687533E-2"/>
  </r>
  <r>
    <x v="17"/>
    <x v="1"/>
    <x v="0"/>
    <x v="0"/>
    <x v="2"/>
    <x v="1"/>
    <x v="0"/>
    <x v="1"/>
    <x v="0"/>
    <x v="9"/>
    <n v="1"/>
    <n v="1"/>
    <n v="0"/>
    <n v="1"/>
    <x v="0"/>
    <n v="0.1692962067399281"/>
  </r>
  <r>
    <x v="16"/>
    <x v="1"/>
    <x v="1"/>
    <x v="1"/>
    <x v="3"/>
    <x v="1"/>
    <x v="0"/>
    <x v="1"/>
    <x v="0"/>
    <x v="1"/>
    <n v="1"/>
    <n v="1"/>
    <n v="0"/>
    <m/>
    <x v="1"/>
    <n v="8.0414066007832852E-2"/>
  </r>
  <r>
    <x v="9"/>
    <x v="1"/>
    <x v="1"/>
    <x v="2"/>
    <x v="1"/>
    <x v="0"/>
    <x v="0"/>
    <x v="1"/>
    <x v="2"/>
    <x v="9"/>
    <n v="3"/>
    <n v="3"/>
    <n v="0"/>
    <n v="3"/>
    <x v="0"/>
    <n v="0.53064735639543148"/>
  </r>
  <r>
    <x v="1"/>
    <x v="1"/>
    <x v="0"/>
    <x v="1"/>
    <x v="1"/>
    <x v="0"/>
    <x v="0"/>
    <x v="1"/>
    <x v="0"/>
    <x v="0"/>
    <n v="2"/>
    <n v="2"/>
    <n v="0"/>
    <n v="2"/>
    <x v="0"/>
    <n v="9.1181144791481414E-2"/>
  </r>
  <r>
    <x v="5"/>
    <x v="0"/>
    <x v="0"/>
    <x v="1"/>
    <x v="0"/>
    <x v="0"/>
    <x v="1"/>
    <x v="1"/>
    <x v="0"/>
    <x v="6"/>
    <n v="1"/>
    <n v="1"/>
    <n v="0"/>
    <n v="0"/>
    <x v="0"/>
    <n v="9.9703130635719027E-3"/>
  </r>
  <r>
    <x v="9"/>
    <x v="1"/>
    <x v="0"/>
    <x v="2"/>
    <x v="3"/>
    <x v="1"/>
    <x v="0"/>
    <x v="0"/>
    <x v="2"/>
    <x v="9"/>
    <n v="1"/>
    <n v="2"/>
    <n v="0"/>
    <n v="1"/>
    <x v="0"/>
    <n v="0.89843734259705377"/>
  </r>
  <r>
    <x v="14"/>
    <x v="1"/>
    <x v="0"/>
    <x v="0"/>
    <x v="0"/>
    <x v="0"/>
    <x v="1"/>
    <x v="0"/>
    <x v="2"/>
    <x v="1"/>
    <n v="3"/>
    <n v="4"/>
    <n v="0"/>
    <m/>
    <x v="1"/>
    <n v="0.27897726641771564"/>
  </r>
  <r>
    <x v="4"/>
    <x v="0"/>
    <x v="1"/>
    <x v="0"/>
    <x v="2"/>
    <x v="0"/>
    <x v="0"/>
    <x v="1"/>
    <x v="0"/>
    <x v="0"/>
    <n v="3"/>
    <n v="3"/>
    <n v="0"/>
    <m/>
    <x v="1"/>
    <n v="0.13620833165203847"/>
  </r>
  <r>
    <x v="20"/>
    <x v="0"/>
    <x v="0"/>
    <x v="1"/>
    <x v="2"/>
    <x v="1"/>
    <x v="0"/>
    <x v="1"/>
    <x v="1"/>
    <x v="4"/>
    <n v="1"/>
    <n v="2"/>
    <n v="0"/>
    <n v="1"/>
    <x v="0"/>
    <n v="7.7723772083177017E-2"/>
  </r>
  <r>
    <x v="8"/>
    <x v="0"/>
    <x v="1"/>
    <x v="1"/>
    <x v="2"/>
    <x v="0"/>
    <x v="1"/>
    <x v="1"/>
    <x v="1"/>
    <x v="6"/>
    <n v="1"/>
    <n v="1"/>
    <n v="0"/>
    <m/>
    <x v="1"/>
    <n v="6.7047818131641948E-3"/>
  </r>
  <r>
    <x v="5"/>
    <x v="0"/>
    <x v="1"/>
    <x v="2"/>
    <x v="0"/>
    <x v="0"/>
    <x v="0"/>
    <x v="1"/>
    <x v="2"/>
    <x v="8"/>
    <n v="1"/>
    <n v="1"/>
    <n v="0"/>
    <n v="1"/>
    <x v="0"/>
    <n v="8.7388588178664475E-2"/>
  </r>
  <r>
    <x v="8"/>
    <x v="0"/>
    <x v="0"/>
    <x v="1"/>
    <x v="2"/>
    <x v="0"/>
    <x v="1"/>
    <x v="1"/>
    <x v="2"/>
    <x v="4"/>
    <n v="2"/>
    <n v="2"/>
    <n v="0"/>
    <m/>
    <x v="1"/>
    <n v="6.4244019136035085E-2"/>
  </r>
  <r>
    <x v="8"/>
    <x v="0"/>
    <x v="1"/>
    <x v="2"/>
    <x v="2"/>
    <x v="1"/>
    <x v="0"/>
    <x v="1"/>
    <x v="0"/>
    <x v="8"/>
    <n v="1"/>
    <n v="1"/>
    <n v="0"/>
    <m/>
    <x v="1"/>
    <n v="0.10964771003463976"/>
  </r>
  <r>
    <x v="18"/>
    <x v="1"/>
    <x v="0"/>
    <x v="0"/>
    <x v="0"/>
    <x v="0"/>
    <x v="1"/>
    <x v="1"/>
    <x v="2"/>
    <x v="1"/>
    <n v="1"/>
    <n v="1"/>
    <n v="0"/>
    <m/>
    <x v="1"/>
    <n v="6.974431660442891E-2"/>
  </r>
  <r>
    <x v="15"/>
    <x v="0"/>
    <x v="0"/>
    <x v="0"/>
    <x v="2"/>
    <x v="1"/>
    <x v="0"/>
    <x v="0"/>
    <x v="2"/>
    <x v="9"/>
    <n v="1"/>
    <n v="1"/>
    <n v="0"/>
    <n v="1"/>
    <x v="0"/>
    <n v="0.23237226266969685"/>
  </r>
  <r>
    <x v="19"/>
    <x v="1"/>
    <x v="0"/>
    <x v="2"/>
    <x v="2"/>
    <x v="1"/>
    <x v="0"/>
    <x v="1"/>
    <x v="1"/>
    <x v="9"/>
    <n v="1"/>
    <n v="2"/>
    <n v="0"/>
    <m/>
    <x v="1"/>
    <n v="0.29979095700764463"/>
  </r>
  <r>
    <x v="12"/>
    <x v="1"/>
    <x v="0"/>
    <x v="1"/>
    <x v="2"/>
    <x v="0"/>
    <x v="0"/>
    <x v="1"/>
    <x v="2"/>
    <x v="8"/>
    <n v="1"/>
    <n v="1"/>
    <n v="0"/>
    <m/>
    <x v="1"/>
    <n v="9.5887690107650039E-2"/>
  </r>
  <r>
    <x v="5"/>
    <x v="1"/>
    <x v="1"/>
    <x v="0"/>
    <x v="0"/>
    <x v="1"/>
    <x v="0"/>
    <x v="1"/>
    <x v="0"/>
    <x v="8"/>
    <n v="1"/>
    <n v="1"/>
    <n v="0"/>
    <n v="1"/>
    <x v="0"/>
    <n v="8.7968370705737417E-2"/>
  </r>
  <r>
    <x v="22"/>
    <x v="1"/>
    <x v="0"/>
    <x v="1"/>
    <x v="1"/>
    <x v="0"/>
    <x v="0"/>
    <x v="1"/>
    <x v="2"/>
    <x v="8"/>
    <n v="1"/>
    <n v="1"/>
    <n v="0"/>
    <n v="1"/>
    <x v="0"/>
    <n v="9.6883413810830737E-2"/>
  </r>
  <r>
    <x v="0"/>
    <x v="1"/>
    <x v="0"/>
    <x v="2"/>
    <x v="2"/>
    <x v="0"/>
    <x v="0"/>
    <x v="0"/>
    <x v="2"/>
    <x v="9"/>
    <n v="2"/>
    <n v="2"/>
    <n v="0"/>
    <n v="2"/>
    <x v="0"/>
    <n v="0.4684944786219789"/>
  </r>
  <r>
    <x v="14"/>
    <x v="0"/>
    <x v="0"/>
    <x v="0"/>
    <x v="2"/>
    <x v="1"/>
    <x v="1"/>
    <x v="0"/>
    <x v="0"/>
    <x v="3"/>
    <n v="1"/>
    <n v="1"/>
    <n v="0"/>
    <m/>
    <x v="1"/>
    <n v="5.995057339817321E-2"/>
  </r>
  <r>
    <x v="18"/>
    <x v="1"/>
    <x v="1"/>
    <x v="2"/>
    <x v="1"/>
    <x v="0"/>
    <x v="0"/>
    <x v="1"/>
    <x v="2"/>
    <x v="9"/>
    <n v="1"/>
    <n v="1"/>
    <n v="0"/>
    <m/>
    <x v="1"/>
    <n v="0.17688245213181047"/>
  </r>
  <r>
    <x v="2"/>
    <x v="0"/>
    <x v="0"/>
    <x v="1"/>
    <x v="3"/>
    <x v="1"/>
    <x v="0"/>
    <x v="1"/>
    <x v="0"/>
    <x v="1"/>
    <n v="2"/>
    <n v="2"/>
    <n v="0"/>
    <m/>
    <x v="1"/>
    <n v="0.15375344795941501"/>
  </r>
  <r>
    <x v="0"/>
    <x v="0"/>
    <x v="0"/>
    <x v="2"/>
    <x v="3"/>
    <x v="1"/>
    <x v="0"/>
    <x v="1"/>
    <x v="2"/>
    <x v="9"/>
    <n v="2"/>
    <n v="2"/>
    <n v="1"/>
    <n v="2"/>
    <x v="0"/>
    <n v="0.70082915315798311"/>
  </r>
  <r>
    <x v="12"/>
    <x v="0"/>
    <x v="1"/>
    <x v="1"/>
    <x v="2"/>
    <x v="1"/>
    <x v="0"/>
    <x v="0"/>
    <x v="0"/>
    <x v="4"/>
    <n v="1"/>
    <n v="1"/>
    <n v="0"/>
    <m/>
    <x v="1"/>
    <n v="4.0948154717703626E-2"/>
  </r>
  <r>
    <x v="4"/>
    <x v="1"/>
    <x v="0"/>
    <x v="0"/>
    <x v="0"/>
    <x v="0"/>
    <x v="1"/>
    <x v="1"/>
    <x v="0"/>
    <x v="4"/>
    <n v="4"/>
    <n v="4"/>
    <n v="0"/>
    <m/>
    <x v="1"/>
    <n v="0.12922286553462359"/>
  </r>
  <r>
    <x v="4"/>
    <x v="1"/>
    <x v="0"/>
    <x v="2"/>
    <x v="2"/>
    <x v="1"/>
    <x v="0"/>
    <x v="1"/>
    <x v="0"/>
    <x v="9"/>
    <n v="1"/>
    <n v="1"/>
    <n v="0"/>
    <m/>
    <x v="1"/>
    <n v="0.21141932175066067"/>
  </r>
  <r>
    <x v="18"/>
    <x v="1"/>
    <x v="0"/>
    <x v="0"/>
    <x v="0"/>
    <x v="0"/>
    <x v="1"/>
    <x v="1"/>
    <x v="0"/>
    <x v="4"/>
    <n v="2"/>
    <n v="2"/>
    <n v="0"/>
    <m/>
    <x v="1"/>
    <n v="6.4611432767311794E-2"/>
  </r>
  <r>
    <x v="3"/>
    <x v="0"/>
    <x v="1"/>
    <x v="0"/>
    <x v="2"/>
    <x v="0"/>
    <x v="1"/>
    <x v="1"/>
    <x v="1"/>
    <x v="5"/>
    <n v="1"/>
    <n v="1"/>
    <n v="0"/>
    <m/>
    <x v="1"/>
    <n v="1.458390684269004E-2"/>
  </r>
  <r>
    <x v="10"/>
    <x v="1"/>
    <x v="1"/>
    <x v="0"/>
    <x v="2"/>
    <x v="0"/>
    <x v="0"/>
    <x v="1"/>
    <x v="0"/>
    <x v="1"/>
    <n v="1"/>
    <n v="1"/>
    <n v="0"/>
    <m/>
    <x v="1"/>
    <n v="6.7086671775585666E-2"/>
  </r>
  <r>
    <x v="18"/>
    <x v="0"/>
    <x v="0"/>
    <x v="0"/>
    <x v="0"/>
    <x v="1"/>
    <x v="0"/>
    <x v="0"/>
    <x v="1"/>
    <x v="0"/>
    <n v="2"/>
    <n v="2"/>
    <n v="0"/>
    <m/>
    <x v="1"/>
    <n v="0.11394224284163047"/>
  </r>
  <r>
    <x v="8"/>
    <x v="0"/>
    <x v="1"/>
    <x v="1"/>
    <x v="3"/>
    <x v="1"/>
    <x v="1"/>
    <x v="1"/>
    <x v="1"/>
    <x v="5"/>
    <n v="1"/>
    <n v="1"/>
    <n v="0"/>
    <m/>
    <x v="1"/>
    <n v="1.7678788746375976E-2"/>
  </r>
  <r>
    <x v="10"/>
    <x v="1"/>
    <x v="0"/>
    <x v="0"/>
    <x v="2"/>
    <x v="0"/>
    <x v="1"/>
    <x v="1"/>
    <x v="0"/>
    <x v="0"/>
    <n v="2"/>
    <n v="3"/>
    <n v="0"/>
    <m/>
    <x v="1"/>
    <n v="0.14010311759983418"/>
  </r>
  <r>
    <x v="10"/>
    <x v="0"/>
    <x v="1"/>
    <x v="0"/>
    <x v="1"/>
    <x v="1"/>
    <x v="0"/>
    <x v="1"/>
    <x v="0"/>
    <x v="8"/>
    <n v="2"/>
    <n v="4"/>
    <n v="0"/>
    <m/>
    <x v="1"/>
    <n v="0.34599837055808658"/>
  </r>
  <r>
    <x v="7"/>
    <x v="1"/>
    <x v="1"/>
    <x v="0"/>
    <x v="0"/>
    <x v="0"/>
    <x v="1"/>
    <x v="1"/>
    <x v="0"/>
    <x v="7"/>
    <n v="1"/>
    <n v="2"/>
    <n v="0"/>
    <m/>
    <x v="1"/>
    <n v="4.5319878411547367E-2"/>
  </r>
  <r>
    <x v="17"/>
    <x v="0"/>
    <x v="0"/>
    <x v="2"/>
    <x v="2"/>
    <x v="0"/>
    <x v="0"/>
    <x v="0"/>
    <x v="2"/>
    <x v="9"/>
    <n v="2"/>
    <n v="2"/>
    <n v="0"/>
    <n v="2"/>
    <x v="0"/>
    <n v="0.33655861738858139"/>
  </r>
  <r>
    <x v="9"/>
    <x v="1"/>
    <x v="0"/>
    <x v="2"/>
    <x v="2"/>
    <x v="0"/>
    <x v="1"/>
    <x v="1"/>
    <x v="0"/>
    <x v="3"/>
    <n v="1"/>
    <n v="1"/>
    <n v="0"/>
    <n v="1"/>
    <x v="0"/>
    <n v="6.0544035202992515E-2"/>
  </r>
  <r>
    <x v="0"/>
    <x v="0"/>
    <x v="0"/>
    <x v="0"/>
    <x v="3"/>
    <x v="1"/>
    <x v="1"/>
    <x v="1"/>
    <x v="1"/>
    <x v="0"/>
    <n v="1"/>
    <n v="1"/>
    <n v="0"/>
    <n v="1"/>
    <x v="0"/>
    <n v="5.3762004632525763E-2"/>
  </r>
  <r>
    <x v="19"/>
    <x v="1"/>
    <x v="0"/>
    <x v="0"/>
    <x v="2"/>
    <x v="0"/>
    <x v="1"/>
    <x v="1"/>
    <x v="1"/>
    <x v="4"/>
    <n v="1"/>
    <n v="2"/>
    <n v="0"/>
    <m/>
    <x v="1"/>
    <n v="6.2427097124693152E-2"/>
  </r>
  <r>
    <x v="14"/>
    <x v="0"/>
    <x v="0"/>
    <x v="2"/>
    <x v="0"/>
    <x v="0"/>
    <x v="0"/>
    <x v="0"/>
    <x v="2"/>
    <x v="8"/>
    <n v="2"/>
    <n v="2"/>
    <n v="0"/>
    <m/>
    <x v="1"/>
    <n v="0.2423433124072577"/>
  </r>
  <r>
    <x v="4"/>
    <x v="1"/>
    <x v="0"/>
    <x v="0"/>
    <x v="3"/>
    <x v="1"/>
    <x v="0"/>
    <x v="0"/>
    <x v="0"/>
    <x v="9"/>
    <n v="1"/>
    <n v="1"/>
    <n v="0"/>
    <m/>
    <x v="1"/>
    <n v="0.21634259353047053"/>
  </r>
  <r>
    <x v="7"/>
    <x v="0"/>
    <x v="1"/>
    <x v="1"/>
    <x v="1"/>
    <x v="1"/>
    <x v="0"/>
    <x v="1"/>
    <x v="1"/>
    <x v="7"/>
    <n v="3"/>
    <n v="3"/>
    <n v="0"/>
    <m/>
    <x v="1"/>
    <n v="8.2857661993138126E-2"/>
  </r>
  <r>
    <x v="0"/>
    <x v="1"/>
    <x v="1"/>
    <x v="0"/>
    <x v="2"/>
    <x v="0"/>
    <x v="0"/>
    <x v="1"/>
    <x v="2"/>
    <x v="9"/>
    <n v="2"/>
    <n v="2"/>
    <n v="0"/>
    <n v="2"/>
    <x v="0"/>
    <n v="0.27808190480497447"/>
  </r>
  <r>
    <x v="2"/>
    <x v="0"/>
    <x v="0"/>
    <x v="1"/>
    <x v="1"/>
    <x v="1"/>
    <x v="0"/>
    <x v="1"/>
    <x v="2"/>
    <x v="8"/>
    <n v="1"/>
    <n v="3"/>
    <n v="0"/>
    <m/>
    <x v="1"/>
    <n v="0.36762021842103426"/>
  </r>
  <r>
    <x v="20"/>
    <x v="0"/>
    <x v="1"/>
    <x v="1"/>
    <x v="3"/>
    <x v="1"/>
    <x v="0"/>
    <x v="1"/>
    <x v="0"/>
    <x v="0"/>
    <n v="1"/>
    <n v="1"/>
    <n v="0"/>
    <n v="1"/>
    <x v="0"/>
    <n v="5.4674923517691404E-2"/>
  </r>
  <r>
    <x v="19"/>
    <x v="0"/>
    <x v="1"/>
    <x v="2"/>
    <x v="2"/>
    <x v="1"/>
    <x v="0"/>
    <x v="0"/>
    <x v="0"/>
    <x v="8"/>
    <n v="1"/>
    <n v="1"/>
    <n v="0"/>
    <m/>
    <x v="1"/>
    <n v="0.10964771003463976"/>
  </r>
  <r>
    <x v="16"/>
    <x v="0"/>
    <x v="0"/>
    <x v="1"/>
    <x v="3"/>
    <x v="1"/>
    <x v="0"/>
    <x v="1"/>
    <x v="0"/>
    <x v="1"/>
    <n v="1"/>
    <n v="1"/>
    <n v="0"/>
    <m/>
    <x v="1"/>
    <n v="7.6876723979707504E-2"/>
  </r>
  <r>
    <x v="4"/>
    <x v="1"/>
    <x v="1"/>
    <x v="0"/>
    <x v="2"/>
    <x v="0"/>
    <x v="0"/>
    <x v="1"/>
    <x v="2"/>
    <x v="9"/>
    <n v="2"/>
    <n v="4"/>
    <n v="0"/>
    <m/>
    <x v="1"/>
    <n v="0.55616380960994893"/>
  </r>
  <r>
    <x v="0"/>
    <x v="0"/>
    <x v="0"/>
    <x v="2"/>
    <x v="2"/>
    <x v="0"/>
    <x v="0"/>
    <x v="0"/>
    <x v="2"/>
    <x v="9"/>
    <n v="2"/>
    <n v="2"/>
    <n v="0"/>
    <n v="2"/>
    <x v="0"/>
    <n v="0.33655861738858139"/>
  </r>
  <r>
    <x v="9"/>
    <x v="1"/>
    <x v="0"/>
    <x v="0"/>
    <x v="2"/>
    <x v="1"/>
    <x v="1"/>
    <x v="1"/>
    <x v="0"/>
    <x v="8"/>
    <n v="1"/>
    <n v="1"/>
    <n v="0"/>
    <n v="1"/>
    <x v="0"/>
    <n v="8.7942271111143028E-2"/>
  </r>
  <r>
    <x v="12"/>
    <x v="0"/>
    <x v="0"/>
    <x v="2"/>
    <x v="3"/>
    <x v="1"/>
    <x v="1"/>
    <x v="1"/>
    <x v="1"/>
    <x v="1"/>
    <n v="1"/>
    <n v="1"/>
    <n v="0"/>
    <m/>
    <x v="1"/>
    <n v="6.9545304453454915E-2"/>
  </r>
  <r>
    <x v="7"/>
    <x v="0"/>
    <x v="1"/>
    <x v="1"/>
    <x v="0"/>
    <x v="0"/>
    <x v="0"/>
    <x v="0"/>
    <x v="0"/>
    <x v="5"/>
    <n v="2"/>
    <n v="2"/>
    <n v="0"/>
    <m/>
    <x v="1"/>
    <n v="2.9134997104772652E-2"/>
  </r>
  <r>
    <x v="12"/>
    <x v="0"/>
    <x v="0"/>
    <x v="1"/>
    <x v="3"/>
    <x v="0"/>
    <x v="0"/>
    <x v="0"/>
    <x v="2"/>
    <x v="8"/>
    <n v="1"/>
    <n v="1"/>
    <n v="0"/>
    <m/>
    <x v="1"/>
    <n v="8.6776040583617209E-2"/>
  </r>
  <r>
    <x v="21"/>
    <x v="1"/>
    <x v="1"/>
    <x v="0"/>
    <x v="2"/>
    <x v="0"/>
    <x v="0"/>
    <x v="0"/>
    <x v="0"/>
    <x v="1"/>
    <n v="1"/>
    <n v="3"/>
    <n v="0"/>
    <m/>
    <x v="1"/>
    <n v="0.20126001532675697"/>
  </r>
  <r>
    <x v="10"/>
    <x v="0"/>
    <x v="0"/>
    <x v="2"/>
    <x v="2"/>
    <x v="1"/>
    <x v="0"/>
    <x v="1"/>
    <x v="0"/>
    <x v="9"/>
    <n v="1"/>
    <n v="2"/>
    <n v="0"/>
    <m/>
    <x v="1"/>
    <n v="0.30123130066825354"/>
  </r>
  <r>
    <x v="12"/>
    <x v="0"/>
    <x v="1"/>
    <x v="0"/>
    <x v="2"/>
    <x v="0"/>
    <x v="1"/>
    <x v="1"/>
    <x v="1"/>
    <x v="5"/>
    <n v="1"/>
    <n v="1"/>
    <n v="0"/>
    <m/>
    <x v="1"/>
    <n v="1.458390684269004E-2"/>
  </r>
  <r>
    <x v="15"/>
    <x v="0"/>
    <x v="1"/>
    <x v="2"/>
    <x v="3"/>
    <x v="1"/>
    <x v="0"/>
    <x v="1"/>
    <x v="0"/>
    <x v="9"/>
    <n v="2"/>
    <n v="2"/>
    <n v="2"/>
    <n v="2"/>
    <x v="0"/>
    <n v="0.2859420024244132"/>
  </r>
  <r>
    <x v="21"/>
    <x v="0"/>
    <x v="0"/>
    <x v="1"/>
    <x v="2"/>
    <x v="1"/>
    <x v="1"/>
    <x v="1"/>
    <x v="1"/>
    <x v="5"/>
    <n v="1"/>
    <n v="2"/>
    <n v="0"/>
    <m/>
    <x v="1"/>
    <n v="3.7541606025736154E-2"/>
  </r>
  <r>
    <x v="21"/>
    <x v="1"/>
    <x v="0"/>
    <x v="2"/>
    <x v="3"/>
    <x v="0"/>
    <x v="0"/>
    <x v="0"/>
    <x v="2"/>
    <x v="9"/>
    <n v="1"/>
    <n v="1"/>
    <n v="0"/>
    <m/>
    <x v="1"/>
    <n v="0.2929773242473675"/>
  </r>
  <r>
    <x v="6"/>
    <x v="1"/>
    <x v="0"/>
    <x v="2"/>
    <x v="0"/>
    <x v="0"/>
    <x v="0"/>
    <x v="1"/>
    <x v="0"/>
    <x v="8"/>
    <n v="1"/>
    <n v="2"/>
    <n v="0"/>
    <m/>
    <x v="1"/>
    <n v="0.1698806119097156"/>
  </r>
  <r>
    <x v="9"/>
    <x v="0"/>
    <x v="0"/>
    <x v="2"/>
    <x v="3"/>
    <x v="1"/>
    <x v="0"/>
    <x v="1"/>
    <x v="0"/>
    <x v="9"/>
    <n v="1"/>
    <n v="1"/>
    <n v="1"/>
    <n v="1"/>
    <x v="0"/>
    <n v="0.19368117151349643"/>
  </r>
  <r>
    <x v="10"/>
    <x v="0"/>
    <x v="0"/>
    <x v="0"/>
    <x v="2"/>
    <x v="1"/>
    <x v="1"/>
    <x v="1"/>
    <x v="1"/>
    <x v="4"/>
    <n v="1"/>
    <n v="2"/>
    <n v="0"/>
    <m/>
    <x v="1"/>
    <n v="8.0509349356369539E-2"/>
  </r>
  <r>
    <x v="12"/>
    <x v="0"/>
    <x v="0"/>
    <x v="1"/>
    <x v="3"/>
    <x v="1"/>
    <x v="0"/>
    <x v="0"/>
    <x v="1"/>
    <x v="0"/>
    <n v="1"/>
    <n v="1"/>
    <n v="0"/>
    <m/>
    <x v="1"/>
    <n v="5.1927155946786922E-2"/>
  </r>
  <r>
    <x v="19"/>
    <x v="0"/>
    <x v="1"/>
    <x v="0"/>
    <x v="3"/>
    <x v="1"/>
    <x v="1"/>
    <x v="1"/>
    <x v="2"/>
    <x v="8"/>
    <n v="1"/>
    <n v="2"/>
    <n v="0"/>
    <m/>
    <x v="1"/>
    <n v="0.23748074756293885"/>
  </r>
  <r>
    <x v="3"/>
    <x v="1"/>
    <x v="1"/>
    <x v="0"/>
    <x v="3"/>
    <x v="1"/>
    <x v="0"/>
    <x v="0"/>
    <x v="0"/>
    <x v="9"/>
    <n v="1"/>
    <n v="1"/>
    <n v="0"/>
    <m/>
    <x v="1"/>
    <n v="0.16088299756810187"/>
  </r>
  <r>
    <x v="9"/>
    <x v="1"/>
    <x v="0"/>
    <x v="2"/>
    <x v="1"/>
    <x v="1"/>
    <x v="0"/>
    <x v="1"/>
    <x v="1"/>
    <x v="9"/>
    <n v="3"/>
    <n v="5"/>
    <n v="0"/>
    <n v="3"/>
    <x v="0"/>
    <n v="0.75679072226126198"/>
  </r>
  <r>
    <x v="5"/>
    <x v="1"/>
    <x v="1"/>
    <x v="0"/>
    <x v="2"/>
    <x v="0"/>
    <x v="0"/>
    <x v="0"/>
    <x v="1"/>
    <x v="0"/>
    <n v="1"/>
    <n v="1"/>
    <n v="0"/>
    <n v="1"/>
    <x v="0"/>
    <n v="4.5158935948663145E-2"/>
  </r>
  <r>
    <x v="21"/>
    <x v="1"/>
    <x v="1"/>
    <x v="0"/>
    <x v="3"/>
    <x v="1"/>
    <x v="1"/>
    <x v="1"/>
    <x v="0"/>
    <x v="1"/>
    <n v="1"/>
    <n v="1"/>
    <n v="0"/>
    <m/>
    <x v="1"/>
    <n v="8.3167200953685433E-2"/>
  </r>
  <r>
    <x v="14"/>
    <x v="0"/>
    <x v="1"/>
    <x v="1"/>
    <x v="0"/>
    <x v="1"/>
    <x v="0"/>
    <x v="0"/>
    <x v="1"/>
    <x v="5"/>
    <n v="1"/>
    <n v="2"/>
    <n v="0"/>
    <m/>
    <x v="1"/>
    <n v="3.7553592924621029E-2"/>
  </r>
  <r>
    <x v="15"/>
    <x v="1"/>
    <x v="0"/>
    <x v="2"/>
    <x v="2"/>
    <x v="0"/>
    <x v="1"/>
    <x v="1"/>
    <x v="1"/>
    <x v="4"/>
    <n v="1"/>
    <n v="1"/>
    <n v="0"/>
    <n v="1"/>
    <x v="0"/>
    <n v="4.066159666363986E-2"/>
  </r>
  <r>
    <x v="13"/>
    <x v="1"/>
    <x v="0"/>
    <x v="0"/>
    <x v="3"/>
    <x v="1"/>
    <x v="1"/>
    <x v="1"/>
    <x v="0"/>
    <x v="8"/>
    <n v="1"/>
    <n v="1"/>
    <n v="0"/>
    <m/>
    <x v="1"/>
    <n v="0.11552492690011482"/>
  </r>
  <r>
    <x v="2"/>
    <x v="1"/>
    <x v="1"/>
    <x v="0"/>
    <x v="0"/>
    <x v="1"/>
    <x v="1"/>
    <x v="0"/>
    <x v="1"/>
    <x v="7"/>
    <n v="1"/>
    <n v="1"/>
    <n v="0"/>
    <m/>
    <x v="1"/>
    <n v="2.9138416298841268E-2"/>
  </r>
  <r>
    <x v="4"/>
    <x v="0"/>
    <x v="1"/>
    <x v="1"/>
    <x v="0"/>
    <x v="1"/>
    <x v="0"/>
    <x v="0"/>
    <x v="0"/>
    <x v="7"/>
    <n v="1"/>
    <n v="1"/>
    <n v="0"/>
    <m/>
    <x v="1"/>
    <n v="2.8273531547734397E-2"/>
  </r>
  <r>
    <x v="3"/>
    <x v="1"/>
    <x v="1"/>
    <x v="0"/>
    <x v="2"/>
    <x v="1"/>
    <x v="1"/>
    <x v="1"/>
    <x v="2"/>
    <x v="9"/>
    <n v="1"/>
    <n v="1"/>
    <n v="0"/>
    <m/>
    <x v="1"/>
    <n v="0.13072788301694924"/>
  </r>
  <r>
    <x v="14"/>
    <x v="0"/>
    <x v="0"/>
    <x v="1"/>
    <x v="0"/>
    <x v="0"/>
    <x v="1"/>
    <x v="0"/>
    <x v="2"/>
    <x v="7"/>
    <n v="1"/>
    <n v="1"/>
    <n v="0"/>
    <m/>
    <x v="1"/>
    <n v="2.2116330033594731E-2"/>
  </r>
  <r>
    <x v="9"/>
    <x v="0"/>
    <x v="0"/>
    <x v="0"/>
    <x v="2"/>
    <x v="0"/>
    <x v="0"/>
    <x v="0"/>
    <x v="1"/>
    <x v="2"/>
    <n v="2"/>
    <n v="2"/>
    <n v="0"/>
    <n v="2"/>
    <x v="0"/>
    <n v="8.6199498738147251E-2"/>
  </r>
  <r>
    <x v="21"/>
    <x v="0"/>
    <x v="0"/>
    <x v="2"/>
    <x v="2"/>
    <x v="1"/>
    <x v="0"/>
    <x v="0"/>
    <x v="0"/>
    <x v="9"/>
    <n v="1"/>
    <n v="1"/>
    <n v="0"/>
    <m/>
    <x v="1"/>
    <n v="0.15061565033412677"/>
  </r>
  <r>
    <x v="9"/>
    <x v="1"/>
    <x v="0"/>
    <x v="1"/>
    <x v="0"/>
    <x v="0"/>
    <x v="0"/>
    <x v="0"/>
    <x v="0"/>
    <x v="4"/>
    <n v="1"/>
    <n v="1"/>
    <n v="0"/>
    <n v="1"/>
    <x v="0"/>
    <n v="3.1179022325415869E-2"/>
  </r>
  <r>
    <x v="10"/>
    <x v="0"/>
    <x v="1"/>
    <x v="0"/>
    <x v="2"/>
    <x v="0"/>
    <x v="0"/>
    <x v="0"/>
    <x v="2"/>
    <x v="8"/>
    <n v="2"/>
    <n v="3"/>
    <n v="0"/>
    <m/>
    <x v="1"/>
    <n v="0.28951709683688598"/>
  </r>
  <r>
    <x v="10"/>
    <x v="0"/>
    <x v="1"/>
    <x v="2"/>
    <x v="1"/>
    <x v="1"/>
    <x v="0"/>
    <x v="1"/>
    <x v="1"/>
    <x v="1"/>
    <n v="3"/>
    <n v="4"/>
    <n v="0"/>
    <m/>
    <x v="1"/>
    <n v="0.30288866365397854"/>
  </r>
  <r>
    <x v="8"/>
    <x v="1"/>
    <x v="1"/>
    <x v="1"/>
    <x v="0"/>
    <x v="0"/>
    <x v="1"/>
    <x v="1"/>
    <x v="1"/>
    <x v="6"/>
    <n v="3"/>
    <n v="3"/>
    <n v="0"/>
    <m/>
    <x v="1"/>
    <n v="2.0720205964955687E-2"/>
  </r>
  <r>
    <x v="17"/>
    <x v="0"/>
    <x v="1"/>
    <x v="0"/>
    <x v="2"/>
    <x v="1"/>
    <x v="1"/>
    <x v="1"/>
    <x v="1"/>
    <x v="7"/>
    <n v="2"/>
    <n v="2"/>
    <n v="0"/>
    <n v="2"/>
    <x v="0"/>
    <n v="5.6609868750299878E-2"/>
  </r>
  <r>
    <x v="5"/>
    <x v="1"/>
    <x v="0"/>
    <x v="0"/>
    <x v="2"/>
    <x v="1"/>
    <x v="0"/>
    <x v="1"/>
    <x v="2"/>
    <x v="9"/>
    <n v="1"/>
    <n v="2"/>
    <n v="0"/>
    <n v="1"/>
    <x v="0"/>
    <n v="0.62796110753623335"/>
  </r>
  <r>
    <x v="15"/>
    <x v="0"/>
    <x v="0"/>
    <x v="0"/>
    <x v="0"/>
    <x v="0"/>
    <x v="1"/>
    <x v="0"/>
    <x v="0"/>
    <x v="7"/>
    <n v="2"/>
    <n v="2"/>
    <n v="0"/>
    <n v="2"/>
    <x v="0"/>
    <n v="4.3206929616634408E-2"/>
  </r>
  <r>
    <x v="17"/>
    <x v="1"/>
    <x v="0"/>
    <x v="0"/>
    <x v="0"/>
    <x v="1"/>
    <x v="0"/>
    <x v="0"/>
    <x v="0"/>
    <x v="8"/>
    <n v="1"/>
    <n v="1"/>
    <n v="0"/>
    <n v="1"/>
    <x v="0"/>
    <n v="0.12194562411528299"/>
  </r>
  <r>
    <x v="16"/>
    <x v="1"/>
    <x v="0"/>
    <x v="0"/>
    <x v="0"/>
    <x v="1"/>
    <x v="1"/>
    <x v="1"/>
    <x v="2"/>
    <x v="9"/>
    <n v="1"/>
    <n v="1"/>
    <n v="0"/>
    <m/>
    <x v="1"/>
    <n v="0.12858993764061805"/>
  </r>
  <r>
    <x v="19"/>
    <x v="0"/>
    <x v="1"/>
    <x v="0"/>
    <x v="0"/>
    <x v="0"/>
    <x v="0"/>
    <x v="0"/>
    <x v="2"/>
    <x v="1"/>
    <n v="2"/>
    <n v="2"/>
    <n v="0"/>
    <m/>
    <x v="1"/>
    <n v="0.1357021175431819"/>
  </r>
  <r>
    <x v="22"/>
    <x v="0"/>
    <x v="0"/>
    <x v="0"/>
    <x v="0"/>
    <x v="0"/>
    <x v="0"/>
    <x v="1"/>
    <x v="0"/>
    <x v="0"/>
    <n v="3"/>
    <n v="4"/>
    <n v="0"/>
    <n v="3"/>
    <x v="0"/>
    <n v="0.17835470246030499"/>
  </r>
  <r>
    <x v="12"/>
    <x v="0"/>
    <x v="0"/>
    <x v="2"/>
    <x v="0"/>
    <x v="0"/>
    <x v="1"/>
    <x v="0"/>
    <x v="1"/>
    <x v="5"/>
    <n v="1"/>
    <n v="2"/>
    <n v="0"/>
    <m/>
    <x v="1"/>
    <n v="3.7491703864349239E-2"/>
  </r>
  <r>
    <x v="14"/>
    <x v="1"/>
    <x v="1"/>
    <x v="1"/>
    <x v="0"/>
    <x v="0"/>
    <x v="1"/>
    <x v="1"/>
    <x v="1"/>
    <x v="6"/>
    <n v="2"/>
    <n v="3"/>
    <n v="1"/>
    <m/>
    <x v="1"/>
    <n v="2.0720205964955687E-2"/>
  </r>
  <r>
    <x v="21"/>
    <x v="0"/>
    <x v="0"/>
    <x v="2"/>
    <x v="2"/>
    <x v="1"/>
    <x v="1"/>
    <x v="1"/>
    <x v="1"/>
    <x v="0"/>
    <n v="1"/>
    <n v="1"/>
    <n v="0"/>
    <m/>
    <x v="1"/>
    <n v="5.2291671314483069E-2"/>
  </r>
  <r>
    <x v="20"/>
    <x v="1"/>
    <x v="1"/>
    <x v="2"/>
    <x v="1"/>
    <x v="1"/>
    <x v="0"/>
    <x v="1"/>
    <x v="1"/>
    <x v="8"/>
    <n v="3"/>
    <n v="4"/>
    <n v="1"/>
    <n v="3"/>
    <x v="0"/>
    <n v="0.44085779762072891"/>
  </r>
  <r>
    <x v="0"/>
    <x v="0"/>
    <x v="1"/>
    <x v="1"/>
    <x v="3"/>
    <x v="0"/>
    <x v="1"/>
    <x v="1"/>
    <x v="0"/>
    <x v="6"/>
    <n v="1"/>
    <n v="1"/>
    <n v="0"/>
    <n v="1"/>
    <x v="0"/>
    <n v="1.3712197478438201E-2"/>
  </r>
  <r>
    <x v="1"/>
    <x v="0"/>
    <x v="1"/>
    <x v="0"/>
    <x v="2"/>
    <x v="0"/>
    <x v="0"/>
    <x v="1"/>
    <x v="0"/>
    <x v="0"/>
    <n v="2"/>
    <n v="2"/>
    <n v="0"/>
    <n v="2"/>
    <x v="0"/>
    <n v="9.080555443469232E-2"/>
  </r>
  <r>
    <x v="10"/>
    <x v="0"/>
    <x v="0"/>
    <x v="2"/>
    <x v="0"/>
    <x v="0"/>
    <x v="1"/>
    <x v="0"/>
    <x v="0"/>
    <x v="7"/>
    <n v="1"/>
    <n v="1"/>
    <n v="0"/>
    <m/>
    <x v="1"/>
    <n v="2.8227386446598338E-2"/>
  </r>
  <r>
    <x v="2"/>
    <x v="0"/>
    <x v="1"/>
    <x v="1"/>
    <x v="2"/>
    <x v="0"/>
    <x v="0"/>
    <x v="1"/>
    <x v="2"/>
    <x v="0"/>
    <n v="1"/>
    <n v="1"/>
    <n v="0"/>
    <m/>
    <x v="1"/>
    <n v="4.6453811307868083E-2"/>
  </r>
  <r>
    <x v="16"/>
    <x v="1"/>
    <x v="0"/>
    <x v="2"/>
    <x v="2"/>
    <x v="0"/>
    <x v="1"/>
    <x v="1"/>
    <x v="0"/>
    <x v="3"/>
    <n v="1"/>
    <n v="1"/>
    <n v="0"/>
    <m/>
    <x v="1"/>
    <n v="6.0544035202992515E-2"/>
  </r>
  <r>
    <x v="15"/>
    <x v="1"/>
    <x v="0"/>
    <x v="0"/>
    <x v="3"/>
    <x v="1"/>
    <x v="0"/>
    <x v="1"/>
    <x v="1"/>
    <x v="9"/>
    <n v="2"/>
    <n v="2"/>
    <n v="0"/>
    <n v="2"/>
    <x v="0"/>
    <n v="0.30733047533081592"/>
  </r>
  <r>
    <x v="9"/>
    <x v="0"/>
    <x v="0"/>
    <x v="2"/>
    <x v="0"/>
    <x v="0"/>
    <x v="1"/>
    <x v="0"/>
    <x v="2"/>
    <x v="3"/>
    <n v="1"/>
    <n v="1"/>
    <n v="0"/>
    <n v="1"/>
    <x v="0"/>
    <n v="6.1238768703886295E-2"/>
  </r>
  <r>
    <x v="14"/>
    <x v="0"/>
    <x v="1"/>
    <x v="0"/>
    <x v="3"/>
    <x v="1"/>
    <x v="0"/>
    <x v="1"/>
    <x v="0"/>
    <x v="8"/>
    <n v="1"/>
    <n v="1"/>
    <n v="0"/>
    <m/>
    <x v="1"/>
    <n v="0.11253926602183867"/>
  </r>
  <r>
    <x v="7"/>
    <x v="0"/>
    <x v="0"/>
    <x v="1"/>
    <x v="0"/>
    <x v="0"/>
    <x v="1"/>
    <x v="1"/>
    <x v="2"/>
    <x v="7"/>
    <n v="1"/>
    <n v="1"/>
    <n v="0"/>
    <m/>
    <x v="1"/>
    <n v="2.2116330033594731E-2"/>
  </r>
  <r>
    <x v="21"/>
    <x v="1"/>
    <x v="1"/>
    <x v="0"/>
    <x v="3"/>
    <x v="1"/>
    <x v="1"/>
    <x v="1"/>
    <x v="2"/>
    <x v="9"/>
    <n v="1"/>
    <n v="1"/>
    <n v="0"/>
    <m/>
    <x v="1"/>
    <n v="0.1692399337900779"/>
  </r>
  <r>
    <x v="21"/>
    <x v="1"/>
    <x v="1"/>
    <x v="1"/>
    <x v="3"/>
    <x v="1"/>
    <x v="1"/>
    <x v="1"/>
    <x v="0"/>
    <x v="4"/>
    <n v="1"/>
    <n v="1"/>
    <n v="0"/>
    <m/>
    <x v="1"/>
    <n v="3.9729017342643849E-2"/>
  </r>
  <r>
    <x v="20"/>
    <x v="0"/>
    <x v="1"/>
    <x v="0"/>
    <x v="3"/>
    <x v="1"/>
    <x v="1"/>
    <x v="1"/>
    <x v="0"/>
    <x v="0"/>
    <n v="1"/>
    <n v="1"/>
    <n v="0"/>
    <n v="1"/>
    <x v="0"/>
    <n v="5.6601068172472908E-2"/>
  </r>
  <r>
    <x v="19"/>
    <x v="0"/>
    <x v="1"/>
    <x v="0"/>
    <x v="3"/>
    <x v="0"/>
    <x v="0"/>
    <x v="1"/>
    <x v="1"/>
    <x v="4"/>
    <n v="1"/>
    <n v="1"/>
    <n v="0"/>
    <m/>
    <x v="1"/>
    <n v="4.0651005805418881E-2"/>
  </r>
  <r>
    <x v="15"/>
    <x v="1"/>
    <x v="1"/>
    <x v="2"/>
    <x v="2"/>
    <x v="1"/>
    <x v="0"/>
    <x v="1"/>
    <x v="1"/>
    <x v="8"/>
    <n v="1"/>
    <n v="1"/>
    <n v="0"/>
    <n v="1"/>
    <x v="0"/>
    <n v="0.10909826649368773"/>
  </r>
  <r>
    <x v="11"/>
    <x v="0"/>
    <x v="1"/>
    <x v="2"/>
    <x v="2"/>
    <x v="0"/>
    <x v="0"/>
    <x v="1"/>
    <x v="0"/>
    <x v="3"/>
    <n v="1"/>
    <n v="3"/>
    <n v="0"/>
    <m/>
    <x v="1"/>
    <n v="0.17665414939256943"/>
  </r>
  <r>
    <x v="6"/>
    <x v="1"/>
    <x v="1"/>
    <x v="0"/>
    <x v="3"/>
    <x v="0"/>
    <x v="0"/>
    <x v="1"/>
    <x v="2"/>
    <x v="9"/>
    <n v="1"/>
    <n v="1"/>
    <n v="0"/>
    <m/>
    <x v="1"/>
    <n v="0.17949631292439386"/>
  </r>
  <r>
    <x v="12"/>
    <x v="1"/>
    <x v="1"/>
    <x v="1"/>
    <x v="0"/>
    <x v="1"/>
    <x v="0"/>
    <x v="0"/>
    <x v="0"/>
    <x v="2"/>
    <n v="1"/>
    <n v="1"/>
    <n v="0"/>
    <m/>
    <x v="1"/>
    <n v="4.2137790699068305E-2"/>
  </r>
  <r>
    <x v="3"/>
    <x v="1"/>
    <x v="1"/>
    <x v="1"/>
    <x v="3"/>
    <x v="1"/>
    <x v="0"/>
    <x v="0"/>
    <x v="2"/>
    <x v="9"/>
    <n v="1"/>
    <n v="1"/>
    <n v="0"/>
    <m/>
    <x v="1"/>
    <n v="0.16414761566971484"/>
  </r>
  <r>
    <x v="12"/>
    <x v="1"/>
    <x v="0"/>
    <x v="2"/>
    <x v="2"/>
    <x v="0"/>
    <x v="0"/>
    <x v="0"/>
    <x v="1"/>
    <x v="1"/>
    <n v="1"/>
    <n v="1"/>
    <n v="0"/>
    <m/>
    <x v="1"/>
    <n v="8.221989569595807E-2"/>
  </r>
  <r>
    <x v="3"/>
    <x v="0"/>
    <x v="0"/>
    <x v="1"/>
    <x v="2"/>
    <x v="1"/>
    <x v="0"/>
    <x v="1"/>
    <x v="1"/>
    <x v="4"/>
    <n v="1"/>
    <n v="1"/>
    <n v="0"/>
    <m/>
    <x v="1"/>
    <n v="3.8861886041588509E-2"/>
  </r>
  <r>
    <x v="14"/>
    <x v="0"/>
    <x v="1"/>
    <x v="1"/>
    <x v="2"/>
    <x v="0"/>
    <x v="0"/>
    <x v="0"/>
    <x v="2"/>
    <x v="0"/>
    <n v="1"/>
    <n v="1"/>
    <n v="0"/>
    <m/>
    <x v="1"/>
    <n v="4.6453811307868083E-2"/>
  </r>
  <r>
    <x v="0"/>
    <x v="1"/>
    <x v="1"/>
    <x v="0"/>
    <x v="3"/>
    <x v="0"/>
    <x v="0"/>
    <x v="1"/>
    <x v="0"/>
    <x v="8"/>
    <n v="1"/>
    <n v="1"/>
    <n v="0"/>
    <n v="1"/>
    <x v="0"/>
    <n v="8.8764690714321179E-2"/>
  </r>
  <r>
    <x v="22"/>
    <x v="0"/>
    <x v="0"/>
    <x v="2"/>
    <x v="3"/>
    <x v="0"/>
    <x v="0"/>
    <x v="1"/>
    <x v="2"/>
    <x v="9"/>
    <n v="1"/>
    <n v="1"/>
    <n v="0"/>
    <n v="1"/>
    <x v="0"/>
    <n v="0.21511628420770765"/>
  </r>
  <r>
    <x v="10"/>
    <x v="1"/>
    <x v="0"/>
    <x v="2"/>
    <x v="2"/>
    <x v="1"/>
    <x v="1"/>
    <x v="0"/>
    <x v="0"/>
    <x v="8"/>
    <n v="1"/>
    <n v="1"/>
    <n v="0"/>
    <m/>
    <x v="1"/>
    <n v="0.11256638841333892"/>
  </r>
  <r>
    <x v="4"/>
    <x v="0"/>
    <x v="1"/>
    <x v="0"/>
    <x v="2"/>
    <x v="0"/>
    <x v="0"/>
    <x v="0"/>
    <x v="1"/>
    <x v="7"/>
    <n v="1"/>
    <n v="1"/>
    <n v="0"/>
    <m/>
    <x v="1"/>
    <n v="3.0332130839860555E-2"/>
  </r>
  <r>
    <x v="8"/>
    <x v="0"/>
    <x v="1"/>
    <x v="0"/>
    <x v="2"/>
    <x v="0"/>
    <x v="0"/>
    <x v="1"/>
    <x v="1"/>
    <x v="7"/>
    <n v="2"/>
    <n v="3"/>
    <n v="1"/>
    <m/>
    <x v="1"/>
    <n v="9.0996392519581665E-2"/>
  </r>
  <r>
    <x v="0"/>
    <x v="1"/>
    <x v="1"/>
    <x v="0"/>
    <x v="2"/>
    <x v="0"/>
    <x v="1"/>
    <x v="1"/>
    <x v="0"/>
    <x v="4"/>
    <n v="1"/>
    <n v="1"/>
    <n v="0"/>
    <n v="1"/>
    <x v="0"/>
    <n v="3.2903278637901254E-2"/>
  </r>
  <r>
    <x v="11"/>
    <x v="0"/>
    <x v="1"/>
    <x v="2"/>
    <x v="1"/>
    <x v="0"/>
    <x v="0"/>
    <x v="1"/>
    <x v="2"/>
    <x v="8"/>
    <n v="1"/>
    <n v="2"/>
    <n v="0"/>
    <m/>
    <x v="1"/>
    <n v="0.24888808001119248"/>
  </r>
  <r>
    <x v="2"/>
    <x v="1"/>
    <x v="0"/>
    <x v="0"/>
    <x v="2"/>
    <x v="0"/>
    <x v="0"/>
    <x v="1"/>
    <x v="0"/>
    <x v="8"/>
    <n v="2"/>
    <n v="2"/>
    <n v="0"/>
    <m/>
    <x v="1"/>
    <n v="0.18765650481069013"/>
  </r>
  <r>
    <x v="12"/>
    <x v="0"/>
    <x v="1"/>
    <x v="2"/>
    <x v="2"/>
    <x v="1"/>
    <x v="0"/>
    <x v="1"/>
    <x v="1"/>
    <x v="1"/>
    <n v="1"/>
    <n v="1"/>
    <n v="0"/>
    <m/>
    <x v="1"/>
    <n v="7.4925884485121511E-2"/>
  </r>
  <r>
    <x v="2"/>
    <x v="0"/>
    <x v="0"/>
    <x v="1"/>
    <x v="2"/>
    <x v="0"/>
    <x v="0"/>
    <x v="0"/>
    <x v="0"/>
    <x v="7"/>
    <n v="1"/>
    <n v="1"/>
    <n v="0"/>
    <m/>
    <x v="1"/>
    <n v="3.0288991469430131E-2"/>
  </r>
  <r>
    <x v="7"/>
    <x v="0"/>
    <x v="1"/>
    <x v="0"/>
    <x v="0"/>
    <x v="1"/>
    <x v="0"/>
    <x v="0"/>
    <x v="1"/>
    <x v="4"/>
    <n v="2"/>
    <n v="2"/>
    <n v="0"/>
    <m/>
    <x v="1"/>
    <n v="8.0534492687672668E-2"/>
  </r>
  <r>
    <x v="8"/>
    <x v="0"/>
    <x v="0"/>
    <x v="0"/>
    <x v="2"/>
    <x v="0"/>
    <x v="1"/>
    <x v="0"/>
    <x v="2"/>
    <x v="1"/>
    <n v="1"/>
    <n v="1"/>
    <n v="0"/>
    <m/>
    <x v="1"/>
    <n v="6.7830483934244123E-2"/>
  </r>
  <r>
    <x v="13"/>
    <x v="0"/>
    <x v="0"/>
    <x v="0"/>
    <x v="2"/>
    <x v="1"/>
    <x v="0"/>
    <x v="0"/>
    <x v="1"/>
    <x v="1"/>
    <n v="1"/>
    <n v="1"/>
    <n v="0"/>
    <m/>
    <x v="1"/>
    <n v="8.1432380804835489E-2"/>
  </r>
  <r>
    <x v="3"/>
    <x v="0"/>
    <x v="1"/>
    <x v="0"/>
    <x v="3"/>
    <x v="1"/>
    <x v="0"/>
    <x v="1"/>
    <x v="2"/>
    <x v="9"/>
    <n v="1"/>
    <n v="2"/>
    <n v="0"/>
    <m/>
    <x v="1"/>
    <n v="0.44332178255110904"/>
  </r>
  <r>
    <x v="16"/>
    <x v="0"/>
    <x v="0"/>
    <x v="2"/>
    <x v="0"/>
    <x v="1"/>
    <x v="0"/>
    <x v="0"/>
    <x v="0"/>
    <x v="8"/>
    <n v="1"/>
    <n v="1"/>
    <n v="0"/>
    <m/>
    <x v="1"/>
    <n v="0.10781175572643616"/>
  </r>
  <r>
    <x v="4"/>
    <x v="1"/>
    <x v="0"/>
    <x v="0"/>
    <x v="2"/>
    <x v="1"/>
    <x v="1"/>
    <x v="1"/>
    <x v="1"/>
    <x v="3"/>
    <n v="1"/>
    <n v="3"/>
    <n v="0"/>
    <m/>
    <x v="1"/>
    <n v="0.17890044656911652"/>
  </r>
  <r>
    <x v="0"/>
    <x v="1"/>
    <x v="1"/>
    <x v="0"/>
    <x v="2"/>
    <x v="1"/>
    <x v="0"/>
    <x v="1"/>
    <x v="0"/>
    <x v="8"/>
    <n v="1"/>
    <n v="1"/>
    <n v="0"/>
    <n v="1"/>
    <x v="0"/>
    <n v="0.12398881875313826"/>
  </r>
  <r>
    <x v="20"/>
    <x v="1"/>
    <x v="1"/>
    <x v="1"/>
    <x v="1"/>
    <x v="0"/>
    <x v="1"/>
    <x v="1"/>
    <x v="0"/>
    <x v="5"/>
    <n v="1"/>
    <n v="1"/>
    <n v="0"/>
    <n v="1"/>
    <x v="0"/>
    <n v="1.5453354786720327E-2"/>
  </r>
  <r>
    <x v="3"/>
    <x v="1"/>
    <x v="1"/>
    <x v="0"/>
    <x v="0"/>
    <x v="0"/>
    <x v="0"/>
    <x v="0"/>
    <x v="2"/>
    <x v="8"/>
    <n v="1"/>
    <n v="1"/>
    <n v="0"/>
    <m/>
    <x v="1"/>
    <n v="9.9142550923112027E-2"/>
  </r>
  <r>
    <x v="11"/>
    <x v="1"/>
    <x v="1"/>
    <x v="0"/>
    <x v="0"/>
    <x v="0"/>
    <x v="0"/>
    <x v="0"/>
    <x v="2"/>
    <x v="8"/>
    <n v="1"/>
    <n v="1"/>
    <n v="0"/>
    <m/>
    <x v="1"/>
    <n v="9.9142550923112027E-2"/>
  </r>
  <r>
    <x v="15"/>
    <x v="1"/>
    <x v="1"/>
    <x v="2"/>
    <x v="3"/>
    <x v="0"/>
    <x v="1"/>
    <x v="0"/>
    <x v="2"/>
    <x v="8"/>
    <n v="1"/>
    <n v="1"/>
    <n v="1"/>
    <n v="1"/>
    <x v="0"/>
    <n v="0.11984161446227663"/>
  </r>
  <r>
    <x v="0"/>
    <x v="0"/>
    <x v="1"/>
    <x v="1"/>
    <x v="0"/>
    <x v="0"/>
    <x v="1"/>
    <x v="0"/>
    <x v="0"/>
    <x v="6"/>
    <n v="1"/>
    <n v="1"/>
    <n v="0"/>
    <n v="1"/>
    <x v="0"/>
    <n v="6.9455315248842728E-3"/>
  </r>
  <r>
    <x v="15"/>
    <x v="0"/>
    <x v="0"/>
    <x v="0"/>
    <x v="0"/>
    <x v="1"/>
    <x v="1"/>
    <x v="0"/>
    <x v="1"/>
    <x v="7"/>
    <n v="1"/>
    <n v="1"/>
    <n v="0"/>
    <n v="1"/>
    <x v="0"/>
    <n v="2.7788483854578296E-2"/>
  </r>
  <r>
    <x v="3"/>
    <x v="0"/>
    <x v="0"/>
    <x v="2"/>
    <x v="2"/>
    <x v="0"/>
    <x v="0"/>
    <x v="0"/>
    <x v="1"/>
    <x v="0"/>
    <n v="2"/>
    <n v="2"/>
    <n v="0"/>
    <m/>
    <x v="1"/>
    <n v="0.11187579774158009"/>
  </r>
  <r>
    <x v="5"/>
    <x v="1"/>
    <x v="1"/>
    <x v="0"/>
    <x v="3"/>
    <x v="1"/>
    <x v="0"/>
    <x v="1"/>
    <x v="0"/>
    <x v="9"/>
    <n v="1"/>
    <n v="1"/>
    <n v="0"/>
    <n v="1"/>
    <x v="0"/>
    <n v="0.16088299756810187"/>
  </r>
  <r>
    <x v="1"/>
    <x v="1"/>
    <x v="0"/>
    <x v="1"/>
    <x v="3"/>
    <x v="1"/>
    <x v="1"/>
    <x v="1"/>
    <x v="2"/>
    <x v="8"/>
    <n v="1"/>
    <n v="1"/>
    <n v="0"/>
    <n v="1"/>
    <x v="0"/>
    <n v="0.11799857341716835"/>
  </r>
  <r>
    <x v="12"/>
    <x v="0"/>
    <x v="1"/>
    <x v="0"/>
    <x v="0"/>
    <x v="0"/>
    <x v="1"/>
    <x v="1"/>
    <x v="2"/>
    <x v="4"/>
    <n v="1"/>
    <n v="1"/>
    <n v="0"/>
    <m/>
    <x v="1"/>
    <n v="3.3292078574409821E-2"/>
  </r>
  <r>
    <x v="11"/>
    <x v="1"/>
    <x v="1"/>
    <x v="0"/>
    <x v="1"/>
    <x v="1"/>
    <x v="0"/>
    <x v="1"/>
    <x v="0"/>
    <x v="9"/>
    <n v="1"/>
    <n v="2"/>
    <n v="0"/>
    <m/>
    <x v="1"/>
    <n v="0.25047186248679471"/>
  </r>
  <r>
    <x v="20"/>
    <x v="0"/>
    <x v="0"/>
    <x v="0"/>
    <x v="3"/>
    <x v="0"/>
    <x v="0"/>
    <x v="1"/>
    <x v="1"/>
    <x v="0"/>
    <n v="1"/>
    <n v="1"/>
    <n v="1"/>
    <n v="1"/>
    <x v="0"/>
    <n v="5.7504535626010621E-2"/>
  </r>
  <r>
    <x v="3"/>
    <x v="1"/>
    <x v="1"/>
    <x v="1"/>
    <x v="0"/>
    <x v="0"/>
    <x v="0"/>
    <x v="1"/>
    <x v="1"/>
    <x v="6"/>
    <n v="1"/>
    <n v="1"/>
    <n v="0"/>
    <m/>
    <x v="1"/>
    <n v="1.4486748808385878E-2"/>
  </r>
  <r>
    <x v="5"/>
    <x v="1"/>
    <x v="0"/>
    <x v="1"/>
    <x v="2"/>
    <x v="0"/>
    <x v="0"/>
    <x v="1"/>
    <x v="0"/>
    <x v="0"/>
    <n v="1"/>
    <n v="2"/>
    <n v="0"/>
    <n v="1"/>
    <x v="0"/>
    <n v="9.0191380175083991E-2"/>
  </r>
  <r>
    <x v="9"/>
    <x v="1"/>
    <x v="1"/>
    <x v="1"/>
    <x v="2"/>
    <x v="0"/>
    <x v="1"/>
    <x v="1"/>
    <x v="0"/>
    <x v="5"/>
    <n v="1"/>
    <n v="1"/>
    <n v="0"/>
    <n v="1"/>
    <x v="0"/>
    <n v="1.5280372194897402E-2"/>
  </r>
  <r>
    <x v="0"/>
    <x v="0"/>
    <x v="0"/>
    <x v="2"/>
    <x v="0"/>
    <x v="1"/>
    <x v="1"/>
    <x v="1"/>
    <x v="1"/>
    <x v="4"/>
    <n v="1"/>
    <n v="1"/>
    <n v="0"/>
    <n v="1"/>
    <x v="0"/>
    <n v="3.6238577293788529E-2"/>
  </r>
  <r>
    <x v="21"/>
    <x v="0"/>
    <x v="1"/>
    <x v="0"/>
    <x v="0"/>
    <x v="0"/>
    <x v="1"/>
    <x v="0"/>
    <x v="1"/>
    <x v="6"/>
    <n v="1"/>
    <n v="1"/>
    <n v="0"/>
    <m/>
    <x v="1"/>
    <n v="9.9848113487339026E-3"/>
  </r>
  <r>
    <x v="6"/>
    <x v="1"/>
    <x v="1"/>
    <x v="0"/>
    <x v="2"/>
    <x v="0"/>
    <x v="0"/>
    <x v="1"/>
    <x v="1"/>
    <x v="0"/>
    <n v="1"/>
    <n v="1"/>
    <n v="0"/>
    <m/>
    <x v="1"/>
    <n v="4.5158935948663145E-2"/>
  </r>
  <r>
    <x v="5"/>
    <x v="1"/>
    <x v="0"/>
    <x v="0"/>
    <x v="2"/>
    <x v="1"/>
    <x v="0"/>
    <x v="0"/>
    <x v="0"/>
    <x v="9"/>
    <n v="1"/>
    <n v="1"/>
    <n v="0"/>
    <n v="1"/>
    <x v="0"/>
    <n v="0.1692962067399281"/>
  </r>
  <r>
    <x v="18"/>
    <x v="1"/>
    <x v="0"/>
    <x v="0"/>
    <x v="2"/>
    <x v="0"/>
    <x v="1"/>
    <x v="1"/>
    <x v="1"/>
    <x v="4"/>
    <n v="1"/>
    <n v="1"/>
    <n v="0"/>
    <m/>
    <x v="1"/>
    <n v="3.1213548562346576E-2"/>
  </r>
  <r>
    <x v="3"/>
    <x v="1"/>
    <x v="0"/>
    <x v="0"/>
    <x v="2"/>
    <x v="1"/>
    <x v="0"/>
    <x v="0"/>
    <x v="2"/>
    <x v="9"/>
    <n v="1"/>
    <n v="1"/>
    <n v="0"/>
    <m/>
    <x v="1"/>
    <n v="0.31398055376811668"/>
  </r>
  <r>
    <x v="20"/>
    <x v="1"/>
    <x v="0"/>
    <x v="0"/>
    <x v="3"/>
    <x v="0"/>
    <x v="0"/>
    <x v="1"/>
    <x v="1"/>
    <x v="8"/>
    <n v="1"/>
    <n v="1"/>
    <n v="0"/>
    <n v="1"/>
    <x v="0"/>
    <n v="8.4456755045901957E-2"/>
  </r>
  <r>
    <x v="22"/>
    <x v="0"/>
    <x v="1"/>
    <x v="1"/>
    <x v="0"/>
    <x v="0"/>
    <x v="0"/>
    <x v="0"/>
    <x v="1"/>
    <x v="6"/>
    <n v="1"/>
    <n v="1"/>
    <n v="0"/>
    <n v="1"/>
    <x v="0"/>
    <n v="9.6288351632262403E-3"/>
  </r>
  <r>
    <x v="0"/>
    <x v="1"/>
    <x v="0"/>
    <x v="0"/>
    <x v="2"/>
    <x v="1"/>
    <x v="1"/>
    <x v="1"/>
    <x v="1"/>
    <x v="3"/>
    <n v="1"/>
    <n v="1"/>
    <n v="1"/>
    <n v="1"/>
    <x v="0"/>
    <n v="5.9633482189705503E-2"/>
  </r>
  <r>
    <x v="22"/>
    <x v="0"/>
    <x v="1"/>
    <x v="0"/>
    <x v="0"/>
    <x v="0"/>
    <x v="1"/>
    <x v="1"/>
    <x v="0"/>
    <x v="5"/>
    <n v="1"/>
    <n v="1"/>
    <n v="0"/>
    <n v="1"/>
    <x v="0"/>
    <n v="1.5103271786810353E-2"/>
  </r>
  <r>
    <x v="3"/>
    <x v="0"/>
    <x v="1"/>
    <x v="2"/>
    <x v="0"/>
    <x v="1"/>
    <x v="0"/>
    <x v="0"/>
    <x v="1"/>
    <x v="0"/>
    <n v="1"/>
    <n v="1"/>
    <n v="0"/>
    <m/>
    <x v="1"/>
    <n v="5.2307797290685736E-2"/>
  </r>
  <r>
    <x v="5"/>
    <x v="0"/>
    <x v="1"/>
    <x v="2"/>
    <x v="0"/>
    <x v="0"/>
    <x v="1"/>
    <x v="0"/>
    <x v="0"/>
    <x v="5"/>
    <n v="1"/>
    <n v="1"/>
    <n v="0"/>
    <n v="1"/>
    <x v="0"/>
    <n v="1.9774425808023691E-2"/>
  </r>
  <r>
    <x v="21"/>
    <x v="1"/>
    <x v="0"/>
    <x v="0"/>
    <x v="0"/>
    <x v="0"/>
    <x v="1"/>
    <x v="0"/>
    <x v="2"/>
    <x v="1"/>
    <n v="2"/>
    <n v="3"/>
    <n v="0"/>
    <m/>
    <x v="1"/>
    <n v="0.20923294981328672"/>
  </r>
  <r>
    <x v="0"/>
    <x v="1"/>
    <x v="0"/>
    <x v="0"/>
    <x v="2"/>
    <x v="1"/>
    <x v="1"/>
    <x v="1"/>
    <x v="2"/>
    <x v="9"/>
    <n v="1"/>
    <n v="1"/>
    <n v="0"/>
    <n v="1"/>
    <x v="0"/>
    <n v="0.1779974580864464"/>
  </r>
  <r>
    <x v="21"/>
    <x v="0"/>
    <x v="1"/>
    <x v="2"/>
    <x v="0"/>
    <x v="0"/>
    <x v="0"/>
    <x v="0"/>
    <x v="0"/>
    <x v="4"/>
    <n v="1"/>
    <n v="1"/>
    <n v="0"/>
    <m/>
    <x v="1"/>
    <n v="4.089495301709424E-2"/>
  </r>
  <r>
    <x v="11"/>
    <x v="0"/>
    <x v="1"/>
    <x v="0"/>
    <x v="2"/>
    <x v="0"/>
    <x v="0"/>
    <x v="1"/>
    <x v="2"/>
    <x v="8"/>
    <n v="2"/>
    <n v="5"/>
    <n v="0"/>
    <m/>
    <x v="1"/>
    <n v="0.4825284947281433"/>
  </r>
  <r>
    <x v="12"/>
    <x v="1"/>
    <x v="0"/>
    <x v="2"/>
    <x v="2"/>
    <x v="0"/>
    <x v="1"/>
    <x v="1"/>
    <x v="2"/>
    <x v="9"/>
    <n v="1"/>
    <n v="1"/>
    <n v="0"/>
    <m/>
    <x v="1"/>
    <n v="0.1264319832806283"/>
  </r>
  <r>
    <x v="8"/>
    <x v="1"/>
    <x v="0"/>
    <x v="0"/>
    <x v="3"/>
    <x v="1"/>
    <x v="1"/>
    <x v="1"/>
    <x v="0"/>
    <x v="8"/>
    <n v="1"/>
    <n v="1"/>
    <n v="0"/>
    <m/>
    <x v="1"/>
    <n v="0.11552492690011482"/>
  </r>
  <r>
    <x v="6"/>
    <x v="1"/>
    <x v="1"/>
    <x v="0"/>
    <x v="0"/>
    <x v="0"/>
    <x v="0"/>
    <x v="1"/>
    <x v="2"/>
    <x v="8"/>
    <n v="1"/>
    <n v="2"/>
    <n v="0"/>
    <m/>
    <x v="1"/>
    <n v="0.19828510184622405"/>
  </r>
  <r>
    <x v="7"/>
    <x v="0"/>
    <x v="1"/>
    <x v="0"/>
    <x v="3"/>
    <x v="1"/>
    <x v="0"/>
    <x v="0"/>
    <x v="1"/>
    <x v="1"/>
    <n v="1"/>
    <n v="1"/>
    <n v="0"/>
    <m/>
    <x v="1"/>
    <n v="7.6980948887072007E-2"/>
  </r>
  <r>
    <x v="20"/>
    <x v="0"/>
    <x v="0"/>
    <x v="2"/>
    <x v="3"/>
    <x v="1"/>
    <x v="0"/>
    <x v="1"/>
    <x v="1"/>
    <x v="9"/>
    <n v="1"/>
    <n v="1"/>
    <n v="0"/>
    <n v="1"/>
    <x v="0"/>
    <n v="0.13642618392543343"/>
  </r>
  <r>
    <x v="18"/>
    <x v="0"/>
    <x v="0"/>
    <x v="0"/>
    <x v="3"/>
    <x v="0"/>
    <x v="0"/>
    <x v="1"/>
    <x v="0"/>
    <x v="8"/>
    <n v="1"/>
    <n v="1"/>
    <n v="1"/>
    <m/>
    <x v="1"/>
    <n v="8.4893923858991527E-2"/>
  </r>
  <r>
    <x v="10"/>
    <x v="1"/>
    <x v="0"/>
    <x v="0"/>
    <x v="2"/>
    <x v="0"/>
    <x v="0"/>
    <x v="0"/>
    <x v="1"/>
    <x v="3"/>
    <n v="1"/>
    <n v="1"/>
    <n v="0"/>
    <m/>
    <x v="1"/>
    <n v="6.3757203829364353E-2"/>
  </r>
  <r>
    <x v="17"/>
    <x v="0"/>
    <x v="0"/>
    <x v="2"/>
    <x v="2"/>
    <x v="0"/>
    <x v="1"/>
    <x v="1"/>
    <x v="2"/>
    <x v="8"/>
    <n v="1"/>
    <n v="1"/>
    <n v="0"/>
    <n v="1"/>
    <x v="0"/>
    <n v="8.7362644124071173E-2"/>
  </r>
  <r>
    <x v="22"/>
    <x v="0"/>
    <x v="1"/>
    <x v="0"/>
    <x v="0"/>
    <x v="0"/>
    <x v="0"/>
    <x v="0"/>
    <x v="0"/>
    <x v="4"/>
    <n v="4"/>
    <n v="4"/>
    <n v="1"/>
    <n v="4"/>
    <x v="0"/>
    <n v="0.12557782849501686"/>
  </r>
  <r>
    <x v="1"/>
    <x v="0"/>
    <x v="0"/>
    <x v="0"/>
    <x v="0"/>
    <x v="1"/>
    <x v="0"/>
    <x v="0"/>
    <x v="2"/>
    <x v="9"/>
    <n v="1"/>
    <n v="1"/>
    <n v="0"/>
    <n v="1"/>
    <x v="0"/>
    <n v="0.1710116934768498"/>
  </r>
  <r>
    <x v="7"/>
    <x v="1"/>
    <x v="1"/>
    <x v="0"/>
    <x v="2"/>
    <x v="0"/>
    <x v="0"/>
    <x v="0"/>
    <x v="2"/>
    <x v="9"/>
    <n v="1"/>
    <n v="2"/>
    <n v="0"/>
    <m/>
    <x v="1"/>
    <n v="0.27808190480497447"/>
  </r>
  <r>
    <x v="16"/>
    <x v="0"/>
    <x v="1"/>
    <x v="2"/>
    <x v="2"/>
    <x v="1"/>
    <x v="1"/>
    <x v="1"/>
    <x v="0"/>
    <x v="0"/>
    <n v="1"/>
    <n v="1"/>
    <n v="0"/>
    <m/>
    <x v="1"/>
    <n v="5.5057607359781338E-2"/>
  </r>
  <r>
    <x v="3"/>
    <x v="1"/>
    <x v="0"/>
    <x v="2"/>
    <x v="3"/>
    <x v="0"/>
    <x v="0"/>
    <x v="1"/>
    <x v="0"/>
    <x v="9"/>
    <n v="1"/>
    <n v="1"/>
    <n v="0"/>
    <m/>
    <x v="1"/>
    <n v="0.15577373535327643"/>
  </r>
  <r>
    <x v="0"/>
    <x v="1"/>
    <x v="0"/>
    <x v="1"/>
    <x v="2"/>
    <x v="0"/>
    <x v="1"/>
    <x v="1"/>
    <x v="0"/>
    <x v="7"/>
    <n v="1"/>
    <n v="1"/>
    <n v="0"/>
    <n v="1"/>
    <x v="0"/>
    <n v="2.1855094877283671E-2"/>
  </r>
  <r>
    <x v="17"/>
    <x v="1"/>
    <x v="0"/>
    <x v="0"/>
    <x v="2"/>
    <x v="0"/>
    <x v="1"/>
    <x v="0"/>
    <x v="2"/>
    <x v="8"/>
    <n v="1"/>
    <n v="1"/>
    <n v="0"/>
    <n v="1"/>
    <x v="0"/>
    <n v="9.9113496312796978E-2"/>
  </r>
  <r>
    <x v="8"/>
    <x v="0"/>
    <x v="0"/>
    <x v="2"/>
    <x v="3"/>
    <x v="1"/>
    <x v="0"/>
    <x v="1"/>
    <x v="0"/>
    <x v="9"/>
    <n v="1"/>
    <n v="1"/>
    <n v="0"/>
    <m/>
    <x v="1"/>
    <n v="0.19368117151349643"/>
  </r>
  <r>
    <x v="18"/>
    <x v="1"/>
    <x v="1"/>
    <x v="0"/>
    <x v="0"/>
    <x v="0"/>
    <x v="0"/>
    <x v="1"/>
    <x v="2"/>
    <x v="8"/>
    <n v="1"/>
    <n v="1"/>
    <n v="0"/>
    <m/>
    <x v="1"/>
    <n v="9.9142550923112027E-2"/>
  </r>
  <r>
    <x v="19"/>
    <x v="1"/>
    <x v="1"/>
    <x v="2"/>
    <x v="1"/>
    <x v="1"/>
    <x v="0"/>
    <x v="1"/>
    <x v="1"/>
    <x v="8"/>
    <n v="1"/>
    <n v="2"/>
    <n v="0"/>
    <m/>
    <x v="1"/>
    <n v="0.22042889881036445"/>
  </r>
  <r>
    <x v="17"/>
    <x v="0"/>
    <x v="0"/>
    <x v="1"/>
    <x v="2"/>
    <x v="1"/>
    <x v="0"/>
    <x v="1"/>
    <x v="1"/>
    <x v="4"/>
    <n v="1"/>
    <n v="1"/>
    <n v="0"/>
    <n v="1"/>
    <x v="0"/>
    <n v="3.8861886041588509E-2"/>
  </r>
  <r>
    <x v="3"/>
    <x v="1"/>
    <x v="0"/>
    <x v="1"/>
    <x v="1"/>
    <x v="0"/>
    <x v="0"/>
    <x v="1"/>
    <x v="0"/>
    <x v="0"/>
    <n v="1"/>
    <n v="1"/>
    <n v="0"/>
    <m/>
    <x v="1"/>
    <n v="4.5590572395740707E-2"/>
  </r>
  <r>
    <x v="21"/>
    <x v="1"/>
    <x v="0"/>
    <x v="2"/>
    <x v="3"/>
    <x v="0"/>
    <x v="1"/>
    <x v="1"/>
    <x v="2"/>
    <x v="9"/>
    <n v="1"/>
    <n v="1"/>
    <n v="0"/>
    <m/>
    <x v="1"/>
    <n v="0.16391711892382171"/>
  </r>
  <r>
    <x v="15"/>
    <x v="1"/>
    <x v="0"/>
    <x v="1"/>
    <x v="2"/>
    <x v="1"/>
    <x v="0"/>
    <x v="1"/>
    <x v="1"/>
    <x v="0"/>
    <n v="1"/>
    <n v="2"/>
    <n v="0"/>
    <n v="1"/>
    <x v="0"/>
    <n v="0.11522089129373574"/>
  </r>
  <r>
    <x v="3"/>
    <x v="1"/>
    <x v="1"/>
    <x v="1"/>
    <x v="2"/>
    <x v="0"/>
    <x v="0"/>
    <x v="1"/>
    <x v="1"/>
    <x v="5"/>
    <n v="1"/>
    <n v="1"/>
    <n v="0"/>
    <m/>
    <x v="1"/>
    <n v="2.111525100948302E-2"/>
  </r>
  <r>
    <x v="17"/>
    <x v="0"/>
    <x v="0"/>
    <x v="0"/>
    <x v="2"/>
    <x v="0"/>
    <x v="1"/>
    <x v="1"/>
    <x v="1"/>
    <x v="5"/>
    <n v="1"/>
    <n v="1"/>
    <n v="0"/>
    <n v="1"/>
    <x v="0"/>
    <n v="2.0865309424357978E-2"/>
  </r>
  <r>
    <x v="5"/>
    <x v="1"/>
    <x v="0"/>
    <x v="1"/>
    <x v="3"/>
    <x v="0"/>
    <x v="0"/>
    <x v="1"/>
    <x v="2"/>
    <x v="9"/>
    <n v="1"/>
    <n v="1"/>
    <n v="0"/>
    <n v="1"/>
    <x v="0"/>
    <n v="0.12561915426424905"/>
  </r>
  <r>
    <x v="0"/>
    <x v="1"/>
    <x v="0"/>
    <x v="1"/>
    <x v="1"/>
    <x v="1"/>
    <x v="0"/>
    <x v="1"/>
    <x v="2"/>
    <x v="9"/>
    <n v="1"/>
    <n v="1"/>
    <n v="0"/>
    <n v="1"/>
    <x v="0"/>
    <n v="0.17433593735276651"/>
  </r>
  <r>
    <x v="20"/>
    <x v="1"/>
    <x v="1"/>
    <x v="0"/>
    <x v="3"/>
    <x v="0"/>
    <x v="1"/>
    <x v="1"/>
    <x v="0"/>
    <x v="2"/>
    <n v="1"/>
    <n v="1"/>
    <n v="0"/>
    <n v="1"/>
    <x v="0"/>
    <n v="4.4057106281978078E-2"/>
  </r>
  <r>
    <x v="3"/>
    <x v="0"/>
    <x v="1"/>
    <x v="1"/>
    <x v="3"/>
    <x v="0"/>
    <x v="1"/>
    <x v="1"/>
    <x v="2"/>
    <x v="7"/>
    <n v="1"/>
    <n v="1"/>
    <n v="0"/>
    <m/>
    <x v="1"/>
    <n v="3.0277239538130045E-2"/>
  </r>
  <r>
    <x v="3"/>
    <x v="0"/>
    <x v="1"/>
    <x v="2"/>
    <x v="0"/>
    <x v="0"/>
    <x v="0"/>
    <x v="1"/>
    <x v="1"/>
    <x v="7"/>
    <n v="1"/>
    <n v="1"/>
    <n v="0"/>
    <m/>
    <x v="1"/>
    <n v="2.7277842000339191E-2"/>
  </r>
  <r>
    <x v="22"/>
    <x v="1"/>
    <x v="0"/>
    <x v="2"/>
    <x v="2"/>
    <x v="1"/>
    <x v="0"/>
    <x v="0"/>
    <x v="0"/>
    <x v="9"/>
    <n v="1"/>
    <n v="1"/>
    <n v="0"/>
    <n v="1"/>
    <x v="0"/>
    <n v="0.21141932175066067"/>
  </r>
  <r>
    <x v="15"/>
    <x v="0"/>
    <x v="0"/>
    <x v="2"/>
    <x v="2"/>
    <x v="1"/>
    <x v="0"/>
    <x v="0"/>
    <x v="0"/>
    <x v="9"/>
    <n v="1"/>
    <n v="1"/>
    <n v="0"/>
    <n v="1"/>
    <x v="0"/>
    <n v="0.15061565033412677"/>
  </r>
  <r>
    <x v="0"/>
    <x v="1"/>
    <x v="0"/>
    <x v="0"/>
    <x v="3"/>
    <x v="1"/>
    <x v="1"/>
    <x v="1"/>
    <x v="0"/>
    <x v="8"/>
    <n v="1"/>
    <n v="1"/>
    <n v="0"/>
    <n v="1"/>
    <x v="0"/>
    <n v="0.11552492690011482"/>
  </r>
  <r>
    <x v="9"/>
    <x v="1"/>
    <x v="0"/>
    <x v="2"/>
    <x v="0"/>
    <x v="0"/>
    <x v="1"/>
    <x v="1"/>
    <x v="1"/>
    <x v="7"/>
    <n v="1"/>
    <n v="1"/>
    <n v="0"/>
    <n v="1"/>
    <x v="0"/>
    <n v="2.8073075056070349E-2"/>
  </r>
  <r>
    <x v="10"/>
    <x v="1"/>
    <x v="1"/>
    <x v="0"/>
    <x v="2"/>
    <x v="1"/>
    <x v="0"/>
    <x v="1"/>
    <x v="1"/>
    <x v="8"/>
    <n v="2"/>
    <n v="4"/>
    <n v="0"/>
    <m/>
    <x v="1"/>
    <n v="0.34064002066679711"/>
  </r>
  <r>
    <x v="7"/>
    <x v="0"/>
    <x v="0"/>
    <x v="0"/>
    <x v="3"/>
    <x v="1"/>
    <x v="1"/>
    <x v="1"/>
    <x v="2"/>
    <x v="9"/>
    <n v="1"/>
    <n v="1"/>
    <n v="0"/>
    <m/>
    <x v="1"/>
    <n v="0.16248563228241489"/>
  </r>
  <r>
    <x v="12"/>
    <x v="1"/>
    <x v="0"/>
    <x v="0"/>
    <x v="3"/>
    <x v="1"/>
    <x v="1"/>
    <x v="1"/>
    <x v="1"/>
    <x v="1"/>
    <n v="1"/>
    <n v="1"/>
    <n v="0"/>
    <m/>
    <x v="1"/>
    <n v="7.9107339630020743E-2"/>
  </r>
  <r>
    <x v="2"/>
    <x v="0"/>
    <x v="1"/>
    <x v="0"/>
    <x v="0"/>
    <x v="0"/>
    <x v="0"/>
    <x v="0"/>
    <x v="2"/>
    <x v="1"/>
    <n v="1"/>
    <n v="1"/>
    <n v="0"/>
    <m/>
    <x v="1"/>
    <n v="6.785105877159095E-2"/>
  </r>
  <r>
    <x v="9"/>
    <x v="1"/>
    <x v="0"/>
    <x v="0"/>
    <x v="2"/>
    <x v="1"/>
    <x v="0"/>
    <x v="0"/>
    <x v="2"/>
    <x v="9"/>
    <n v="1"/>
    <n v="1"/>
    <n v="1"/>
    <n v="1"/>
    <x v="0"/>
    <n v="0.31398055376811668"/>
  </r>
  <r>
    <x v="22"/>
    <x v="0"/>
    <x v="1"/>
    <x v="0"/>
    <x v="0"/>
    <x v="1"/>
    <x v="1"/>
    <x v="0"/>
    <x v="1"/>
    <x v="5"/>
    <n v="1"/>
    <n v="2"/>
    <n v="0"/>
    <n v="1"/>
    <x v="0"/>
    <n v="3.892864843052074E-2"/>
  </r>
  <r>
    <x v="15"/>
    <x v="0"/>
    <x v="0"/>
    <x v="2"/>
    <x v="2"/>
    <x v="0"/>
    <x v="1"/>
    <x v="1"/>
    <x v="0"/>
    <x v="4"/>
    <n v="1"/>
    <n v="1"/>
    <n v="0"/>
    <n v="1"/>
    <x v="0"/>
    <n v="4.088219372579513E-2"/>
  </r>
  <r>
    <x v="11"/>
    <x v="0"/>
    <x v="1"/>
    <x v="1"/>
    <x v="0"/>
    <x v="0"/>
    <x v="0"/>
    <x v="1"/>
    <x v="1"/>
    <x v="6"/>
    <n v="1"/>
    <n v="1"/>
    <n v="0"/>
    <m/>
    <x v="1"/>
    <n v="9.6288351632262403E-3"/>
  </r>
  <r>
    <x v="6"/>
    <x v="0"/>
    <x v="1"/>
    <x v="0"/>
    <x v="2"/>
    <x v="0"/>
    <x v="0"/>
    <x v="0"/>
    <x v="0"/>
    <x v="0"/>
    <n v="1"/>
    <n v="1"/>
    <n v="0"/>
    <m/>
    <x v="1"/>
    <n v="4.540277721734616E-2"/>
  </r>
  <r>
    <x v="18"/>
    <x v="0"/>
    <x v="1"/>
    <x v="0"/>
    <x v="3"/>
    <x v="1"/>
    <x v="0"/>
    <x v="1"/>
    <x v="2"/>
    <x v="9"/>
    <n v="1"/>
    <n v="1"/>
    <n v="0"/>
    <m/>
    <x v="1"/>
    <n v="0.22166089127555452"/>
  </r>
  <r>
    <x v="6"/>
    <x v="0"/>
    <x v="1"/>
    <x v="2"/>
    <x v="0"/>
    <x v="0"/>
    <x v="0"/>
    <x v="1"/>
    <x v="0"/>
    <x v="4"/>
    <n v="1"/>
    <n v="1"/>
    <n v="0"/>
    <m/>
    <x v="1"/>
    <n v="4.089495301709424E-2"/>
  </r>
  <r>
    <x v="16"/>
    <x v="0"/>
    <x v="1"/>
    <x v="2"/>
    <x v="2"/>
    <x v="1"/>
    <x v="0"/>
    <x v="1"/>
    <x v="1"/>
    <x v="1"/>
    <n v="1"/>
    <n v="1"/>
    <n v="0"/>
    <m/>
    <x v="1"/>
    <n v="7.4925884485121511E-2"/>
  </r>
  <r>
    <x v="21"/>
    <x v="0"/>
    <x v="1"/>
    <x v="0"/>
    <x v="3"/>
    <x v="1"/>
    <x v="0"/>
    <x v="0"/>
    <x v="2"/>
    <x v="9"/>
    <n v="1"/>
    <n v="1"/>
    <n v="0"/>
    <m/>
    <x v="1"/>
    <n v="0.22166089127555452"/>
  </r>
  <r>
    <x v="7"/>
    <x v="1"/>
    <x v="0"/>
    <x v="1"/>
    <x v="3"/>
    <x v="1"/>
    <x v="0"/>
    <x v="1"/>
    <x v="1"/>
    <x v="1"/>
    <n v="0"/>
    <n v="1"/>
    <n v="0"/>
    <m/>
    <x v="1"/>
    <n v="7.6477390150305455E-2"/>
  </r>
  <r>
    <x v="14"/>
    <x v="0"/>
    <x v="1"/>
    <x v="2"/>
    <x v="2"/>
    <x v="1"/>
    <x v="0"/>
    <x v="0"/>
    <x v="1"/>
    <x v="1"/>
    <n v="0"/>
    <n v="1"/>
    <n v="0"/>
    <m/>
    <x v="1"/>
    <n v="7.4925884485121511E-2"/>
  </r>
  <r>
    <x v="10"/>
    <x v="0"/>
    <x v="0"/>
    <x v="2"/>
    <x v="1"/>
    <x v="1"/>
    <x v="0"/>
    <x v="1"/>
    <x v="2"/>
    <x v="9"/>
    <n v="0"/>
    <n v="2"/>
    <n v="0"/>
    <m/>
    <x v="1"/>
    <n v="0.57428643650157385"/>
  </r>
  <r>
    <x v="14"/>
    <x v="1"/>
    <x v="1"/>
    <x v="2"/>
    <x v="2"/>
    <x v="1"/>
    <x v="0"/>
    <x v="1"/>
    <x v="1"/>
    <x v="8"/>
    <n v="0"/>
    <n v="2"/>
    <n v="0"/>
    <m/>
    <x v="1"/>
    <n v="0.21819653298737546"/>
  </r>
  <r>
    <x v="15"/>
    <x v="0"/>
    <x v="1"/>
    <x v="0"/>
    <x v="0"/>
    <x v="0"/>
    <x v="0"/>
    <x v="0"/>
    <x v="0"/>
    <x v="4"/>
    <n v="0"/>
    <n v="1"/>
    <n v="0"/>
    <m/>
    <x v="0"/>
    <n v="3.1394457123754216E-2"/>
  </r>
  <r>
    <x v="22"/>
    <x v="0"/>
    <x v="0"/>
    <x v="1"/>
    <x v="0"/>
    <x v="0"/>
    <x v="0"/>
    <x v="1"/>
    <x v="2"/>
    <x v="0"/>
    <n v="0"/>
    <n v="1"/>
    <n v="0"/>
    <m/>
    <x v="0"/>
    <n v="4.5621764642715154E-2"/>
  </r>
  <r>
    <x v="7"/>
    <x v="1"/>
    <x v="0"/>
    <x v="2"/>
    <x v="2"/>
    <x v="1"/>
    <x v="0"/>
    <x v="1"/>
    <x v="0"/>
    <x v="9"/>
    <n v="0"/>
    <n v="1"/>
    <n v="0"/>
    <m/>
    <x v="1"/>
    <n v="0.21141932175066067"/>
  </r>
  <r>
    <x v="19"/>
    <x v="1"/>
    <x v="0"/>
    <x v="0"/>
    <x v="3"/>
    <x v="1"/>
    <x v="0"/>
    <x v="1"/>
    <x v="2"/>
    <x v="9"/>
    <n v="0"/>
    <n v="4"/>
    <n v="0"/>
    <m/>
    <x v="1"/>
    <n v="1.5308411122990924"/>
  </r>
  <r>
    <x v="3"/>
    <x v="1"/>
    <x v="0"/>
    <x v="2"/>
    <x v="1"/>
    <x v="1"/>
    <x v="0"/>
    <x v="1"/>
    <x v="2"/>
    <x v="9"/>
    <n v="0"/>
    <n v="7"/>
    <n v="0"/>
    <m/>
    <x v="1"/>
    <n v="2.6495160149652901"/>
  </r>
  <r>
    <x v="18"/>
    <x v="0"/>
    <x v="0"/>
    <x v="0"/>
    <x v="3"/>
    <x v="1"/>
    <x v="0"/>
    <x v="1"/>
    <x v="1"/>
    <x v="8"/>
    <n v="0"/>
    <n v="1"/>
    <n v="0"/>
    <m/>
    <x v="1"/>
    <n v="0.1072132568053293"/>
  </r>
  <r>
    <x v="11"/>
    <x v="0"/>
    <x v="1"/>
    <x v="2"/>
    <x v="2"/>
    <x v="1"/>
    <x v="1"/>
    <x v="1"/>
    <x v="1"/>
    <x v="4"/>
    <n v="0"/>
    <n v="1"/>
    <n v="0"/>
    <m/>
    <x v="1"/>
    <n v="3.6906111670654135E-2"/>
  </r>
  <r>
    <x v="8"/>
    <x v="0"/>
    <x v="0"/>
    <x v="2"/>
    <x v="1"/>
    <x v="1"/>
    <x v="0"/>
    <x v="1"/>
    <x v="2"/>
    <x v="9"/>
    <n v="0"/>
    <n v="3"/>
    <n v="0"/>
    <m/>
    <x v="1"/>
    <n v="0.86142965475236066"/>
  </r>
  <r>
    <x v="19"/>
    <x v="0"/>
    <x v="0"/>
    <x v="1"/>
    <x v="3"/>
    <x v="1"/>
    <x v="0"/>
    <x v="1"/>
    <x v="2"/>
    <x v="9"/>
    <n v="0"/>
    <n v="1"/>
    <n v="0"/>
    <m/>
    <x v="1"/>
    <n v="0.15755800253898447"/>
  </r>
  <r>
    <x v="13"/>
    <x v="1"/>
    <x v="0"/>
    <x v="1"/>
    <x v="2"/>
    <x v="1"/>
    <x v="0"/>
    <x v="0"/>
    <x v="1"/>
    <x v="0"/>
    <n v="0"/>
    <n v="1"/>
    <n v="0"/>
    <m/>
    <x v="1"/>
    <n v="5.7610445646867868E-2"/>
  </r>
  <r>
    <x v="21"/>
    <x v="0"/>
    <x v="1"/>
    <x v="0"/>
    <x v="0"/>
    <x v="1"/>
    <x v="1"/>
    <x v="0"/>
    <x v="1"/>
    <x v="5"/>
    <n v="0"/>
    <n v="1"/>
    <n v="0"/>
    <m/>
    <x v="1"/>
    <n v="1.946432421526037E-2"/>
  </r>
  <r>
    <x v="2"/>
    <x v="1"/>
    <x v="0"/>
    <x v="1"/>
    <x v="1"/>
    <x v="0"/>
    <x v="0"/>
    <x v="1"/>
    <x v="0"/>
    <x v="0"/>
    <n v="0"/>
    <n v="1"/>
    <n v="0"/>
    <m/>
    <x v="1"/>
    <n v="4.5590572395740707E-2"/>
  </r>
  <r>
    <x v="4"/>
    <x v="1"/>
    <x v="0"/>
    <x v="2"/>
    <x v="0"/>
    <x v="0"/>
    <x v="1"/>
    <x v="1"/>
    <x v="2"/>
    <x v="8"/>
    <n v="0"/>
    <n v="1"/>
    <n v="0"/>
    <m/>
    <x v="1"/>
    <n v="8.9774500731891763E-2"/>
  </r>
  <r>
    <x v="2"/>
    <x v="1"/>
    <x v="1"/>
    <x v="2"/>
    <x v="2"/>
    <x v="0"/>
    <x v="0"/>
    <x v="1"/>
    <x v="2"/>
    <x v="9"/>
    <n v="0"/>
    <n v="1"/>
    <n v="0"/>
    <m/>
    <x v="1"/>
    <n v="0.17522405795301016"/>
  </r>
  <r>
    <x v="3"/>
    <x v="0"/>
    <x v="0"/>
    <x v="1"/>
    <x v="3"/>
    <x v="0"/>
    <x v="0"/>
    <x v="1"/>
    <x v="2"/>
    <x v="8"/>
    <n v="0"/>
    <n v="1"/>
    <n v="0"/>
    <m/>
    <x v="1"/>
    <n v="8.6776040583617209E-2"/>
  </r>
  <r>
    <x v="22"/>
    <x v="1"/>
    <x v="1"/>
    <x v="0"/>
    <x v="0"/>
    <x v="0"/>
    <x v="0"/>
    <x v="0"/>
    <x v="2"/>
    <x v="8"/>
    <n v="0"/>
    <n v="1"/>
    <n v="0"/>
    <m/>
    <x v="0"/>
    <n v="9.9142550923112027E-2"/>
  </r>
  <r>
    <x v="11"/>
    <x v="1"/>
    <x v="1"/>
    <x v="1"/>
    <x v="0"/>
    <x v="1"/>
    <x v="0"/>
    <x v="0"/>
    <x v="1"/>
    <x v="7"/>
    <n v="0"/>
    <n v="1"/>
    <n v="0"/>
    <m/>
    <x v="1"/>
    <n v="2.8118975193987015E-2"/>
  </r>
  <r>
    <x v="14"/>
    <x v="1"/>
    <x v="1"/>
    <x v="0"/>
    <x v="3"/>
    <x v="0"/>
    <x v="1"/>
    <x v="1"/>
    <x v="2"/>
    <x v="8"/>
    <n v="0"/>
    <n v="1"/>
    <n v="0"/>
    <m/>
    <x v="1"/>
    <n v="9.3794232171735367E-2"/>
  </r>
  <r>
    <x v="7"/>
    <x v="1"/>
    <x v="0"/>
    <x v="0"/>
    <x v="2"/>
    <x v="0"/>
    <x v="0"/>
    <x v="0"/>
    <x v="2"/>
    <x v="9"/>
    <n v="0"/>
    <n v="1"/>
    <n v="0"/>
    <m/>
    <x v="1"/>
    <n v="0.18866403843496365"/>
  </r>
  <r>
    <x v="3"/>
    <x v="0"/>
    <x v="0"/>
    <x v="2"/>
    <x v="0"/>
    <x v="0"/>
    <x v="0"/>
    <x v="0"/>
    <x v="0"/>
    <x v="0"/>
    <n v="0"/>
    <n v="1"/>
    <n v="0"/>
    <m/>
    <x v="1"/>
    <n v="5.784352300209826E-2"/>
  </r>
  <r>
    <x v="9"/>
    <x v="0"/>
    <x v="0"/>
    <x v="2"/>
    <x v="3"/>
    <x v="1"/>
    <x v="0"/>
    <x v="0"/>
    <x v="0"/>
    <x v="9"/>
    <n v="0"/>
    <n v="1"/>
    <n v="0"/>
    <m/>
    <x v="0"/>
    <n v="0.19368117151349643"/>
  </r>
  <r>
    <x v="21"/>
    <x v="0"/>
    <x v="1"/>
    <x v="2"/>
    <x v="1"/>
    <x v="1"/>
    <x v="0"/>
    <x v="1"/>
    <x v="1"/>
    <x v="1"/>
    <n v="0"/>
    <n v="1"/>
    <n v="0"/>
    <m/>
    <x v="1"/>
    <n v="7.5722165913494635E-2"/>
  </r>
  <r>
    <x v="11"/>
    <x v="0"/>
    <x v="0"/>
    <x v="0"/>
    <x v="3"/>
    <x v="1"/>
    <x v="0"/>
    <x v="0"/>
    <x v="1"/>
    <x v="8"/>
    <n v="0"/>
    <n v="1"/>
    <n v="0"/>
    <m/>
    <x v="1"/>
    <n v="0.1072132568053293"/>
  </r>
  <r>
    <x v="9"/>
    <x v="1"/>
    <x v="0"/>
    <x v="1"/>
    <x v="2"/>
    <x v="1"/>
    <x v="0"/>
    <x v="1"/>
    <x v="1"/>
    <x v="0"/>
    <n v="0"/>
    <n v="2"/>
    <n v="0"/>
    <m/>
    <x v="0"/>
    <n v="0.11522089129373574"/>
  </r>
  <r>
    <x v="4"/>
    <x v="0"/>
    <x v="1"/>
    <x v="0"/>
    <x v="2"/>
    <x v="0"/>
    <x v="1"/>
    <x v="1"/>
    <x v="0"/>
    <x v="7"/>
    <n v="0"/>
    <n v="1"/>
    <n v="0"/>
    <m/>
    <x v="1"/>
    <n v="2.2007568458762099E-2"/>
  </r>
  <r>
    <x v="19"/>
    <x v="0"/>
    <x v="0"/>
    <x v="2"/>
    <x v="3"/>
    <x v="1"/>
    <x v="0"/>
    <x v="0"/>
    <x v="1"/>
    <x v="9"/>
    <n v="0"/>
    <n v="1"/>
    <n v="0"/>
    <m/>
    <x v="1"/>
    <n v="0.13642618392543343"/>
  </r>
  <r>
    <x v="2"/>
    <x v="0"/>
    <x v="0"/>
    <x v="0"/>
    <x v="3"/>
    <x v="0"/>
    <x v="1"/>
    <x v="1"/>
    <x v="2"/>
    <x v="8"/>
    <n v="0"/>
    <n v="2"/>
    <n v="0"/>
    <m/>
    <x v="1"/>
    <n v="0.17945147547396764"/>
  </r>
  <r>
    <x v="3"/>
    <x v="0"/>
    <x v="1"/>
    <x v="0"/>
    <x v="2"/>
    <x v="0"/>
    <x v="0"/>
    <x v="0"/>
    <x v="1"/>
    <x v="7"/>
    <n v="0"/>
    <n v="1"/>
    <n v="0"/>
    <m/>
    <x v="1"/>
    <n v="3.0332130839860555E-2"/>
  </r>
  <r>
    <x v="7"/>
    <x v="1"/>
    <x v="0"/>
    <x v="0"/>
    <x v="3"/>
    <x v="0"/>
    <x v="1"/>
    <x v="1"/>
    <x v="2"/>
    <x v="9"/>
    <n v="0"/>
    <n v="1"/>
    <n v="0"/>
    <m/>
    <x v="1"/>
    <n v="0.12970168387961117"/>
  </r>
  <r>
    <x v="5"/>
    <x v="1"/>
    <x v="1"/>
    <x v="0"/>
    <x v="2"/>
    <x v="1"/>
    <x v="0"/>
    <x v="1"/>
    <x v="0"/>
    <x v="8"/>
    <n v="0"/>
    <n v="1"/>
    <n v="0"/>
    <m/>
    <x v="0"/>
    <n v="0.12398881875313826"/>
  </r>
  <r>
    <x v="21"/>
    <x v="1"/>
    <x v="1"/>
    <x v="0"/>
    <x v="2"/>
    <x v="1"/>
    <x v="0"/>
    <x v="1"/>
    <x v="1"/>
    <x v="8"/>
    <n v="0"/>
    <n v="1"/>
    <n v="0"/>
    <m/>
    <x v="1"/>
    <n v="8.5160005166699276E-2"/>
  </r>
  <r>
    <x v="4"/>
    <x v="1"/>
    <x v="0"/>
    <x v="2"/>
    <x v="2"/>
    <x v="0"/>
    <x v="1"/>
    <x v="1"/>
    <x v="1"/>
    <x v="4"/>
    <n v="0"/>
    <n v="1"/>
    <n v="0"/>
    <m/>
    <x v="1"/>
    <n v="4.066159666363986E-2"/>
  </r>
  <r>
    <x v="4"/>
    <x v="1"/>
    <x v="0"/>
    <x v="1"/>
    <x v="2"/>
    <x v="0"/>
    <x v="1"/>
    <x v="1"/>
    <x v="2"/>
    <x v="0"/>
    <n v="0"/>
    <n v="1"/>
    <n v="0"/>
    <m/>
    <x v="1"/>
    <n v="4.778062262691999E-2"/>
  </r>
  <r>
    <x v="21"/>
    <x v="1"/>
    <x v="0"/>
    <x v="0"/>
    <x v="1"/>
    <x v="1"/>
    <x v="0"/>
    <x v="1"/>
    <x v="2"/>
    <x v="9"/>
    <n v="0"/>
    <n v="2"/>
    <n v="0"/>
    <m/>
    <x v="1"/>
    <n v="0.63289666558431801"/>
  </r>
  <r>
    <x v="9"/>
    <x v="1"/>
    <x v="0"/>
    <x v="2"/>
    <x v="1"/>
    <x v="1"/>
    <x v="0"/>
    <x v="1"/>
    <x v="2"/>
    <x v="9"/>
    <n v="0"/>
    <n v="1"/>
    <n v="0"/>
    <m/>
    <x v="0"/>
    <n v="0.37850228785218432"/>
  </r>
  <r>
    <x v="10"/>
    <x v="1"/>
    <x v="0"/>
    <x v="1"/>
    <x v="1"/>
    <x v="1"/>
    <x v="0"/>
    <x v="1"/>
    <x v="2"/>
    <x v="9"/>
    <n v="0"/>
    <n v="1"/>
    <n v="0"/>
    <m/>
    <x v="1"/>
    <n v="0.17433593735276651"/>
  </r>
  <r>
    <x v="19"/>
    <x v="0"/>
    <x v="1"/>
    <x v="0"/>
    <x v="0"/>
    <x v="0"/>
    <x v="1"/>
    <x v="1"/>
    <x v="1"/>
    <x v="6"/>
    <n v="0"/>
    <n v="2"/>
    <n v="0"/>
    <m/>
    <x v="1"/>
    <n v="1.9969622697467805E-2"/>
  </r>
  <r>
    <x v="21"/>
    <x v="1"/>
    <x v="0"/>
    <x v="1"/>
    <x v="3"/>
    <x v="0"/>
    <x v="0"/>
    <x v="1"/>
    <x v="1"/>
    <x v="4"/>
    <n v="0"/>
    <n v="1"/>
    <n v="0"/>
    <m/>
    <x v="1"/>
    <n v="4.0374698524789331E-2"/>
  </r>
  <r>
    <x v="10"/>
    <x v="1"/>
    <x v="0"/>
    <x v="0"/>
    <x v="2"/>
    <x v="1"/>
    <x v="0"/>
    <x v="1"/>
    <x v="2"/>
    <x v="9"/>
    <n v="0"/>
    <n v="3"/>
    <n v="0"/>
    <m/>
    <x v="1"/>
    <n v="0.94194166130434986"/>
  </r>
  <r>
    <x v="16"/>
    <x v="1"/>
    <x v="0"/>
    <x v="2"/>
    <x v="0"/>
    <x v="1"/>
    <x v="0"/>
    <x v="0"/>
    <x v="1"/>
    <x v="8"/>
    <n v="0"/>
    <n v="1"/>
    <n v="0"/>
    <m/>
    <x v="1"/>
    <n v="0.10727040371594192"/>
  </r>
  <r>
    <x v="8"/>
    <x v="1"/>
    <x v="0"/>
    <x v="0"/>
    <x v="2"/>
    <x v="1"/>
    <x v="1"/>
    <x v="1"/>
    <x v="1"/>
    <x v="3"/>
    <n v="0"/>
    <n v="2"/>
    <n v="0"/>
    <m/>
    <x v="1"/>
    <n v="0.11926696437941101"/>
  </r>
  <r>
    <x v="8"/>
    <x v="1"/>
    <x v="0"/>
    <x v="1"/>
    <x v="2"/>
    <x v="1"/>
    <x v="1"/>
    <x v="1"/>
    <x v="2"/>
    <x v="8"/>
    <n v="0"/>
    <n v="1"/>
    <n v="0"/>
    <m/>
    <x v="1"/>
    <n v="8.9885332134212514E-2"/>
  </r>
  <r>
    <x v="2"/>
    <x v="1"/>
    <x v="1"/>
    <x v="0"/>
    <x v="2"/>
    <x v="1"/>
    <x v="1"/>
    <x v="0"/>
    <x v="0"/>
    <x v="3"/>
    <n v="0"/>
    <n v="1"/>
    <n v="0"/>
    <m/>
    <x v="1"/>
    <n v="6.2762040961245935E-2"/>
  </r>
  <r>
    <x v="19"/>
    <x v="1"/>
    <x v="1"/>
    <x v="0"/>
    <x v="0"/>
    <x v="0"/>
    <x v="1"/>
    <x v="0"/>
    <x v="2"/>
    <x v="0"/>
    <n v="0"/>
    <n v="1"/>
    <n v="0"/>
    <m/>
    <x v="1"/>
    <n v="4.9491902792675999E-2"/>
  </r>
  <r>
    <x v="10"/>
    <x v="0"/>
    <x v="1"/>
    <x v="0"/>
    <x v="0"/>
    <x v="0"/>
    <x v="1"/>
    <x v="1"/>
    <x v="2"/>
    <x v="4"/>
    <n v="0"/>
    <n v="1"/>
    <n v="0"/>
    <m/>
    <x v="1"/>
    <n v="3.3292078574409821E-2"/>
  </r>
  <r>
    <x v="21"/>
    <x v="1"/>
    <x v="0"/>
    <x v="2"/>
    <x v="3"/>
    <x v="1"/>
    <x v="0"/>
    <x v="1"/>
    <x v="2"/>
    <x v="9"/>
    <n v="0"/>
    <n v="1"/>
    <n v="0"/>
    <m/>
    <x v="1"/>
    <n v="0.44921867129852688"/>
  </r>
  <r>
    <x v="14"/>
    <x v="0"/>
    <x v="0"/>
    <x v="1"/>
    <x v="2"/>
    <x v="0"/>
    <x v="1"/>
    <x v="1"/>
    <x v="2"/>
    <x v="4"/>
    <n v="0"/>
    <n v="1"/>
    <n v="0"/>
    <m/>
    <x v="1"/>
    <n v="3.2122009568017543E-2"/>
  </r>
  <r>
    <x v="22"/>
    <x v="0"/>
    <x v="0"/>
    <x v="2"/>
    <x v="1"/>
    <x v="1"/>
    <x v="0"/>
    <x v="1"/>
    <x v="2"/>
    <x v="9"/>
    <n v="0"/>
    <n v="1"/>
    <n v="0"/>
    <m/>
    <x v="0"/>
    <n v="0.28714321825078692"/>
  </r>
  <r>
    <x v="22"/>
    <x v="0"/>
    <x v="1"/>
    <x v="1"/>
    <x v="1"/>
    <x v="1"/>
    <x v="0"/>
    <x v="1"/>
    <x v="0"/>
    <x v="4"/>
    <n v="0"/>
    <n v="1"/>
    <n v="0"/>
    <m/>
    <x v="0"/>
    <n v="4.1399495065687533E-2"/>
  </r>
  <r>
    <x v="12"/>
    <x v="1"/>
    <x v="1"/>
    <x v="0"/>
    <x v="2"/>
    <x v="1"/>
    <x v="0"/>
    <x v="0"/>
    <x v="2"/>
    <x v="9"/>
    <n v="0"/>
    <n v="1"/>
    <n v="0"/>
    <m/>
    <x v="1"/>
    <n v="0.24119501983049757"/>
  </r>
  <r>
    <x v="7"/>
    <x v="0"/>
    <x v="0"/>
    <x v="2"/>
    <x v="3"/>
    <x v="1"/>
    <x v="1"/>
    <x v="1"/>
    <x v="2"/>
    <x v="9"/>
    <n v="0"/>
    <n v="1"/>
    <n v="0"/>
    <m/>
    <x v="1"/>
    <n v="0.2033289596940886"/>
  </r>
  <r>
    <x v="2"/>
    <x v="0"/>
    <x v="0"/>
    <x v="0"/>
    <x v="3"/>
    <x v="0"/>
    <x v="0"/>
    <x v="1"/>
    <x v="0"/>
    <x v="8"/>
    <n v="0"/>
    <n v="1"/>
    <n v="0"/>
    <m/>
    <x v="1"/>
    <n v="8.4893923858991527E-2"/>
  </r>
  <r>
    <x v="3"/>
    <x v="1"/>
    <x v="1"/>
    <x v="2"/>
    <x v="3"/>
    <x v="1"/>
    <x v="0"/>
    <x v="0"/>
    <x v="2"/>
    <x v="9"/>
    <n v="0"/>
    <n v="1"/>
    <n v="0"/>
    <m/>
    <x v="1"/>
    <n v="0.36160791219919358"/>
  </r>
  <r>
    <x v="4"/>
    <x v="1"/>
    <x v="1"/>
    <x v="0"/>
    <x v="2"/>
    <x v="0"/>
    <x v="0"/>
    <x v="0"/>
    <x v="2"/>
    <x v="9"/>
    <n v="0"/>
    <n v="1"/>
    <n v="0"/>
    <m/>
    <x v="1"/>
    <n v="0.13904095240248723"/>
  </r>
  <r>
    <x v="3"/>
    <x v="0"/>
    <x v="0"/>
    <x v="0"/>
    <x v="2"/>
    <x v="1"/>
    <x v="1"/>
    <x v="1"/>
    <x v="1"/>
    <x v="4"/>
    <n v="0"/>
    <n v="2"/>
    <n v="0"/>
    <m/>
    <x v="1"/>
    <n v="8.0509349356369539E-2"/>
  </r>
  <r>
    <x v="0"/>
    <x v="1"/>
    <x v="1"/>
    <x v="0"/>
    <x v="3"/>
    <x v="1"/>
    <x v="0"/>
    <x v="1"/>
    <x v="2"/>
    <x v="9"/>
    <n v="0"/>
    <n v="1"/>
    <n v="0"/>
    <m/>
    <x v="0"/>
    <n v="0.30098236555114261"/>
  </r>
  <r>
    <x v="21"/>
    <x v="0"/>
    <x v="0"/>
    <x v="0"/>
    <x v="0"/>
    <x v="0"/>
    <x v="1"/>
    <x v="1"/>
    <x v="0"/>
    <x v="7"/>
    <n v="0"/>
    <n v="1"/>
    <n v="0"/>
    <m/>
    <x v="1"/>
    <n v="2.1603464808317204E-2"/>
  </r>
  <r>
    <x v="2"/>
    <x v="0"/>
    <x v="1"/>
    <x v="2"/>
    <x v="0"/>
    <x v="0"/>
    <x v="1"/>
    <x v="0"/>
    <x v="0"/>
    <x v="5"/>
    <n v="0"/>
    <n v="1"/>
    <n v="0"/>
    <m/>
    <x v="1"/>
    <n v="1.9774425808023691E-2"/>
  </r>
  <r>
    <x v="19"/>
    <x v="1"/>
    <x v="0"/>
    <x v="1"/>
    <x v="2"/>
    <x v="1"/>
    <x v="0"/>
    <x v="0"/>
    <x v="0"/>
    <x v="8"/>
    <n v="0"/>
    <n v="1"/>
    <n v="0"/>
    <m/>
    <x v="1"/>
    <n v="8.5045726905154884E-2"/>
  </r>
  <r>
    <x v="6"/>
    <x v="0"/>
    <x v="0"/>
    <x v="0"/>
    <x v="3"/>
    <x v="0"/>
    <x v="1"/>
    <x v="1"/>
    <x v="0"/>
    <x v="2"/>
    <n v="0"/>
    <n v="2"/>
    <n v="0"/>
    <m/>
    <x v="1"/>
    <n v="8.4091898540536794E-2"/>
  </r>
  <r>
    <x v="6"/>
    <x v="1"/>
    <x v="1"/>
    <x v="2"/>
    <x v="1"/>
    <x v="1"/>
    <x v="0"/>
    <x v="1"/>
    <x v="1"/>
    <x v="8"/>
    <n v="0"/>
    <n v="1"/>
    <n v="0"/>
    <m/>
    <x v="1"/>
    <n v="0.11021444940518223"/>
  </r>
  <r>
    <x v="14"/>
    <x v="1"/>
    <x v="1"/>
    <x v="0"/>
    <x v="2"/>
    <x v="1"/>
    <x v="1"/>
    <x v="1"/>
    <x v="0"/>
    <x v="3"/>
    <n v="0"/>
    <n v="1"/>
    <n v="0"/>
    <m/>
    <x v="1"/>
    <n v="6.2762040961245935E-2"/>
  </r>
  <r>
    <x v="4"/>
    <x v="0"/>
    <x v="0"/>
    <x v="0"/>
    <x v="0"/>
    <x v="1"/>
    <x v="0"/>
    <x v="1"/>
    <x v="0"/>
    <x v="1"/>
    <n v="0"/>
    <n v="2"/>
    <n v="0"/>
    <m/>
    <x v="1"/>
    <n v="0.16825824609222664"/>
  </r>
  <r>
    <x v="5"/>
    <x v="0"/>
    <x v="0"/>
    <x v="2"/>
    <x v="3"/>
    <x v="1"/>
    <x v="0"/>
    <x v="1"/>
    <x v="2"/>
    <x v="9"/>
    <n v="0"/>
    <n v="1"/>
    <n v="0"/>
    <m/>
    <x v="0"/>
    <n v="0.35041457657899155"/>
  </r>
  <r>
    <x v="17"/>
    <x v="1"/>
    <x v="0"/>
    <x v="2"/>
    <x v="0"/>
    <x v="0"/>
    <x v="0"/>
    <x v="1"/>
    <x v="0"/>
    <x v="8"/>
    <n v="0"/>
    <n v="1"/>
    <n v="0"/>
    <m/>
    <x v="0"/>
    <n v="8.4940305954857798E-2"/>
  </r>
  <r>
    <x v="16"/>
    <x v="0"/>
    <x v="0"/>
    <x v="2"/>
    <x v="2"/>
    <x v="1"/>
    <x v="0"/>
    <x v="0"/>
    <x v="1"/>
    <x v="8"/>
    <n v="0"/>
    <n v="1"/>
    <n v="0"/>
    <m/>
    <x v="1"/>
    <n v="0.10444244110474776"/>
  </r>
  <r>
    <x v="17"/>
    <x v="1"/>
    <x v="0"/>
    <x v="2"/>
    <x v="2"/>
    <x v="0"/>
    <x v="0"/>
    <x v="1"/>
    <x v="1"/>
    <x v="1"/>
    <n v="0"/>
    <n v="1"/>
    <n v="0"/>
    <m/>
    <x v="0"/>
    <n v="8.221989569595807E-2"/>
  </r>
  <r>
    <x v="6"/>
    <x v="1"/>
    <x v="0"/>
    <x v="2"/>
    <x v="2"/>
    <x v="0"/>
    <x v="0"/>
    <x v="0"/>
    <x v="0"/>
    <x v="8"/>
    <n v="0"/>
    <n v="1"/>
    <n v="0"/>
    <m/>
    <x v="1"/>
    <n v="0.11988383252407406"/>
  </r>
  <r>
    <x v="2"/>
    <x v="1"/>
    <x v="0"/>
    <x v="1"/>
    <x v="3"/>
    <x v="1"/>
    <x v="0"/>
    <x v="1"/>
    <x v="0"/>
    <x v="8"/>
    <n v="0"/>
    <n v="1"/>
    <n v="0"/>
    <m/>
    <x v="1"/>
    <n v="0.11183128944304827"/>
  </r>
  <r>
    <x v="12"/>
    <x v="0"/>
    <x v="1"/>
    <x v="0"/>
    <x v="2"/>
    <x v="0"/>
    <x v="0"/>
    <x v="0"/>
    <x v="2"/>
    <x v="8"/>
    <n v="0"/>
    <n v="2"/>
    <n v="0"/>
    <m/>
    <x v="1"/>
    <n v="0.19301139789125732"/>
  </r>
  <r>
    <x v="10"/>
    <x v="1"/>
    <x v="0"/>
    <x v="1"/>
    <x v="1"/>
    <x v="1"/>
    <x v="0"/>
    <x v="1"/>
    <x v="0"/>
    <x v="8"/>
    <n v="0"/>
    <n v="1"/>
    <n v="0"/>
    <m/>
    <x v="1"/>
    <n v="8.593956647800631E-2"/>
  </r>
  <r>
    <x v="14"/>
    <x v="1"/>
    <x v="0"/>
    <x v="2"/>
    <x v="3"/>
    <x v="1"/>
    <x v="0"/>
    <x v="1"/>
    <x v="0"/>
    <x v="9"/>
    <n v="0"/>
    <n v="1"/>
    <n v="0"/>
    <m/>
    <x v="1"/>
    <n v="0.26641728068577614"/>
  </r>
  <r>
    <x v="16"/>
    <x v="1"/>
    <x v="0"/>
    <x v="2"/>
    <x v="3"/>
    <x v="0"/>
    <x v="1"/>
    <x v="1"/>
    <x v="2"/>
    <x v="9"/>
    <n v="0"/>
    <n v="1"/>
    <n v="0"/>
    <m/>
    <x v="1"/>
    <n v="0.16391711892382171"/>
  </r>
  <r>
    <x v="4"/>
    <x v="1"/>
    <x v="0"/>
    <x v="2"/>
    <x v="2"/>
    <x v="1"/>
    <x v="0"/>
    <x v="0"/>
    <x v="0"/>
    <x v="9"/>
    <n v="0"/>
    <n v="1"/>
    <n v="0"/>
    <m/>
    <x v="1"/>
    <n v="0.21141932175066067"/>
  </r>
  <r>
    <x v="8"/>
    <x v="1"/>
    <x v="1"/>
    <x v="0"/>
    <x v="0"/>
    <x v="0"/>
    <x v="1"/>
    <x v="1"/>
    <x v="2"/>
    <x v="0"/>
    <n v="0"/>
    <n v="1"/>
    <n v="0"/>
    <m/>
    <x v="1"/>
    <n v="4.9491902792675999E-2"/>
  </r>
  <r>
    <x v="8"/>
    <x v="1"/>
    <x v="1"/>
    <x v="0"/>
    <x v="0"/>
    <x v="1"/>
    <x v="0"/>
    <x v="0"/>
    <x v="0"/>
    <x v="8"/>
    <n v="0"/>
    <n v="1"/>
    <n v="0"/>
    <m/>
    <x v="1"/>
    <n v="8.7968370705737417E-2"/>
  </r>
  <r>
    <x v="2"/>
    <x v="1"/>
    <x v="0"/>
    <x v="1"/>
    <x v="1"/>
    <x v="0"/>
    <x v="0"/>
    <x v="1"/>
    <x v="2"/>
    <x v="8"/>
    <n v="0"/>
    <n v="1"/>
    <n v="0"/>
    <m/>
    <x v="1"/>
    <n v="9.6883413810830737E-2"/>
  </r>
  <r>
    <x v="4"/>
    <x v="0"/>
    <x v="1"/>
    <x v="1"/>
    <x v="2"/>
    <x v="0"/>
    <x v="0"/>
    <x v="1"/>
    <x v="0"/>
    <x v="5"/>
    <n v="0"/>
    <n v="1"/>
    <n v="0"/>
    <m/>
    <x v="1"/>
    <n v="2.1232152294556311E-2"/>
  </r>
  <r>
    <x v="8"/>
    <x v="1"/>
    <x v="1"/>
    <x v="0"/>
    <x v="2"/>
    <x v="1"/>
    <x v="0"/>
    <x v="0"/>
    <x v="0"/>
    <x v="8"/>
    <n v="0"/>
    <n v="1"/>
    <n v="0"/>
    <m/>
    <x v="1"/>
    <n v="0.12398881875313826"/>
  </r>
  <r>
    <x v="2"/>
    <x v="0"/>
    <x v="0"/>
    <x v="2"/>
    <x v="2"/>
    <x v="0"/>
    <x v="0"/>
    <x v="1"/>
    <x v="0"/>
    <x v="1"/>
    <n v="0"/>
    <n v="1"/>
    <n v="0"/>
    <m/>
    <x v="1"/>
    <n v="8.2646531177737778E-2"/>
  </r>
  <r>
    <x v="8"/>
    <x v="0"/>
    <x v="1"/>
    <x v="2"/>
    <x v="0"/>
    <x v="0"/>
    <x v="0"/>
    <x v="0"/>
    <x v="0"/>
    <x v="4"/>
    <n v="0"/>
    <n v="1"/>
    <n v="0"/>
    <m/>
    <x v="1"/>
    <n v="4.089495301709424E-2"/>
  </r>
  <r>
    <x v="14"/>
    <x v="1"/>
    <x v="1"/>
    <x v="1"/>
    <x v="0"/>
    <x v="0"/>
    <x v="1"/>
    <x v="0"/>
    <x v="2"/>
    <x v="7"/>
    <n v="0"/>
    <n v="1"/>
    <n v="0"/>
    <m/>
    <x v="1"/>
    <n v="2.3197290433253883E-2"/>
  </r>
  <r>
    <x v="3"/>
    <x v="0"/>
    <x v="1"/>
    <x v="2"/>
    <x v="2"/>
    <x v="0"/>
    <x v="1"/>
    <x v="1"/>
    <x v="2"/>
    <x v="3"/>
    <n v="0"/>
    <n v="1"/>
    <n v="0"/>
    <m/>
    <x v="1"/>
    <n v="6.2337033552238463E-2"/>
  </r>
  <r>
    <x v="7"/>
    <x v="0"/>
    <x v="1"/>
    <x v="2"/>
    <x v="2"/>
    <x v="0"/>
    <x v="0"/>
    <x v="0"/>
    <x v="2"/>
    <x v="8"/>
    <n v="0"/>
    <n v="1"/>
    <n v="0"/>
    <m/>
    <x v="1"/>
    <n v="0.12320370260660997"/>
  </r>
  <r>
    <x v="4"/>
    <x v="1"/>
    <x v="1"/>
    <x v="0"/>
    <x v="3"/>
    <x v="1"/>
    <x v="0"/>
    <x v="1"/>
    <x v="1"/>
    <x v="8"/>
    <n v="0"/>
    <n v="1"/>
    <n v="0"/>
    <m/>
    <x v="1"/>
    <n v="0.11197715523543472"/>
  </r>
  <r>
    <x v="11"/>
    <x v="0"/>
    <x v="0"/>
    <x v="2"/>
    <x v="0"/>
    <x v="0"/>
    <x v="0"/>
    <x v="1"/>
    <x v="2"/>
    <x v="8"/>
    <n v="0"/>
    <n v="1"/>
    <n v="0"/>
    <m/>
    <x v="1"/>
    <n v="0.12117165620362885"/>
  </r>
  <r>
    <x v="20"/>
    <x v="1"/>
    <x v="1"/>
    <x v="1"/>
    <x v="0"/>
    <x v="0"/>
    <x v="0"/>
    <x v="1"/>
    <x v="2"/>
    <x v="0"/>
    <n v="1"/>
    <n v="1"/>
    <n v="0"/>
    <n v="1"/>
    <x v="0"/>
    <n v="4.7795427621466401E-2"/>
  </r>
  <r>
    <x v="22"/>
    <x v="1"/>
    <x v="1"/>
    <x v="0"/>
    <x v="0"/>
    <x v="0"/>
    <x v="1"/>
    <x v="1"/>
    <x v="1"/>
    <x v="5"/>
    <n v="2"/>
    <n v="2"/>
    <n v="0"/>
    <n v="2"/>
    <x v="0"/>
    <n v="3.0039194880372936E-2"/>
  </r>
  <r>
    <x v="22"/>
    <x v="0"/>
    <x v="0"/>
    <x v="2"/>
    <x v="0"/>
    <x v="0"/>
    <x v="0"/>
    <x v="1"/>
    <x v="1"/>
    <x v="4"/>
    <n v="7"/>
    <n v="8"/>
    <n v="0"/>
    <n v="7"/>
    <x v="0"/>
    <n v="0.31049028178639992"/>
  </r>
  <r>
    <x v="7"/>
    <x v="1"/>
    <x v="0"/>
    <x v="0"/>
    <x v="0"/>
    <x v="0"/>
    <x v="0"/>
    <x v="0"/>
    <x v="1"/>
    <x v="0"/>
    <n v="39"/>
    <n v="46"/>
    <n v="1"/>
    <m/>
    <x v="1"/>
    <n v="2.0400541588693488"/>
  </r>
  <r>
    <x v="0"/>
    <x v="0"/>
    <x v="0"/>
    <x v="0"/>
    <x v="0"/>
    <x v="1"/>
    <x v="1"/>
    <x v="0"/>
    <x v="1"/>
    <x v="7"/>
    <n v="2"/>
    <n v="3"/>
    <n v="0"/>
    <n v="2"/>
    <x v="0"/>
    <n v="8.3365451563734885E-2"/>
  </r>
  <r>
    <x v="20"/>
    <x v="1"/>
    <x v="0"/>
    <x v="2"/>
    <x v="1"/>
    <x v="0"/>
    <x v="0"/>
    <x v="1"/>
    <x v="2"/>
    <x v="9"/>
    <n v="11"/>
    <n v="13"/>
    <n v="3"/>
    <n v="11"/>
    <x v="0"/>
    <n v="3.071954665214558"/>
  </r>
  <r>
    <x v="1"/>
    <x v="0"/>
    <x v="0"/>
    <x v="2"/>
    <x v="0"/>
    <x v="0"/>
    <x v="0"/>
    <x v="0"/>
    <x v="0"/>
    <x v="0"/>
    <n v="2"/>
    <n v="3"/>
    <n v="0"/>
    <n v="2"/>
    <x v="0"/>
    <n v="0.17353056900629477"/>
  </r>
  <r>
    <x v="7"/>
    <x v="1"/>
    <x v="0"/>
    <x v="0"/>
    <x v="1"/>
    <x v="0"/>
    <x v="0"/>
    <x v="1"/>
    <x v="1"/>
    <x v="3"/>
    <n v="41"/>
    <n v="71"/>
    <n v="1"/>
    <m/>
    <x v="1"/>
    <n v="4.5754571039226732"/>
  </r>
  <r>
    <x v="8"/>
    <x v="0"/>
    <x v="0"/>
    <x v="0"/>
    <x v="1"/>
    <x v="0"/>
    <x v="0"/>
    <x v="1"/>
    <x v="1"/>
    <x v="2"/>
    <n v="66"/>
    <n v="83"/>
    <n v="0"/>
    <m/>
    <x v="1"/>
    <n v="3.6166193923257115"/>
  </r>
  <r>
    <x v="5"/>
    <x v="0"/>
    <x v="0"/>
    <x v="0"/>
    <x v="2"/>
    <x v="0"/>
    <x v="0"/>
    <x v="1"/>
    <x v="2"/>
    <x v="9"/>
    <n v="16"/>
    <n v="18"/>
    <n v="5"/>
    <n v="16"/>
    <x v="0"/>
    <n v="2.3993729500626504"/>
  </r>
  <r>
    <x v="19"/>
    <x v="1"/>
    <x v="0"/>
    <x v="0"/>
    <x v="0"/>
    <x v="1"/>
    <x v="0"/>
    <x v="0"/>
    <x v="0"/>
    <x v="8"/>
    <n v="1"/>
    <n v="1"/>
    <n v="0"/>
    <m/>
    <x v="1"/>
    <n v="0.12194562411528299"/>
  </r>
  <r>
    <x v="1"/>
    <x v="1"/>
    <x v="0"/>
    <x v="1"/>
    <x v="0"/>
    <x v="0"/>
    <x v="0"/>
    <x v="0"/>
    <x v="0"/>
    <x v="4"/>
    <n v="1"/>
    <n v="1"/>
    <n v="0"/>
    <n v="1"/>
    <x v="0"/>
    <n v="3.1179022325415869E-2"/>
  </r>
  <r>
    <x v="0"/>
    <x v="0"/>
    <x v="1"/>
    <x v="0"/>
    <x v="2"/>
    <x v="0"/>
    <x v="0"/>
    <x v="1"/>
    <x v="0"/>
    <x v="0"/>
    <n v="4"/>
    <n v="4"/>
    <n v="0"/>
    <n v="4"/>
    <x v="0"/>
    <n v="0.18161110886938464"/>
  </r>
  <r>
    <x v="9"/>
    <x v="0"/>
    <x v="0"/>
    <x v="0"/>
    <x v="0"/>
    <x v="0"/>
    <x v="0"/>
    <x v="0"/>
    <x v="1"/>
    <x v="7"/>
    <n v="52"/>
    <n v="57"/>
    <n v="2"/>
    <n v="49"/>
    <x v="0"/>
    <n v="1.697450069049256"/>
  </r>
  <r>
    <x v="9"/>
    <x v="1"/>
    <x v="1"/>
    <x v="0"/>
    <x v="0"/>
    <x v="1"/>
    <x v="1"/>
    <x v="0"/>
    <x v="1"/>
    <x v="7"/>
    <n v="3"/>
    <n v="3"/>
    <n v="0"/>
    <n v="3"/>
    <x v="0"/>
    <n v="8.7415248896523801E-2"/>
  </r>
  <r>
    <x v="17"/>
    <x v="0"/>
    <x v="1"/>
    <x v="0"/>
    <x v="1"/>
    <x v="1"/>
    <x v="0"/>
    <x v="1"/>
    <x v="1"/>
    <x v="0"/>
    <n v="6"/>
    <n v="7"/>
    <n v="0"/>
    <n v="5"/>
    <x v="0"/>
    <n v="0.41037747739784614"/>
  </r>
  <r>
    <x v="14"/>
    <x v="0"/>
    <x v="0"/>
    <x v="0"/>
    <x v="0"/>
    <x v="0"/>
    <x v="0"/>
    <x v="0"/>
    <x v="0"/>
    <x v="0"/>
    <n v="14"/>
    <n v="18"/>
    <n v="1"/>
    <m/>
    <x v="1"/>
    <n v="0.80259616107137244"/>
  </r>
  <r>
    <x v="22"/>
    <x v="1"/>
    <x v="0"/>
    <x v="0"/>
    <x v="1"/>
    <x v="0"/>
    <x v="0"/>
    <x v="1"/>
    <x v="1"/>
    <x v="3"/>
    <n v="52"/>
    <n v="63"/>
    <n v="2"/>
    <n v="50"/>
    <x v="0"/>
    <n v="4.0599126415088511"/>
  </r>
  <r>
    <x v="21"/>
    <x v="0"/>
    <x v="0"/>
    <x v="0"/>
    <x v="1"/>
    <x v="0"/>
    <x v="0"/>
    <x v="1"/>
    <x v="2"/>
    <x v="9"/>
    <n v="17"/>
    <n v="38"/>
    <n v="0"/>
    <m/>
    <x v="1"/>
    <n v="5.115744623703633"/>
  </r>
  <r>
    <x v="19"/>
    <x v="0"/>
    <x v="0"/>
    <x v="1"/>
    <x v="3"/>
    <x v="0"/>
    <x v="1"/>
    <x v="1"/>
    <x v="2"/>
    <x v="2"/>
    <n v="1"/>
    <n v="2"/>
    <n v="0"/>
    <m/>
    <x v="1"/>
    <n v="8.6045555945248708E-2"/>
  </r>
  <r>
    <x v="1"/>
    <x v="0"/>
    <x v="0"/>
    <x v="0"/>
    <x v="1"/>
    <x v="0"/>
    <x v="0"/>
    <x v="1"/>
    <x v="1"/>
    <x v="2"/>
    <n v="77"/>
    <n v="94"/>
    <n v="3"/>
    <n v="72"/>
    <x v="0"/>
    <n v="4.0959303961279137"/>
  </r>
  <r>
    <x v="0"/>
    <x v="1"/>
    <x v="1"/>
    <x v="0"/>
    <x v="1"/>
    <x v="0"/>
    <x v="0"/>
    <x v="1"/>
    <x v="1"/>
    <x v="0"/>
    <n v="35"/>
    <n v="38"/>
    <n v="3"/>
    <n v="35"/>
    <x v="0"/>
    <n v="1.7348702071872986"/>
  </r>
  <r>
    <x v="11"/>
    <x v="1"/>
    <x v="1"/>
    <x v="0"/>
    <x v="1"/>
    <x v="0"/>
    <x v="0"/>
    <x v="1"/>
    <x v="1"/>
    <x v="0"/>
    <n v="15"/>
    <n v="21"/>
    <n v="0"/>
    <m/>
    <x v="1"/>
    <n v="0.95874406186666483"/>
  </r>
  <r>
    <x v="17"/>
    <x v="1"/>
    <x v="0"/>
    <x v="0"/>
    <x v="1"/>
    <x v="0"/>
    <x v="0"/>
    <x v="1"/>
    <x v="1"/>
    <x v="3"/>
    <n v="76"/>
    <n v="87"/>
    <n v="8"/>
    <n v="72"/>
    <x v="0"/>
    <n v="5.6065460287503184"/>
  </r>
  <r>
    <x v="1"/>
    <x v="1"/>
    <x v="0"/>
    <x v="0"/>
    <x v="0"/>
    <x v="0"/>
    <x v="0"/>
    <x v="0"/>
    <x v="1"/>
    <x v="0"/>
    <n v="75"/>
    <n v="85"/>
    <n v="6"/>
    <n v="72"/>
    <x v="0"/>
    <n v="3.7696652935629267"/>
  </r>
  <r>
    <x v="0"/>
    <x v="0"/>
    <x v="0"/>
    <x v="0"/>
    <x v="0"/>
    <x v="0"/>
    <x v="0"/>
    <x v="0"/>
    <x v="2"/>
    <x v="8"/>
    <n v="6"/>
    <n v="6"/>
    <n v="0"/>
    <n v="6"/>
    <x v="0"/>
    <n v="0.5691980983720587"/>
  </r>
  <r>
    <x v="18"/>
    <x v="1"/>
    <x v="0"/>
    <x v="0"/>
    <x v="0"/>
    <x v="0"/>
    <x v="0"/>
    <x v="1"/>
    <x v="1"/>
    <x v="0"/>
    <n v="4"/>
    <n v="5"/>
    <n v="0"/>
    <m/>
    <x v="1"/>
    <n v="0.22174501726840748"/>
  </r>
  <r>
    <x v="9"/>
    <x v="0"/>
    <x v="0"/>
    <x v="0"/>
    <x v="0"/>
    <x v="0"/>
    <x v="1"/>
    <x v="1"/>
    <x v="1"/>
    <x v="6"/>
    <n v="11"/>
    <n v="12"/>
    <n v="1"/>
    <n v="9"/>
    <x v="0"/>
    <n v="0.17176945895969414"/>
  </r>
  <r>
    <x v="17"/>
    <x v="1"/>
    <x v="0"/>
    <x v="0"/>
    <x v="1"/>
    <x v="0"/>
    <x v="0"/>
    <x v="1"/>
    <x v="2"/>
    <x v="9"/>
    <n v="23"/>
    <n v="33"/>
    <n v="4"/>
    <n v="22"/>
    <x v="0"/>
    <n v="6.2838687960531576"/>
  </r>
  <r>
    <x v="15"/>
    <x v="1"/>
    <x v="0"/>
    <x v="2"/>
    <x v="1"/>
    <x v="0"/>
    <x v="0"/>
    <x v="1"/>
    <x v="1"/>
    <x v="1"/>
    <n v="36"/>
    <n v="40"/>
    <n v="5"/>
    <n v="35"/>
    <x v="0"/>
    <n v="3.323469300525804"/>
  </r>
  <r>
    <x v="1"/>
    <x v="0"/>
    <x v="0"/>
    <x v="0"/>
    <x v="1"/>
    <x v="0"/>
    <x v="0"/>
    <x v="1"/>
    <x v="2"/>
    <x v="9"/>
    <n v="36"/>
    <n v="49"/>
    <n v="5"/>
    <n v="36"/>
    <x v="0"/>
    <n v="6.5966180674073165"/>
  </r>
  <r>
    <x v="5"/>
    <x v="0"/>
    <x v="0"/>
    <x v="1"/>
    <x v="3"/>
    <x v="1"/>
    <x v="0"/>
    <x v="1"/>
    <x v="2"/>
    <x v="9"/>
    <n v="1"/>
    <n v="1"/>
    <n v="0"/>
    <n v="1"/>
    <x v="0"/>
    <n v="0.15755800253898447"/>
  </r>
  <r>
    <x v="6"/>
    <x v="0"/>
    <x v="0"/>
    <x v="2"/>
    <x v="1"/>
    <x v="0"/>
    <x v="0"/>
    <x v="1"/>
    <x v="1"/>
    <x v="0"/>
    <n v="25"/>
    <n v="26"/>
    <n v="1"/>
    <m/>
    <x v="1"/>
    <n v="1.4701626816953444"/>
  </r>
  <r>
    <x v="20"/>
    <x v="1"/>
    <x v="0"/>
    <x v="2"/>
    <x v="0"/>
    <x v="0"/>
    <x v="0"/>
    <x v="1"/>
    <x v="0"/>
    <x v="8"/>
    <n v="5"/>
    <n v="5"/>
    <n v="1"/>
    <n v="5"/>
    <x v="0"/>
    <n v="0.42470152977428904"/>
  </r>
  <r>
    <x v="20"/>
    <x v="1"/>
    <x v="0"/>
    <x v="0"/>
    <x v="1"/>
    <x v="0"/>
    <x v="0"/>
    <x v="1"/>
    <x v="0"/>
    <x v="8"/>
    <n v="24"/>
    <n v="33"/>
    <n v="2"/>
    <n v="24"/>
    <x v="0"/>
    <n v="3.1285594841170323"/>
  </r>
  <r>
    <x v="21"/>
    <x v="0"/>
    <x v="0"/>
    <x v="0"/>
    <x v="0"/>
    <x v="0"/>
    <x v="0"/>
    <x v="0"/>
    <x v="2"/>
    <x v="8"/>
    <n v="6"/>
    <n v="10"/>
    <n v="0"/>
    <m/>
    <x v="1"/>
    <n v="0.94866349728676458"/>
  </r>
  <r>
    <x v="22"/>
    <x v="1"/>
    <x v="0"/>
    <x v="2"/>
    <x v="0"/>
    <x v="0"/>
    <x v="1"/>
    <x v="0"/>
    <x v="0"/>
    <x v="2"/>
    <n v="1"/>
    <n v="1"/>
    <n v="0"/>
    <n v="0"/>
    <x v="0"/>
    <n v="4.2069997453546046E-2"/>
  </r>
  <r>
    <x v="4"/>
    <x v="1"/>
    <x v="0"/>
    <x v="2"/>
    <x v="0"/>
    <x v="0"/>
    <x v="1"/>
    <x v="0"/>
    <x v="1"/>
    <x v="7"/>
    <n v="1"/>
    <n v="2"/>
    <n v="0"/>
    <m/>
    <x v="1"/>
    <n v="5.6146150112140698E-2"/>
  </r>
  <r>
    <x v="16"/>
    <x v="0"/>
    <x v="1"/>
    <x v="0"/>
    <x v="2"/>
    <x v="0"/>
    <x v="0"/>
    <x v="0"/>
    <x v="0"/>
    <x v="0"/>
    <n v="1"/>
    <n v="1"/>
    <n v="0"/>
    <m/>
    <x v="1"/>
    <n v="4.540277721734616E-2"/>
  </r>
  <r>
    <x v="4"/>
    <x v="0"/>
    <x v="0"/>
    <x v="0"/>
    <x v="0"/>
    <x v="0"/>
    <x v="0"/>
    <x v="1"/>
    <x v="1"/>
    <x v="7"/>
    <n v="22"/>
    <n v="25"/>
    <n v="0"/>
    <m/>
    <x v="1"/>
    <n v="0.74449564431984927"/>
  </r>
  <r>
    <x v="10"/>
    <x v="0"/>
    <x v="0"/>
    <x v="2"/>
    <x v="1"/>
    <x v="1"/>
    <x v="0"/>
    <x v="1"/>
    <x v="1"/>
    <x v="8"/>
    <n v="2"/>
    <n v="4"/>
    <n v="0"/>
    <m/>
    <x v="1"/>
    <n v="0.42206652787218885"/>
  </r>
  <r>
    <x v="15"/>
    <x v="1"/>
    <x v="1"/>
    <x v="0"/>
    <x v="2"/>
    <x v="1"/>
    <x v="0"/>
    <x v="1"/>
    <x v="1"/>
    <x v="8"/>
    <n v="4"/>
    <n v="4"/>
    <n v="0"/>
    <n v="4"/>
    <x v="0"/>
    <n v="0.34064002066679711"/>
  </r>
  <r>
    <x v="1"/>
    <x v="1"/>
    <x v="1"/>
    <x v="0"/>
    <x v="2"/>
    <x v="1"/>
    <x v="0"/>
    <x v="1"/>
    <x v="1"/>
    <x v="8"/>
    <n v="9"/>
    <n v="9"/>
    <n v="1"/>
    <n v="8"/>
    <x v="0"/>
    <n v="0.76644004650029351"/>
  </r>
  <r>
    <x v="2"/>
    <x v="0"/>
    <x v="0"/>
    <x v="1"/>
    <x v="0"/>
    <x v="1"/>
    <x v="0"/>
    <x v="0"/>
    <x v="1"/>
    <x v="7"/>
    <n v="3"/>
    <n v="3"/>
    <n v="0"/>
    <m/>
    <x v="1"/>
    <n v="8.044490172347675E-2"/>
  </r>
  <r>
    <x v="0"/>
    <x v="0"/>
    <x v="0"/>
    <x v="0"/>
    <x v="0"/>
    <x v="0"/>
    <x v="1"/>
    <x v="1"/>
    <x v="2"/>
    <x v="0"/>
    <n v="2"/>
    <n v="2"/>
    <n v="0"/>
    <n v="2"/>
    <x v="0"/>
    <n v="9.4489829543465659E-2"/>
  </r>
  <r>
    <x v="6"/>
    <x v="1"/>
    <x v="1"/>
    <x v="2"/>
    <x v="2"/>
    <x v="1"/>
    <x v="0"/>
    <x v="1"/>
    <x v="1"/>
    <x v="8"/>
    <n v="2"/>
    <n v="2"/>
    <n v="0"/>
    <m/>
    <x v="1"/>
    <n v="0.21819653298737546"/>
  </r>
  <r>
    <x v="16"/>
    <x v="1"/>
    <x v="0"/>
    <x v="0"/>
    <x v="0"/>
    <x v="0"/>
    <x v="1"/>
    <x v="0"/>
    <x v="0"/>
    <x v="4"/>
    <n v="3"/>
    <n v="3"/>
    <n v="0"/>
    <m/>
    <x v="1"/>
    <n v="9.6917149150967677E-2"/>
  </r>
  <r>
    <x v="7"/>
    <x v="0"/>
    <x v="1"/>
    <x v="0"/>
    <x v="1"/>
    <x v="0"/>
    <x v="0"/>
    <x v="1"/>
    <x v="0"/>
    <x v="0"/>
    <n v="10"/>
    <n v="12"/>
    <n v="0"/>
    <m/>
    <x v="1"/>
    <n v="0.55081041029068356"/>
  </r>
  <r>
    <x v="20"/>
    <x v="0"/>
    <x v="0"/>
    <x v="2"/>
    <x v="2"/>
    <x v="1"/>
    <x v="0"/>
    <x v="1"/>
    <x v="1"/>
    <x v="8"/>
    <n v="4"/>
    <n v="4"/>
    <n v="0"/>
    <n v="4"/>
    <x v="0"/>
    <n v="0.41776976441899105"/>
  </r>
  <r>
    <x v="0"/>
    <x v="1"/>
    <x v="1"/>
    <x v="0"/>
    <x v="0"/>
    <x v="0"/>
    <x v="0"/>
    <x v="1"/>
    <x v="1"/>
    <x v="4"/>
    <n v="11"/>
    <n v="11"/>
    <n v="0"/>
    <n v="11"/>
    <x v="0"/>
    <n v="0.34345727365653062"/>
  </r>
  <r>
    <x v="10"/>
    <x v="0"/>
    <x v="1"/>
    <x v="2"/>
    <x v="1"/>
    <x v="0"/>
    <x v="0"/>
    <x v="1"/>
    <x v="1"/>
    <x v="4"/>
    <n v="4"/>
    <n v="6"/>
    <n v="0"/>
    <m/>
    <x v="1"/>
    <n v="0.2397633997390943"/>
  </r>
  <r>
    <x v="12"/>
    <x v="1"/>
    <x v="0"/>
    <x v="2"/>
    <x v="0"/>
    <x v="0"/>
    <x v="0"/>
    <x v="0"/>
    <x v="1"/>
    <x v="0"/>
    <n v="16"/>
    <n v="17"/>
    <n v="0"/>
    <m/>
    <x v="1"/>
    <n v="0.97812720319834057"/>
  </r>
  <r>
    <x v="5"/>
    <x v="0"/>
    <x v="0"/>
    <x v="0"/>
    <x v="1"/>
    <x v="0"/>
    <x v="0"/>
    <x v="1"/>
    <x v="0"/>
    <x v="1"/>
    <n v="33"/>
    <n v="39"/>
    <n v="2"/>
    <n v="30"/>
    <x v="0"/>
    <n v="2.5265744897846503"/>
  </r>
  <r>
    <x v="12"/>
    <x v="0"/>
    <x v="0"/>
    <x v="0"/>
    <x v="0"/>
    <x v="0"/>
    <x v="0"/>
    <x v="1"/>
    <x v="0"/>
    <x v="0"/>
    <n v="11"/>
    <n v="12"/>
    <n v="0"/>
    <m/>
    <x v="1"/>
    <n v="0.53506410738091503"/>
  </r>
  <r>
    <x v="12"/>
    <x v="1"/>
    <x v="0"/>
    <x v="0"/>
    <x v="2"/>
    <x v="0"/>
    <x v="1"/>
    <x v="0"/>
    <x v="1"/>
    <x v="4"/>
    <n v="1"/>
    <n v="1"/>
    <n v="0"/>
    <m/>
    <x v="1"/>
    <n v="3.1213548562346576E-2"/>
  </r>
  <r>
    <x v="2"/>
    <x v="1"/>
    <x v="0"/>
    <x v="0"/>
    <x v="0"/>
    <x v="0"/>
    <x v="0"/>
    <x v="1"/>
    <x v="1"/>
    <x v="0"/>
    <n v="28"/>
    <n v="31"/>
    <n v="0"/>
    <m/>
    <x v="1"/>
    <n v="1.3748191070641262"/>
  </r>
  <r>
    <x v="21"/>
    <x v="0"/>
    <x v="0"/>
    <x v="0"/>
    <x v="0"/>
    <x v="0"/>
    <x v="1"/>
    <x v="1"/>
    <x v="1"/>
    <x v="6"/>
    <n v="9"/>
    <n v="9"/>
    <n v="0"/>
    <m/>
    <x v="1"/>
    <n v="0.12882709421977059"/>
  </r>
  <r>
    <x v="9"/>
    <x v="0"/>
    <x v="0"/>
    <x v="0"/>
    <x v="2"/>
    <x v="0"/>
    <x v="1"/>
    <x v="0"/>
    <x v="0"/>
    <x v="4"/>
    <n v="2"/>
    <n v="2"/>
    <n v="0"/>
    <n v="2"/>
    <x v="0"/>
    <n v="6.2769130013339253E-2"/>
  </r>
  <r>
    <x v="9"/>
    <x v="0"/>
    <x v="1"/>
    <x v="0"/>
    <x v="1"/>
    <x v="0"/>
    <x v="0"/>
    <x v="1"/>
    <x v="0"/>
    <x v="0"/>
    <n v="13"/>
    <n v="16"/>
    <n v="0"/>
    <n v="13"/>
    <x v="0"/>
    <n v="0.73441388038757816"/>
  </r>
  <r>
    <x v="8"/>
    <x v="0"/>
    <x v="0"/>
    <x v="2"/>
    <x v="2"/>
    <x v="0"/>
    <x v="0"/>
    <x v="1"/>
    <x v="0"/>
    <x v="1"/>
    <n v="4"/>
    <n v="4"/>
    <n v="0"/>
    <m/>
    <x v="1"/>
    <n v="0.33058612471095111"/>
  </r>
  <r>
    <x v="12"/>
    <x v="0"/>
    <x v="1"/>
    <x v="2"/>
    <x v="0"/>
    <x v="0"/>
    <x v="0"/>
    <x v="0"/>
    <x v="2"/>
    <x v="8"/>
    <n v="1"/>
    <n v="2"/>
    <n v="0"/>
    <m/>
    <x v="1"/>
    <n v="0.17477717635732895"/>
  </r>
  <r>
    <x v="22"/>
    <x v="1"/>
    <x v="0"/>
    <x v="2"/>
    <x v="0"/>
    <x v="0"/>
    <x v="0"/>
    <x v="0"/>
    <x v="1"/>
    <x v="0"/>
    <n v="14"/>
    <n v="19"/>
    <n v="1"/>
    <n v="14"/>
    <x v="0"/>
    <n v="1.0932009918099099"/>
  </r>
  <r>
    <x v="7"/>
    <x v="0"/>
    <x v="1"/>
    <x v="0"/>
    <x v="0"/>
    <x v="0"/>
    <x v="1"/>
    <x v="1"/>
    <x v="0"/>
    <x v="5"/>
    <n v="1"/>
    <n v="1"/>
    <n v="0"/>
    <m/>
    <x v="1"/>
    <n v="1.5103271786810353E-2"/>
  </r>
  <r>
    <x v="0"/>
    <x v="0"/>
    <x v="0"/>
    <x v="0"/>
    <x v="3"/>
    <x v="1"/>
    <x v="0"/>
    <x v="1"/>
    <x v="2"/>
    <x v="9"/>
    <n v="4"/>
    <n v="4"/>
    <n v="1"/>
    <n v="4"/>
    <x v="0"/>
    <n v="1.163243134171414"/>
  </r>
  <r>
    <x v="21"/>
    <x v="1"/>
    <x v="1"/>
    <x v="0"/>
    <x v="1"/>
    <x v="1"/>
    <x v="0"/>
    <x v="1"/>
    <x v="2"/>
    <x v="9"/>
    <n v="1"/>
    <n v="3"/>
    <n v="0"/>
    <m/>
    <x v="1"/>
    <n v="0.72988083396058068"/>
  </r>
  <r>
    <x v="2"/>
    <x v="1"/>
    <x v="0"/>
    <x v="0"/>
    <x v="0"/>
    <x v="0"/>
    <x v="0"/>
    <x v="0"/>
    <x v="0"/>
    <x v="1"/>
    <n v="17"/>
    <n v="22"/>
    <n v="0"/>
    <m/>
    <x v="1"/>
    <n v="1.4500333986952763"/>
  </r>
  <r>
    <x v="2"/>
    <x v="0"/>
    <x v="0"/>
    <x v="2"/>
    <x v="1"/>
    <x v="0"/>
    <x v="0"/>
    <x v="1"/>
    <x v="1"/>
    <x v="0"/>
    <n v="18"/>
    <n v="23"/>
    <n v="1"/>
    <m/>
    <x v="1"/>
    <n v="1.3005285261151125"/>
  </r>
  <r>
    <x v="1"/>
    <x v="1"/>
    <x v="1"/>
    <x v="0"/>
    <x v="0"/>
    <x v="0"/>
    <x v="0"/>
    <x v="0"/>
    <x v="0"/>
    <x v="0"/>
    <n v="5"/>
    <n v="5"/>
    <n v="0"/>
    <n v="5"/>
    <x v="0"/>
    <n v="0.23357763046412891"/>
  </r>
  <r>
    <x v="11"/>
    <x v="1"/>
    <x v="0"/>
    <x v="0"/>
    <x v="0"/>
    <x v="0"/>
    <x v="0"/>
    <x v="1"/>
    <x v="0"/>
    <x v="1"/>
    <n v="7"/>
    <n v="10"/>
    <n v="0"/>
    <m/>
    <x v="1"/>
    <n v="0.65910609031603462"/>
  </r>
  <r>
    <x v="22"/>
    <x v="1"/>
    <x v="0"/>
    <x v="2"/>
    <x v="1"/>
    <x v="0"/>
    <x v="0"/>
    <x v="1"/>
    <x v="1"/>
    <x v="1"/>
    <n v="34"/>
    <n v="38"/>
    <n v="2"/>
    <n v="34"/>
    <x v="0"/>
    <n v="3.1572958354995135"/>
  </r>
  <r>
    <x v="20"/>
    <x v="0"/>
    <x v="1"/>
    <x v="0"/>
    <x v="0"/>
    <x v="0"/>
    <x v="0"/>
    <x v="1"/>
    <x v="0"/>
    <x v="4"/>
    <n v="6"/>
    <n v="7"/>
    <n v="0"/>
    <n v="6"/>
    <x v="0"/>
    <n v="0.21976119986627948"/>
  </r>
  <r>
    <x v="14"/>
    <x v="1"/>
    <x v="0"/>
    <x v="2"/>
    <x v="2"/>
    <x v="0"/>
    <x v="0"/>
    <x v="0"/>
    <x v="0"/>
    <x v="8"/>
    <n v="2"/>
    <n v="2"/>
    <n v="0"/>
    <m/>
    <x v="1"/>
    <n v="0.23976766504814812"/>
  </r>
  <r>
    <x v="0"/>
    <x v="0"/>
    <x v="0"/>
    <x v="0"/>
    <x v="3"/>
    <x v="1"/>
    <x v="0"/>
    <x v="1"/>
    <x v="1"/>
    <x v="8"/>
    <n v="4"/>
    <n v="4"/>
    <n v="0"/>
    <n v="3"/>
    <x v="0"/>
    <n v="0.42885302722131718"/>
  </r>
  <r>
    <x v="5"/>
    <x v="0"/>
    <x v="0"/>
    <x v="0"/>
    <x v="0"/>
    <x v="1"/>
    <x v="1"/>
    <x v="0"/>
    <x v="1"/>
    <x v="7"/>
    <n v="2"/>
    <n v="2"/>
    <n v="0"/>
    <n v="2"/>
    <x v="0"/>
    <n v="5.5576967709156593E-2"/>
  </r>
  <r>
    <x v="6"/>
    <x v="0"/>
    <x v="0"/>
    <x v="0"/>
    <x v="1"/>
    <x v="0"/>
    <x v="0"/>
    <x v="1"/>
    <x v="0"/>
    <x v="1"/>
    <n v="17"/>
    <n v="23"/>
    <n v="0"/>
    <m/>
    <x v="1"/>
    <n v="1.4900311093601786"/>
  </r>
  <r>
    <x v="5"/>
    <x v="1"/>
    <x v="0"/>
    <x v="0"/>
    <x v="3"/>
    <x v="0"/>
    <x v="0"/>
    <x v="1"/>
    <x v="2"/>
    <x v="9"/>
    <n v="2"/>
    <n v="5"/>
    <n v="0"/>
    <n v="2"/>
    <x v="0"/>
    <n v="1.1977031161459113"/>
  </r>
  <r>
    <x v="20"/>
    <x v="1"/>
    <x v="0"/>
    <x v="1"/>
    <x v="1"/>
    <x v="0"/>
    <x v="0"/>
    <x v="1"/>
    <x v="1"/>
    <x v="4"/>
    <n v="8"/>
    <n v="9"/>
    <n v="0"/>
    <n v="7"/>
    <x v="0"/>
    <n v="0.27413621778295183"/>
  </r>
  <r>
    <x v="18"/>
    <x v="1"/>
    <x v="0"/>
    <x v="0"/>
    <x v="1"/>
    <x v="1"/>
    <x v="0"/>
    <x v="1"/>
    <x v="1"/>
    <x v="8"/>
    <n v="5"/>
    <n v="7"/>
    <n v="1"/>
    <m/>
    <x v="1"/>
    <n v="0.83572914993408576"/>
  </r>
  <r>
    <x v="1"/>
    <x v="0"/>
    <x v="0"/>
    <x v="0"/>
    <x v="2"/>
    <x v="1"/>
    <x v="0"/>
    <x v="0"/>
    <x v="1"/>
    <x v="1"/>
    <n v="2"/>
    <n v="2"/>
    <n v="0"/>
    <n v="2"/>
    <x v="0"/>
    <n v="0.16286476160967098"/>
  </r>
  <r>
    <x v="15"/>
    <x v="1"/>
    <x v="0"/>
    <x v="0"/>
    <x v="2"/>
    <x v="0"/>
    <x v="0"/>
    <x v="1"/>
    <x v="2"/>
    <x v="9"/>
    <n v="10"/>
    <n v="17"/>
    <n v="3"/>
    <n v="10"/>
    <x v="0"/>
    <n v="3.2072886533943818"/>
  </r>
  <r>
    <x v="1"/>
    <x v="0"/>
    <x v="1"/>
    <x v="1"/>
    <x v="0"/>
    <x v="0"/>
    <x v="0"/>
    <x v="0"/>
    <x v="1"/>
    <x v="6"/>
    <n v="12"/>
    <n v="14"/>
    <n v="0"/>
    <n v="12"/>
    <x v="0"/>
    <n v="0.13480369228516739"/>
  </r>
  <r>
    <x v="9"/>
    <x v="1"/>
    <x v="1"/>
    <x v="0"/>
    <x v="0"/>
    <x v="0"/>
    <x v="0"/>
    <x v="1"/>
    <x v="1"/>
    <x v="4"/>
    <n v="12"/>
    <n v="13"/>
    <n v="0"/>
    <n v="12"/>
    <x v="0"/>
    <n v="0.40590405068499069"/>
  </r>
  <r>
    <x v="2"/>
    <x v="0"/>
    <x v="0"/>
    <x v="2"/>
    <x v="2"/>
    <x v="0"/>
    <x v="1"/>
    <x v="1"/>
    <x v="1"/>
    <x v="7"/>
    <n v="1"/>
    <n v="2"/>
    <n v="0"/>
    <m/>
    <x v="1"/>
    <n v="5.4538420949698588E-2"/>
  </r>
  <r>
    <x v="9"/>
    <x v="1"/>
    <x v="0"/>
    <x v="0"/>
    <x v="2"/>
    <x v="0"/>
    <x v="0"/>
    <x v="1"/>
    <x v="0"/>
    <x v="8"/>
    <n v="5"/>
    <n v="7"/>
    <n v="0"/>
    <n v="5"/>
    <x v="0"/>
    <n v="0.65679776683741542"/>
  </r>
  <r>
    <x v="3"/>
    <x v="0"/>
    <x v="0"/>
    <x v="0"/>
    <x v="0"/>
    <x v="1"/>
    <x v="1"/>
    <x v="0"/>
    <x v="1"/>
    <x v="7"/>
    <n v="1"/>
    <n v="1"/>
    <n v="0"/>
    <m/>
    <x v="1"/>
    <n v="2.7788483854578296E-2"/>
  </r>
  <r>
    <x v="3"/>
    <x v="0"/>
    <x v="0"/>
    <x v="0"/>
    <x v="1"/>
    <x v="0"/>
    <x v="0"/>
    <x v="1"/>
    <x v="2"/>
    <x v="9"/>
    <n v="35"/>
    <n v="52"/>
    <n v="0"/>
    <m/>
    <x v="1"/>
    <n v="7.0004926429628673"/>
  </r>
  <r>
    <x v="22"/>
    <x v="1"/>
    <x v="0"/>
    <x v="1"/>
    <x v="2"/>
    <x v="0"/>
    <x v="1"/>
    <x v="1"/>
    <x v="0"/>
    <x v="7"/>
    <n v="2"/>
    <n v="2"/>
    <n v="1"/>
    <n v="2"/>
    <x v="0"/>
    <n v="4.3710189754567343E-2"/>
  </r>
  <r>
    <x v="19"/>
    <x v="0"/>
    <x v="0"/>
    <x v="0"/>
    <x v="2"/>
    <x v="1"/>
    <x v="0"/>
    <x v="1"/>
    <x v="1"/>
    <x v="1"/>
    <n v="7"/>
    <n v="8"/>
    <n v="0"/>
    <m/>
    <x v="1"/>
    <n v="0.65145904643868391"/>
  </r>
  <r>
    <x v="11"/>
    <x v="1"/>
    <x v="0"/>
    <x v="0"/>
    <x v="0"/>
    <x v="0"/>
    <x v="1"/>
    <x v="0"/>
    <x v="1"/>
    <x v="7"/>
    <n v="7"/>
    <n v="8"/>
    <n v="0"/>
    <m/>
    <x v="1"/>
    <n v="0.17187651203041621"/>
  </r>
  <r>
    <x v="6"/>
    <x v="0"/>
    <x v="0"/>
    <x v="0"/>
    <x v="2"/>
    <x v="0"/>
    <x v="1"/>
    <x v="0"/>
    <x v="1"/>
    <x v="5"/>
    <n v="1"/>
    <n v="1"/>
    <n v="0"/>
    <m/>
    <x v="1"/>
    <n v="2.0865309424357978E-2"/>
  </r>
  <r>
    <x v="20"/>
    <x v="1"/>
    <x v="0"/>
    <x v="0"/>
    <x v="2"/>
    <x v="1"/>
    <x v="0"/>
    <x v="1"/>
    <x v="1"/>
    <x v="8"/>
    <n v="11"/>
    <n v="11"/>
    <n v="1"/>
    <n v="11"/>
    <x v="0"/>
    <n v="1.3001242750759778"/>
  </r>
  <r>
    <x v="12"/>
    <x v="0"/>
    <x v="0"/>
    <x v="0"/>
    <x v="1"/>
    <x v="0"/>
    <x v="0"/>
    <x v="1"/>
    <x v="0"/>
    <x v="1"/>
    <n v="29"/>
    <n v="37"/>
    <n v="1"/>
    <m/>
    <x v="1"/>
    <n v="2.3970065672315912"/>
  </r>
  <r>
    <x v="12"/>
    <x v="0"/>
    <x v="0"/>
    <x v="2"/>
    <x v="0"/>
    <x v="0"/>
    <x v="1"/>
    <x v="1"/>
    <x v="1"/>
    <x v="5"/>
    <n v="3"/>
    <n v="4"/>
    <n v="0"/>
    <m/>
    <x v="1"/>
    <n v="7.4983407728698478E-2"/>
  </r>
  <r>
    <x v="9"/>
    <x v="1"/>
    <x v="1"/>
    <x v="0"/>
    <x v="0"/>
    <x v="0"/>
    <x v="0"/>
    <x v="0"/>
    <x v="1"/>
    <x v="4"/>
    <n v="17"/>
    <n v="21"/>
    <n v="1"/>
    <n v="16"/>
    <x v="0"/>
    <n v="0.65569115879883122"/>
  </r>
  <r>
    <x v="3"/>
    <x v="0"/>
    <x v="0"/>
    <x v="0"/>
    <x v="1"/>
    <x v="0"/>
    <x v="0"/>
    <x v="1"/>
    <x v="0"/>
    <x v="1"/>
    <n v="19"/>
    <n v="35"/>
    <n v="0"/>
    <m/>
    <x v="1"/>
    <n v="2.2674386446785326"/>
  </r>
  <r>
    <x v="1"/>
    <x v="0"/>
    <x v="1"/>
    <x v="0"/>
    <x v="1"/>
    <x v="0"/>
    <x v="0"/>
    <x v="1"/>
    <x v="1"/>
    <x v="4"/>
    <n v="28"/>
    <n v="29"/>
    <n v="0"/>
    <n v="25"/>
    <x v="0"/>
    <n v="0.8894358248422356"/>
  </r>
  <r>
    <x v="18"/>
    <x v="0"/>
    <x v="0"/>
    <x v="2"/>
    <x v="2"/>
    <x v="0"/>
    <x v="0"/>
    <x v="1"/>
    <x v="0"/>
    <x v="1"/>
    <n v="1"/>
    <n v="4"/>
    <n v="0"/>
    <m/>
    <x v="1"/>
    <n v="0.33058612471095111"/>
  </r>
  <r>
    <x v="9"/>
    <x v="0"/>
    <x v="1"/>
    <x v="0"/>
    <x v="0"/>
    <x v="1"/>
    <x v="0"/>
    <x v="0"/>
    <x v="0"/>
    <x v="3"/>
    <n v="2"/>
    <n v="2"/>
    <n v="0"/>
    <n v="2"/>
    <x v="0"/>
    <n v="0.11993782362175887"/>
  </r>
  <r>
    <x v="10"/>
    <x v="0"/>
    <x v="0"/>
    <x v="0"/>
    <x v="2"/>
    <x v="0"/>
    <x v="0"/>
    <x v="0"/>
    <x v="0"/>
    <x v="3"/>
    <n v="3"/>
    <n v="3"/>
    <n v="0"/>
    <m/>
    <x v="1"/>
    <n v="0.19228418311293793"/>
  </r>
  <r>
    <x v="9"/>
    <x v="1"/>
    <x v="0"/>
    <x v="0"/>
    <x v="3"/>
    <x v="0"/>
    <x v="0"/>
    <x v="1"/>
    <x v="0"/>
    <x v="8"/>
    <n v="2"/>
    <n v="2"/>
    <n v="0"/>
    <n v="2"/>
    <x v="0"/>
    <n v="0.24601606933333317"/>
  </r>
  <r>
    <x v="20"/>
    <x v="0"/>
    <x v="0"/>
    <x v="2"/>
    <x v="1"/>
    <x v="0"/>
    <x v="0"/>
    <x v="1"/>
    <x v="0"/>
    <x v="1"/>
    <n v="5"/>
    <n v="5"/>
    <n v="0"/>
    <n v="4"/>
    <x v="0"/>
    <n v="0.4175872833010697"/>
  </r>
  <r>
    <x v="0"/>
    <x v="1"/>
    <x v="0"/>
    <x v="2"/>
    <x v="0"/>
    <x v="0"/>
    <x v="0"/>
    <x v="0"/>
    <x v="1"/>
    <x v="0"/>
    <n v="21"/>
    <n v="24"/>
    <n v="1"/>
    <n v="20"/>
    <x v="0"/>
    <n v="1.3808854633388339"/>
  </r>
  <r>
    <x v="10"/>
    <x v="0"/>
    <x v="0"/>
    <x v="0"/>
    <x v="0"/>
    <x v="1"/>
    <x v="0"/>
    <x v="0"/>
    <x v="1"/>
    <x v="0"/>
    <n v="4"/>
    <n v="6"/>
    <n v="0"/>
    <m/>
    <x v="1"/>
    <n v="0.34182672852489143"/>
  </r>
  <r>
    <x v="3"/>
    <x v="1"/>
    <x v="0"/>
    <x v="1"/>
    <x v="0"/>
    <x v="0"/>
    <x v="0"/>
    <x v="0"/>
    <x v="0"/>
    <x v="4"/>
    <n v="2"/>
    <n v="2"/>
    <n v="0"/>
    <m/>
    <x v="1"/>
    <n v="6.2358044650831737E-2"/>
  </r>
  <r>
    <x v="1"/>
    <x v="1"/>
    <x v="1"/>
    <x v="0"/>
    <x v="3"/>
    <x v="0"/>
    <x v="0"/>
    <x v="1"/>
    <x v="2"/>
    <x v="9"/>
    <n v="1"/>
    <n v="1"/>
    <n v="0"/>
    <n v="1"/>
    <x v="0"/>
    <n v="0.17949631292439386"/>
  </r>
  <r>
    <x v="3"/>
    <x v="1"/>
    <x v="0"/>
    <x v="2"/>
    <x v="1"/>
    <x v="0"/>
    <x v="0"/>
    <x v="1"/>
    <x v="0"/>
    <x v="8"/>
    <n v="9"/>
    <n v="19"/>
    <n v="0"/>
    <m/>
    <x v="1"/>
    <n v="2.300811907653268"/>
  </r>
  <r>
    <x v="20"/>
    <x v="0"/>
    <x v="0"/>
    <x v="0"/>
    <x v="2"/>
    <x v="0"/>
    <x v="0"/>
    <x v="1"/>
    <x v="0"/>
    <x v="3"/>
    <n v="12"/>
    <n v="14"/>
    <n v="0"/>
    <n v="12"/>
    <x v="0"/>
    <n v="0.8973261878603771"/>
  </r>
  <r>
    <x v="15"/>
    <x v="0"/>
    <x v="0"/>
    <x v="2"/>
    <x v="3"/>
    <x v="0"/>
    <x v="1"/>
    <x v="1"/>
    <x v="2"/>
    <x v="8"/>
    <n v="1"/>
    <n v="1"/>
    <n v="0"/>
    <n v="1"/>
    <x v="0"/>
    <n v="0.11478638274090987"/>
  </r>
  <r>
    <x v="6"/>
    <x v="0"/>
    <x v="1"/>
    <x v="0"/>
    <x v="3"/>
    <x v="0"/>
    <x v="1"/>
    <x v="1"/>
    <x v="1"/>
    <x v="5"/>
    <n v="1"/>
    <n v="2"/>
    <n v="0"/>
    <m/>
    <x v="1"/>
    <n v="3.9307770701860444E-2"/>
  </r>
  <r>
    <x v="3"/>
    <x v="0"/>
    <x v="0"/>
    <x v="0"/>
    <x v="2"/>
    <x v="0"/>
    <x v="0"/>
    <x v="1"/>
    <x v="1"/>
    <x v="2"/>
    <n v="8"/>
    <n v="10"/>
    <n v="0"/>
    <m/>
    <x v="1"/>
    <n v="0.43099749369073626"/>
  </r>
  <r>
    <x v="9"/>
    <x v="0"/>
    <x v="1"/>
    <x v="1"/>
    <x v="0"/>
    <x v="0"/>
    <x v="1"/>
    <x v="0"/>
    <x v="0"/>
    <x v="6"/>
    <n v="2"/>
    <n v="2"/>
    <n v="0"/>
    <n v="2"/>
    <x v="0"/>
    <n v="1.3891063049768546E-2"/>
  </r>
  <r>
    <x v="10"/>
    <x v="1"/>
    <x v="1"/>
    <x v="2"/>
    <x v="0"/>
    <x v="0"/>
    <x v="1"/>
    <x v="1"/>
    <x v="0"/>
    <x v="7"/>
    <n v="2"/>
    <n v="2"/>
    <n v="0"/>
    <m/>
    <x v="1"/>
    <n v="5.9195982327990358E-2"/>
  </r>
  <r>
    <x v="19"/>
    <x v="0"/>
    <x v="0"/>
    <x v="2"/>
    <x v="2"/>
    <x v="0"/>
    <x v="1"/>
    <x v="1"/>
    <x v="1"/>
    <x v="7"/>
    <n v="1"/>
    <n v="1"/>
    <n v="0"/>
    <m/>
    <x v="1"/>
    <n v="2.7269210474849294E-2"/>
  </r>
  <r>
    <x v="8"/>
    <x v="1"/>
    <x v="0"/>
    <x v="0"/>
    <x v="0"/>
    <x v="0"/>
    <x v="0"/>
    <x v="0"/>
    <x v="0"/>
    <x v="1"/>
    <n v="12"/>
    <n v="14"/>
    <n v="1"/>
    <m/>
    <x v="1"/>
    <n v="0.92274852644244854"/>
  </r>
  <r>
    <x v="9"/>
    <x v="0"/>
    <x v="0"/>
    <x v="0"/>
    <x v="2"/>
    <x v="1"/>
    <x v="0"/>
    <x v="1"/>
    <x v="1"/>
    <x v="1"/>
    <n v="8"/>
    <n v="13"/>
    <n v="0"/>
    <n v="7"/>
    <x v="0"/>
    <n v="1.0586209504628612"/>
  </r>
  <r>
    <x v="1"/>
    <x v="1"/>
    <x v="0"/>
    <x v="1"/>
    <x v="2"/>
    <x v="0"/>
    <x v="0"/>
    <x v="0"/>
    <x v="0"/>
    <x v="0"/>
    <n v="1"/>
    <n v="1"/>
    <n v="0"/>
    <n v="1"/>
    <x v="0"/>
    <n v="4.5095690087541995E-2"/>
  </r>
  <r>
    <x v="10"/>
    <x v="1"/>
    <x v="0"/>
    <x v="0"/>
    <x v="2"/>
    <x v="0"/>
    <x v="0"/>
    <x v="0"/>
    <x v="0"/>
    <x v="8"/>
    <n v="5"/>
    <n v="6"/>
    <n v="0"/>
    <m/>
    <x v="1"/>
    <n v="0.56296951443207033"/>
  </r>
  <r>
    <x v="0"/>
    <x v="0"/>
    <x v="0"/>
    <x v="0"/>
    <x v="0"/>
    <x v="0"/>
    <x v="0"/>
    <x v="0"/>
    <x v="1"/>
    <x v="7"/>
    <n v="41"/>
    <n v="46"/>
    <n v="1"/>
    <n v="41"/>
    <x v="0"/>
    <n v="1.3698719855485224"/>
  </r>
  <r>
    <x v="9"/>
    <x v="1"/>
    <x v="1"/>
    <x v="1"/>
    <x v="0"/>
    <x v="1"/>
    <x v="1"/>
    <x v="0"/>
    <x v="1"/>
    <x v="6"/>
    <n v="1"/>
    <n v="1"/>
    <n v="0"/>
    <n v="1"/>
    <x v="0"/>
    <n v="1.350380369724709E-2"/>
  </r>
  <r>
    <x v="1"/>
    <x v="0"/>
    <x v="0"/>
    <x v="0"/>
    <x v="2"/>
    <x v="0"/>
    <x v="0"/>
    <x v="0"/>
    <x v="0"/>
    <x v="3"/>
    <n v="4"/>
    <n v="5"/>
    <n v="1"/>
    <n v="4"/>
    <x v="0"/>
    <n v="0.32047363852156324"/>
  </r>
  <r>
    <x v="7"/>
    <x v="0"/>
    <x v="0"/>
    <x v="1"/>
    <x v="0"/>
    <x v="0"/>
    <x v="1"/>
    <x v="1"/>
    <x v="1"/>
    <x v="6"/>
    <n v="3"/>
    <n v="3"/>
    <n v="0"/>
    <m/>
    <x v="1"/>
    <n v="1.9739333835198093E-2"/>
  </r>
  <r>
    <x v="8"/>
    <x v="0"/>
    <x v="0"/>
    <x v="1"/>
    <x v="1"/>
    <x v="0"/>
    <x v="0"/>
    <x v="1"/>
    <x v="0"/>
    <x v="4"/>
    <n v="2"/>
    <n v="3"/>
    <n v="0"/>
    <m/>
    <x v="1"/>
    <n v="9.1879787574193156E-2"/>
  </r>
  <r>
    <x v="18"/>
    <x v="1"/>
    <x v="0"/>
    <x v="0"/>
    <x v="3"/>
    <x v="0"/>
    <x v="0"/>
    <x v="1"/>
    <x v="2"/>
    <x v="9"/>
    <n v="2"/>
    <n v="2"/>
    <n v="0"/>
    <m/>
    <x v="1"/>
    <n v="0.47908124645836453"/>
  </r>
  <r>
    <x v="19"/>
    <x v="0"/>
    <x v="0"/>
    <x v="0"/>
    <x v="0"/>
    <x v="0"/>
    <x v="0"/>
    <x v="1"/>
    <x v="1"/>
    <x v="7"/>
    <n v="20"/>
    <n v="26"/>
    <n v="0"/>
    <m/>
    <x v="1"/>
    <n v="0.77427547009264319"/>
  </r>
  <r>
    <x v="8"/>
    <x v="0"/>
    <x v="1"/>
    <x v="0"/>
    <x v="2"/>
    <x v="0"/>
    <x v="0"/>
    <x v="0"/>
    <x v="0"/>
    <x v="0"/>
    <n v="5"/>
    <n v="5"/>
    <n v="0"/>
    <m/>
    <x v="1"/>
    <n v="0.22701388608673082"/>
  </r>
  <r>
    <x v="19"/>
    <x v="0"/>
    <x v="0"/>
    <x v="0"/>
    <x v="1"/>
    <x v="1"/>
    <x v="0"/>
    <x v="1"/>
    <x v="1"/>
    <x v="1"/>
    <n v="24"/>
    <n v="34"/>
    <n v="0"/>
    <m/>
    <x v="1"/>
    <n v="2.7979164187918033"/>
  </r>
  <r>
    <x v="11"/>
    <x v="0"/>
    <x v="0"/>
    <x v="0"/>
    <x v="0"/>
    <x v="0"/>
    <x v="0"/>
    <x v="1"/>
    <x v="1"/>
    <x v="7"/>
    <n v="30"/>
    <n v="39"/>
    <n v="0"/>
    <m/>
    <x v="1"/>
    <n v="1.1614132051389647"/>
  </r>
  <r>
    <x v="11"/>
    <x v="0"/>
    <x v="0"/>
    <x v="0"/>
    <x v="1"/>
    <x v="0"/>
    <x v="0"/>
    <x v="1"/>
    <x v="2"/>
    <x v="9"/>
    <n v="35"/>
    <n v="47"/>
    <n v="0"/>
    <m/>
    <x v="1"/>
    <n v="6.3273683503702838"/>
  </r>
  <r>
    <x v="11"/>
    <x v="1"/>
    <x v="0"/>
    <x v="0"/>
    <x v="0"/>
    <x v="0"/>
    <x v="0"/>
    <x v="0"/>
    <x v="2"/>
    <x v="9"/>
    <n v="6"/>
    <n v="15"/>
    <n v="0"/>
    <m/>
    <x v="1"/>
    <n v="2.0518267094499505"/>
  </r>
  <r>
    <x v="21"/>
    <x v="1"/>
    <x v="0"/>
    <x v="0"/>
    <x v="0"/>
    <x v="0"/>
    <x v="0"/>
    <x v="0"/>
    <x v="2"/>
    <x v="9"/>
    <n v="8"/>
    <n v="12"/>
    <n v="0"/>
    <m/>
    <x v="1"/>
    <n v="1.6414613675599605"/>
  </r>
  <r>
    <x v="0"/>
    <x v="0"/>
    <x v="1"/>
    <x v="2"/>
    <x v="0"/>
    <x v="0"/>
    <x v="0"/>
    <x v="0"/>
    <x v="1"/>
    <x v="7"/>
    <n v="4"/>
    <n v="4"/>
    <n v="0"/>
    <n v="3"/>
    <x v="0"/>
    <n v="0.10911136800135676"/>
  </r>
  <r>
    <x v="20"/>
    <x v="1"/>
    <x v="0"/>
    <x v="2"/>
    <x v="2"/>
    <x v="0"/>
    <x v="0"/>
    <x v="1"/>
    <x v="2"/>
    <x v="9"/>
    <n v="3"/>
    <n v="5"/>
    <n v="1"/>
    <n v="3"/>
    <x v="0"/>
    <n v="1.1712361965549472"/>
  </r>
  <r>
    <x v="1"/>
    <x v="1"/>
    <x v="0"/>
    <x v="2"/>
    <x v="2"/>
    <x v="0"/>
    <x v="0"/>
    <x v="1"/>
    <x v="0"/>
    <x v="8"/>
    <n v="4"/>
    <n v="4"/>
    <n v="0"/>
    <n v="4"/>
    <x v="0"/>
    <n v="0.47953533009629623"/>
  </r>
  <r>
    <x v="0"/>
    <x v="0"/>
    <x v="1"/>
    <x v="0"/>
    <x v="0"/>
    <x v="0"/>
    <x v="1"/>
    <x v="1"/>
    <x v="0"/>
    <x v="5"/>
    <n v="1"/>
    <n v="1"/>
    <n v="0"/>
    <n v="1"/>
    <x v="0"/>
    <n v="1.5103271786810353E-2"/>
  </r>
  <r>
    <x v="22"/>
    <x v="0"/>
    <x v="0"/>
    <x v="1"/>
    <x v="2"/>
    <x v="1"/>
    <x v="1"/>
    <x v="1"/>
    <x v="1"/>
    <x v="5"/>
    <n v="1"/>
    <n v="1"/>
    <n v="0"/>
    <n v="1"/>
    <x v="0"/>
    <n v="1.8770803012868077E-2"/>
  </r>
  <r>
    <x v="6"/>
    <x v="0"/>
    <x v="0"/>
    <x v="1"/>
    <x v="0"/>
    <x v="0"/>
    <x v="0"/>
    <x v="0"/>
    <x v="1"/>
    <x v="6"/>
    <n v="5"/>
    <n v="6"/>
    <n v="0"/>
    <m/>
    <x v="1"/>
    <n v="8.2835701399997935E-2"/>
  </r>
  <r>
    <x v="5"/>
    <x v="0"/>
    <x v="1"/>
    <x v="2"/>
    <x v="1"/>
    <x v="0"/>
    <x v="0"/>
    <x v="1"/>
    <x v="1"/>
    <x v="4"/>
    <n v="7"/>
    <n v="7"/>
    <n v="0"/>
    <n v="7"/>
    <x v="0"/>
    <n v="0.2797239663622767"/>
  </r>
  <r>
    <x v="10"/>
    <x v="0"/>
    <x v="0"/>
    <x v="0"/>
    <x v="2"/>
    <x v="1"/>
    <x v="0"/>
    <x v="1"/>
    <x v="1"/>
    <x v="1"/>
    <n v="8"/>
    <n v="14"/>
    <n v="0"/>
    <m/>
    <x v="1"/>
    <n v="1.1400533312676968"/>
  </r>
  <r>
    <x v="21"/>
    <x v="0"/>
    <x v="0"/>
    <x v="2"/>
    <x v="0"/>
    <x v="1"/>
    <x v="0"/>
    <x v="0"/>
    <x v="1"/>
    <x v="1"/>
    <n v="1"/>
    <n v="1"/>
    <n v="0"/>
    <m/>
    <x v="1"/>
    <n v="7.3623241710018827E-2"/>
  </r>
  <r>
    <x v="19"/>
    <x v="0"/>
    <x v="1"/>
    <x v="1"/>
    <x v="2"/>
    <x v="0"/>
    <x v="1"/>
    <x v="1"/>
    <x v="0"/>
    <x v="6"/>
    <n v="1"/>
    <n v="1"/>
    <n v="0"/>
    <m/>
    <x v="1"/>
    <n v="1.0159072239262455E-2"/>
  </r>
  <r>
    <x v="2"/>
    <x v="0"/>
    <x v="1"/>
    <x v="0"/>
    <x v="0"/>
    <x v="0"/>
    <x v="0"/>
    <x v="0"/>
    <x v="1"/>
    <x v="5"/>
    <n v="21"/>
    <n v="22"/>
    <n v="0"/>
    <m/>
    <x v="1"/>
    <n v="0.4591830631648941"/>
  </r>
  <r>
    <x v="2"/>
    <x v="0"/>
    <x v="1"/>
    <x v="0"/>
    <x v="1"/>
    <x v="0"/>
    <x v="0"/>
    <x v="1"/>
    <x v="1"/>
    <x v="4"/>
    <n v="25"/>
    <n v="26"/>
    <n v="2"/>
    <m/>
    <x v="1"/>
    <n v="0.79742522227234913"/>
  </r>
  <r>
    <x v="14"/>
    <x v="0"/>
    <x v="0"/>
    <x v="0"/>
    <x v="2"/>
    <x v="1"/>
    <x v="0"/>
    <x v="1"/>
    <x v="1"/>
    <x v="1"/>
    <n v="5"/>
    <n v="8"/>
    <n v="0"/>
    <m/>
    <x v="1"/>
    <n v="0.65145904643868391"/>
  </r>
  <r>
    <x v="16"/>
    <x v="0"/>
    <x v="0"/>
    <x v="2"/>
    <x v="2"/>
    <x v="0"/>
    <x v="1"/>
    <x v="1"/>
    <x v="1"/>
    <x v="7"/>
    <n v="1"/>
    <n v="1"/>
    <n v="0"/>
    <m/>
    <x v="1"/>
    <n v="2.7269210474849294E-2"/>
  </r>
  <r>
    <x v="14"/>
    <x v="0"/>
    <x v="0"/>
    <x v="1"/>
    <x v="1"/>
    <x v="0"/>
    <x v="0"/>
    <x v="1"/>
    <x v="1"/>
    <x v="5"/>
    <n v="9"/>
    <n v="9"/>
    <n v="0"/>
    <m/>
    <x v="1"/>
    <n v="0.18320446762678264"/>
  </r>
  <r>
    <x v="4"/>
    <x v="1"/>
    <x v="0"/>
    <x v="0"/>
    <x v="0"/>
    <x v="0"/>
    <x v="0"/>
    <x v="1"/>
    <x v="1"/>
    <x v="0"/>
    <n v="25"/>
    <n v="29"/>
    <n v="0"/>
    <m/>
    <x v="1"/>
    <n v="1.2861211001567632"/>
  </r>
  <r>
    <x v="16"/>
    <x v="0"/>
    <x v="1"/>
    <x v="0"/>
    <x v="0"/>
    <x v="0"/>
    <x v="0"/>
    <x v="0"/>
    <x v="1"/>
    <x v="5"/>
    <n v="13"/>
    <n v="15"/>
    <n v="0"/>
    <m/>
    <x v="1"/>
    <n v="0.31307936124879143"/>
  </r>
  <r>
    <x v="20"/>
    <x v="1"/>
    <x v="0"/>
    <x v="0"/>
    <x v="0"/>
    <x v="0"/>
    <x v="0"/>
    <x v="1"/>
    <x v="2"/>
    <x v="9"/>
    <n v="3"/>
    <n v="6"/>
    <n v="1"/>
    <n v="3"/>
    <x v="0"/>
    <n v="0.82073068377998026"/>
  </r>
  <r>
    <x v="15"/>
    <x v="1"/>
    <x v="0"/>
    <x v="2"/>
    <x v="0"/>
    <x v="0"/>
    <x v="0"/>
    <x v="0"/>
    <x v="2"/>
    <x v="9"/>
    <n v="4"/>
    <n v="5"/>
    <n v="1"/>
    <n v="4"/>
    <x v="0"/>
    <n v="0.86251411436826875"/>
  </r>
  <r>
    <x v="4"/>
    <x v="0"/>
    <x v="0"/>
    <x v="1"/>
    <x v="1"/>
    <x v="0"/>
    <x v="0"/>
    <x v="1"/>
    <x v="1"/>
    <x v="5"/>
    <n v="14"/>
    <n v="15"/>
    <n v="0"/>
    <m/>
    <x v="1"/>
    <n v="0.30534077937797105"/>
  </r>
  <r>
    <x v="1"/>
    <x v="0"/>
    <x v="1"/>
    <x v="1"/>
    <x v="1"/>
    <x v="0"/>
    <x v="0"/>
    <x v="1"/>
    <x v="1"/>
    <x v="6"/>
    <n v="9"/>
    <n v="10"/>
    <n v="0"/>
    <n v="8"/>
    <x v="0"/>
    <n v="0.14225731508849485"/>
  </r>
  <r>
    <x v="20"/>
    <x v="0"/>
    <x v="1"/>
    <x v="0"/>
    <x v="2"/>
    <x v="1"/>
    <x v="1"/>
    <x v="1"/>
    <x v="0"/>
    <x v="2"/>
    <n v="2"/>
    <n v="2"/>
    <n v="0"/>
    <n v="2"/>
    <x v="0"/>
    <n v="8.4824829296156687E-2"/>
  </r>
  <r>
    <x v="1"/>
    <x v="0"/>
    <x v="1"/>
    <x v="1"/>
    <x v="2"/>
    <x v="0"/>
    <x v="1"/>
    <x v="1"/>
    <x v="1"/>
    <x v="6"/>
    <n v="1"/>
    <n v="1"/>
    <n v="0"/>
    <n v="1"/>
    <x v="0"/>
    <n v="6.7047818131641948E-3"/>
  </r>
  <r>
    <x v="10"/>
    <x v="1"/>
    <x v="0"/>
    <x v="0"/>
    <x v="0"/>
    <x v="1"/>
    <x v="0"/>
    <x v="0"/>
    <x v="1"/>
    <x v="1"/>
    <n v="6"/>
    <n v="8"/>
    <n v="0"/>
    <m/>
    <x v="1"/>
    <n v="0.66956425948945841"/>
  </r>
  <r>
    <x v="1"/>
    <x v="1"/>
    <x v="0"/>
    <x v="1"/>
    <x v="0"/>
    <x v="0"/>
    <x v="0"/>
    <x v="1"/>
    <x v="1"/>
    <x v="5"/>
    <n v="6"/>
    <n v="6"/>
    <n v="0"/>
    <n v="6"/>
    <x v="0"/>
    <n v="0.12436310920447867"/>
  </r>
  <r>
    <x v="4"/>
    <x v="0"/>
    <x v="1"/>
    <x v="1"/>
    <x v="1"/>
    <x v="0"/>
    <x v="0"/>
    <x v="1"/>
    <x v="0"/>
    <x v="5"/>
    <n v="1"/>
    <n v="2"/>
    <n v="0"/>
    <m/>
    <x v="1"/>
    <n v="4.2942086682100908E-2"/>
  </r>
  <r>
    <x v="17"/>
    <x v="0"/>
    <x v="0"/>
    <x v="0"/>
    <x v="0"/>
    <x v="0"/>
    <x v="1"/>
    <x v="1"/>
    <x v="0"/>
    <x v="7"/>
    <n v="5"/>
    <n v="5"/>
    <n v="0"/>
    <n v="4"/>
    <x v="0"/>
    <n v="0.10801732404158602"/>
  </r>
  <r>
    <x v="11"/>
    <x v="1"/>
    <x v="0"/>
    <x v="0"/>
    <x v="0"/>
    <x v="0"/>
    <x v="1"/>
    <x v="1"/>
    <x v="1"/>
    <x v="7"/>
    <n v="16"/>
    <n v="18"/>
    <n v="0"/>
    <m/>
    <x v="1"/>
    <n v="0.38672215206843652"/>
  </r>
  <r>
    <x v="18"/>
    <x v="0"/>
    <x v="1"/>
    <x v="2"/>
    <x v="2"/>
    <x v="0"/>
    <x v="1"/>
    <x v="1"/>
    <x v="2"/>
    <x v="3"/>
    <n v="1"/>
    <n v="1"/>
    <n v="0"/>
    <m/>
    <x v="1"/>
    <n v="6.2337033552238463E-2"/>
  </r>
  <r>
    <x v="17"/>
    <x v="0"/>
    <x v="1"/>
    <x v="0"/>
    <x v="2"/>
    <x v="0"/>
    <x v="0"/>
    <x v="1"/>
    <x v="1"/>
    <x v="7"/>
    <n v="4"/>
    <n v="5"/>
    <n v="0"/>
    <n v="4"/>
    <x v="0"/>
    <n v="0.15166065419930277"/>
  </r>
  <r>
    <x v="8"/>
    <x v="0"/>
    <x v="1"/>
    <x v="0"/>
    <x v="0"/>
    <x v="0"/>
    <x v="1"/>
    <x v="0"/>
    <x v="1"/>
    <x v="6"/>
    <n v="1"/>
    <n v="1"/>
    <n v="0"/>
    <m/>
    <x v="1"/>
    <n v="9.9848113487339026E-3"/>
  </r>
  <r>
    <x v="19"/>
    <x v="1"/>
    <x v="1"/>
    <x v="0"/>
    <x v="0"/>
    <x v="1"/>
    <x v="0"/>
    <x v="0"/>
    <x v="2"/>
    <x v="9"/>
    <n v="1"/>
    <n v="1"/>
    <n v="0"/>
    <m/>
    <x v="1"/>
    <n v="0.17804506696932551"/>
  </r>
  <r>
    <x v="16"/>
    <x v="0"/>
    <x v="1"/>
    <x v="0"/>
    <x v="2"/>
    <x v="0"/>
    <x v="0"/>
    <x v="0"/>
    <x v="1"/>
    <x v="7"/>
    <n v="2"/>
    <n v="2"/>
    <n v="0"/>
    <m/>
    <x v="1"/>
    <n v="6.066426167972111E-2"/>
  </r>
  <r>
    <x v="7"/>
    <x v="1"/>
    <x v="1"/>
    <x v="2"/>
    <x v="1"/>
    <x v="0"/>
    <x v="0"/>
    <x v="1"/>
    <x v="1"/>
    <x v="3"/>
    <n v="5"/>
    <n v="6"/>
    <n v="0"/>
    <m/>
    <x v="1"/>
    <n v="0.35523914019619895"/>
  </r>
  <r>
    <x v="16"/>
    <x v="1"/>
    <x v="0"/>
    <x v="0"/>
    <x v="3"/>
    <x v="0"/>
    <x v="0"/>
    <x v="1"/>
    <x v="0"/>
    <x v="8"/>
    <n v="4"/>
    <n v="4"/>
    <n v="0"/>
    <m/>
    <x v="1"/>
    <n v="0.49203213866666634"/>
  </r>
  <r>
    <x v="12"/>
    <x v="1"/>
    <x v="1"/>
    <x v="0"/>
    <x v="0"/>
    <x v="0"/>
    <x v="1"/>
    <x v="1"/>
    <x v="0"/>
    <x v="7"/>
    <n v="2"/>
    <n v="2"/>
    <n v="0"/>
    <m/>
    <x v="1"/>
    <n v="4.5319878411547367E-2"/>
  </r>
  <r>
    <x v="15"/>
    <x v="0"/>
    <x v="0"/>
    <x v="1"/>
    <x v="1"/>
    <x v="1"/>
    <x v="0"/>
    <x v="1"/>
    <x v="0"/>
    <x v="0"/>
    <n v="3"/>
    <n v="3"/>
    <n v="0"/>
    <n v="3"/>
    <x v="0"/>
    <n v="0.17563321340738813"/>
  </r>
  <r>
    <x v="19"/>
    <x v="0"/>
    <x v="0"/>
    <x v="0"/>
    <x v="3"/>
    <x v="0"/>
    <x v="0"/>
    <x v="1"/>
    <x v="0"/>
    <x v="8"/>
    <n v="2"/>
    <n v="2"/>
    <n v="0"/>
    <m/>
    <x v="1"/>
    <n v="0.16978784771798305"/>
  </r>
  <r>
    <x v="20"/>
    <x v="0"/>
    <x v="0"/>
    <x v="0"/>
    <x v="0"/>
    <x v="0"/>
    <x v="0"/>
    <x v="0"/>
    <x v="0"/>
    <x v="0"/>
    <n v="8"/>
    <n v="12"/>
    <n v="0"/>
    <n v="8"/>
    <x v="0"/>
    <n v="0.53506410738091503"/>
  </r>
  <r>
    <x v="20"/>
    <x v="1"/>
    <x v="0"/>
    <x v="2"/>
    <x v="0"/>
    <x v="0"/>
    <x v="0"/>
    <x v="0"/>
    <x v="1"/>
    <x v="0"/>
    <n v="23"/>
    <n v="25"/>
    <n v="1"/>
    <n v="22"/>
    <x v="0"/>
    <n v="1.4384223576446182"/>
  </r>
  <r>
    <x v="15"/>
    <x v="0"/>
    <x v="0"/>
    <x v="0"/>
    <x v="0"/>
    <x v="0"/>
    <x v="1"/>
    <x v="1"/>
    <x v="0"/>
    <x v="7"/>
    <n v="5"/>
    <n v="5"/>
    <n v="0"/>
    <n v="4"/>
    <x v="0"/>
    <n v="0.10801732404158602"/>
  </r>
  <r>
    <x v="11"/>
    <x v="1"/>
    <x v="0"/>
    <x v="2"/>
    <x v="2"/>
    <x v="0"/>
    <x v="0"/>
    <x v="1"/>
    <x v="2"/>
    <x v="9"/>
    <n v="4"/>
    <n v="5"/>
    <n v="0"/>
    <m/>
    <x v="1"/>
    <n v="1.1712361965549472"/>
  </r>
  <r>
    <x v="21"/>
    <x v="0"/>
    <x v="0"/>
    <x v="2"/>
    <x v="1"/>
    <x v="0"/>
    <x v="0"/>
    <x v="1"/>
    <x v="0"/>
    <x v="1"/>
    <n v="12"/>
    <n v="15"/>
    <n v="0"/>
    <m/>
    <x v="1"/>
    <n v="1.2527618499032089"/>
  </r>
  <r>
    <x v="19"/>
    <x v="0"/>
    <x v="0"/>
    <x v="0"/>
    <x v="2"/>
    <x v="0"/>
    <x v="0"/>
    <x v="1"/>
    <x v="2"/>
    <x v="9"/>
    <n v="10"/>
    <n v="16"/>
    <n v="0"/>
    <m/>
    <x v="1"/>
    <n v="2.1327759556112444"/>
  </r>
  <r>
    <x v="13"/>
    <x v="0"/>
    <x v="0"/>
    <x v="1"/>
    <x v="0"/>
    <x v="0"/>
    <x v="1"/>
    <x v="1"/>
    <x v="1"/>
    <x v="6"/>
    <n v="2"/>
    <n v="2"/>
    <n v="0"/>
    <m/>
    <x v="1"/>
    <n v="1.315955589013206E-2"/>
  </r>
  <r>
    <x v="15"/>
    <x v="0"/>
    <x v="0"/>
    <x v="2"/>
    <x v="0"/>
    <x v="0"/>
    <x v="1"/>
    <x v="1"/>
    <x v="1"/>
    <x v="5"/>
    <n v="2"/>
    <n v="3"/>
    <n v="0"/>
    <n v="2"/>
    <x v="0"/>
    <n v="5.6237555796523855E-2"/>
  </r>
  <r>
    <x v="2"/>
    <x v="0"/>
    <x v="0"/>
    <x v="0"/>
    <x v="2"/>
    <x v="1"/>
    <x v="1"/>
    <x v="0"/>
    <x v="1"/>
    <x v="4"/>
    <n v="3"/>
    <n v="4"/>
    <n v="0"/>
    <m/>
    <x v="1"/>
    <n v="0.16101869871273908"/>
  </r>
  <r>
    <x v="4"/>
    <x v="0"/>
    <x v="0"/>
    <x v="0"/>
    <x v="0"/>
    <x v="0"/>
    <x v="0"/>
    <x v="0"/>
    <x v="0"/>
    <x v="0"/>
    <n v="10"/>
    <n v="14"/>
    <n v="0"/>
    <m/>
    <x v="1"/>
    <n v="0.6242414586110675"/>
  </r>
  <r>
    <x v="19"/>
    <x v="0"/>
    <x v="0"/>
    <x v="0"/>
    <x v="0"/>
    <x v="0"/>
    <x v="1"/>
    <x v="0"/>
    <x v="1"/>
    <x v="6"/>
    <n v="5"/>
    <n v="6"/>
    <n v="0"/>
    <m/>
    <x v="1"/>
    <n v="8.5884729479847072E-2"/>
  </r>
  <r>
    <x v="1"/>
    <x v="0"/>
    <x v="0"/>
    <x v="1"/>
    <x v="2"/>
    <x v="0"/>
    <x v="1"/>
    <x v="1"/>
    <x v="2"/>
    <x v="4"/>
    <n v="1"/>
    <n v="2"/>
    <n v="0"/>
    <n v="1"/>
    <x v="0"/>
    <n v="6.4244019136035085E-2"/>
  </r>
  <r>
    <x v="15"/>
    <x v="1"/>
    <x v="0"/>
    <x v="2"/>
    <x v="0"/>
    <x v="0"/>
    <x v="0"/>
    <x v="1"/>
    <x v="0"/>
    <x v="8"/>
    <n v="3"/>
    <n v="4"/>
    <n v="0"/>
    <n v="3"/>
    <x v="0"/>
    <n v="0.33976122381943119"/>
  </r>
  <r>
    <x v="0"/>
    <x v="0"/>
    <x v="1"/>
    <x v="0"/>
    <x v="2"/>
    <x v="0"/>
    <x v="1"/>
    <x v="1"/>
    <x v="0"/>
    <x v="7"/>
    <n v="1"/>
    <n v="2"/>
    <n v="0"/>
    <n v="1"/>
    <x v="0"/>
    <n v="4.4015136917524199E-2"/>
  </r>
  <r>
    <x v="1"/>
    <x v="0"/>
    <x v="1"/>
    <x v="0"/>
    <x v="2"/>
    <x v="0"/>
    <x v="0"/>
    <x v="1"/>
    <x v="2"/>
    <x v="8"/>
    <n v="6"/>
    <n v="7"/>
    <n v="1"/>
    <n v="6"/>
    <x v="0"/>
    <n v="0.67553989261940062"/>
  </r>
  <r>
    <x v="13"/>
    <x v="1"/>
    <x v="0"/>
    <x v="2"/>
    <x v="3"/>
    <x v="0"/>
    <x v="1"/>
    <x v="1"/>
    <x v="0"/>
    <x v="1"/>
    <n v="1"/>
    <n v="1"/>
    <n v="0"/>
    <m/>
    <x v="1"/>
    <n v="8.028985391245845E-2"/>
  </r>
  <r>
    <x v="5"/>
    <x v="0"/>
    <x v="1"/>
    <x v="0"/>
    <x v="1"/>
    <x v="0"/>
    <x v="0"/>
    <x v="1"/>
    <x v="2"/>
    <x v="8"/>
    <n v="7"/>
    <n v="11"/>
    <n v="1"/>
    <n v="7"/>
    <x v="0"/>
    <n v="1.072578629038011"/>
  </r>
  <r>
    <x v="12"/>
    <x v="0"/>
    <x v="0"/>
    <x v="0"/>
    <x v="2"/>
    <x v="0"/>
    <x v="0"/>
    <x v="1"/>
    <x v="1"/>
    <x v="2"/>
    <n v="8"/>
    <n v="11"/>
    <n v="0"/>
    <m/>
    <x v="1"/>
    <n v="0.47409724305980988"/>
  </r>
  <r>
    <x v="21"/>
    <x v="1"/>
    <x v="0"/>
    <x v="0"/>
    <x v="3"/>
    <x v="0"/>
    <x v="0"/>
    <x v="1"/>
    <x v="2"/>
    <x v="9"/>
    <n v="1"/>
    <n v="2"/>
    <n v="0"/>
    <m/>
    <x v="1"/>
    <n v="0.47908124645836453"/>
  </r>
  <r>
    <x v="10"/>
    <x v="1"/>
    <x v="1"/>
    <x v="1"/>
    <x v="0"/>
    <x v="0"/>
    <x v="1"/>
    <x v="1"/>
    <x v="0"/>
    <x v="6"/>
    <n v="1"/>
    <n v="1"/>
    <n v="0"/>
    <m/>
    <x v="1"/>
    <n v="1.0463975714453297E-2"/>
  </r>
  <r>
    <x v="19"/>
    <x v="1"/>
    <x v="0"/>
    <x v="1"/>
    <x v="0"/>
    <x v="0"/>
    <x v="0"/>
    <x v="1"/>
    <x v="2"/>
    <x v="1"/>
    <n v="1"/>
    <n v="1"/>
    <n v="0"/>
    <m/>
    <x v="1"/>
    <n v="6.7402860630559377E-2"/>
  </r>
  <r>
    <x v="11"/>
    <x v="1"/>
    <x v="0"/>
    <x v="0"/>
    <x v="2"/>
    <x v="0"/>
    <x v="0"/>
    <x v="0"/>
    <x v="0"/>
    <x v="8"/>
    <n v="2"/>
    <n v="4"/>
    <n v="0"/>
    <m/>
    <x v="1"/>
    <n v="0.37531300962138026"/>
  </r>
  <r>
    <x v="2"/>
    <x v="0"/>
    <x v="0"/>
    <x v="1"/>
    <x v="1"/>
    <x v="1"/>
    <x v="0"/>
    <x v="1"/>
    <x v="1"/>
    <x v="4"/>
    <n v="4"/>
    <n v="7"/>
    <n v="0"/>
    <m/>
    <x v="1"/>
    <n v="0.27503821190199207"/>
  </r>
  <r>
    <x v="5"/>
    <x v="1"/>
    <x v="1"/>
    <x v="0"/>
    <x v="0"/>
    <x v="1"/>
    <x v="0"/>
    <x v="0"/>
    <x v="1"/>
    <x v="3"/>
    <n v="2"/>
    <n v="2"/>
    <n v="0"/>
    <n v="2"/>
    <x v="0"/>
    <n v="0.11930345952328165"/>
  </r>
  <r>
    <x v="10"/>
    <x v="0"/>
    <x v="1"/>
    <x v="0"/>
    <x v="0"/>
    <x v="0"/>
    <x v="1"/>
    <x v="1"/>
    <x v="1"/>
    <x v="6"/>
    <n v="8"/>
    <n v="9"/>
    <n v="0"/>
    <m/>
    <x v="1"/>
    <n v="8.986330213860512E-2"/>
  </r>
  <r>
    <x v="19"/>
    <x v="0"/>
    <x v="0"/>
    <x v="1"/>
    <x v="1"/>
    <x v="0"/>
    <x v="0"/>
    <x v="1"/>
    <x v="2"/>
    <x v="1"/>
    <n v="2"/>
    <n v="3"/>
    <n v="0"/>
    <m/>
    <x v="1"/>
    <n v="0.19875754252291369"/>
  </r>
  <r>
    <x v="6"/>
    <x v="0"/>
    <x v="0"/>
    <x v="1"/>
    <x v="0"/>
    <x v="0"/>
    <x v="0"/>
    <x v="0"/>
    <x v="0"/>
    <x v="5"/>
    <n v="1"/>
    <n v="1"/>
    <n v="0"/>
    <m/>
    <x v="1"/>
    <n v="2.0841983429204125E-2"/>
  </r>
  <r>
    <x v="1"/>
    <x v="1"/>
    <x v="0"/>
    <x v="1"/>
    <x v="0"/>
    <x v="0"/>
    <x v="1"/>
    <x v="0"/>
    <x v="1"/>
    <x v="6"/>
    <n v="5"/>
    <n v="7"/>
    <n v="0"/>
    <n v="5"/>
    <x v="0"/>
    <n v="6.9403528523628563E-2"/>
  </r>
  <r>
    <x v="22"/>
    <x v="1"/>
    <x v="0"/>
    <x v="0"/>
    <x v="2"/>
    <x v="0"/>
    <x v="0"/>
    <x v="1"/>
    <x v="2"/>
    <x v="9"/>
    <n v="9"/>
    <n v="10"/>
    <n v="2"/>
    <n v="9"/>
    <x v="0"/>
    <n v="1.8866403843496364"/>
  </r>
  <r>
    <x v="12"/>
    <x v="1"/>
    <x v="1"/>
    <x v="0"/>
    <x v="0"/>
    <x v="0"/>
    <x v="0"/>
    <x v="0"/>
    <x v="1"/>
    <x v="4"/>
    <n v="7"/>
    <n v="7"/>
    <n v="0"/>
    <m/>
    <x v="1"/>
    <n v="0.21856371959961038"/>
  </r>
  <r>
    <x v="11"/>
    <x v="0"/>
    <x v="1"/>
    <x v="2"/>
    <x v="1"/>
    <x v="0"/>
    <x v="0"/>
    <x v="1"/>
    <x v="1"/>
    <x v="4"/>
    <n v="4"/>
    <n v="5"/>
    <n v="0"/>
    <m/>
    <x v="1"/>
    <n v="0.1998028331159119"/>
  </r>
  <r>
    <x v="22"/>
    <x v="1"/>
    <x v="1"/>
    <x v="2"/>
    <x v="0"/>
    <x v="0"/>
    <x v="0"/>
    <x v="0"/>
    <x v="1"/>
    <x v="4"/>
    <n v="4"/>
    <n v="4"/>
    <n v="0"/>
    <n v="4"/>
    <x v="0"/>
    <n v="0.16269716010612686"/>
  </r>
  <r>
    <x v="15"/>
    <x v="0"/>
    <x v="0"/>
    <x v="0"/>
    <x v="3"/>
    <x v="1"/>
    <x v="1"/>
    <x v="1"/>
    <x v="2"/>
    <x v="9"/>
    <n v="2"/>
    <n v="3"/>
    <n v="0"/>
    <n v="2"/>
    <x v="0"/>
    <n v="0.48745689684724464"/>
  </r>
  <r>
    <x v="22"/>
    <x v="1"/>
    <x v="0"/>
    <x v="1"/>
    <x v="0"/>
    <x v="0"/>
    <x v="0"/>
    <x v="0"/>
    <x v="1"/>
    <x v="5"/>
    <n v="3"/>
    <n v="4"/>
    <n v="0"/>
    <n v="3"/>
    <x v="0"/>
    <n v="8.2908739469652437E-2"/>
  </r>
  <r>
    <x v="10"/>
    <x v="0"/>
    <x v="0"/>
    <x v="2"/>
    <x v="2"/>
    <x v="0"/>
    <x v="1"/>
    <x v="0"/>
    <x v="2"/>
    <x v="8"/>
    <n v="1"/>
    <n v="1"/>
    <n v="0"/>
    <m/>
    <x v="1"/>
    <n v="8.7362644124071173E-2"/>
  </r>
  <r>
    <x v="20"/>
    <x v="0"/>
    <x v="0"/>
    <x v="0"/>
    <x v="3"/>
    <x v="1"/>
    <x v="0"/>
    <x v="0"/>
    <x v="1"/>
    <x v="8"/>
    <n v="1"/>
    <n v="1"/>
    <n v="0"/>
    <n v="1"/>
    <x v="0"/>
    <n v="0.1072132568053293"/>
  </r>
  <r>
    <x v="19"/>
    <x v="1"/>
    <x v="0"/>
    <x v="2"/>
    <x v="0"/>
    <x v="0"/>
    <x v="0"/>
    <x v="0"/>
    <x v="1"/>
    <x v="0"/>
    <n v="11"/>
    <n v="15"/>
    <n v="0"/>
    <m/>
    <x v="1"/>
    <n v="0.86305341458677109"/>
  </r>
  <r>
    <x v="21"/>
    <x v="1"/>
    <x v="1"/>
    <x v="0"/>
    <x v="1"/>
    <x v="1"/>
    <x v="0"/>
    <x v="1"/>
    <x v="0"/>
    <x v="9"/>
    <n v="1"/>
    <n v="2"/>
    <n v="0"/>
    <m/>
    <x v="1"/>
    <n v="0.25047186248679471"/>
  </r>
  <r>
    <x v="7"/>
    <x v="1"/>
    <x v="1"/>
    <x v="0"/>
    <x v="0"/>
    <x v="0"/>
    <x v="1"/>
    <x v="1"/>
    <x v="1"/>
    <x v="5"/>
    <n v="3"/>
    <n v="4"/>
    <n v="0"/>
    <m/>
    <x v="1"/>
    <n v="6.0078389760745872E-2"/>
  </r>
  <r>
    <x v="9"/>
    <x v="0"/>
    <x v="1"/>
    <x v="1"/>
    <x v="2"/>
    <x v="0"/>
    <x v="1"/>
    <x v="1"/>
    <x v="1"/>
    <x v="6"/>
    <n v="3"/>
    <n v="3"/>
    <n v="0"/>
    <n v="3"/>
    <x v="0"/>
    <n v="2.0114345439492583E-2"/>
  </r>
  <r>
    <x v="15"/>
    <x v="1"/>
    <x v="1"/>
    <x v="2"/>
    <x v="1"/>
    <x v="0"/>
    <x v="0"/>
    <x v="1"/>
    <x v="1"/>
    <x v="3"/>
    <n v="7"/>
    <n v="7"/>
    <n v="1"/>
    <n v="7"/>
    <x v="0"/>
    <n v="0.41444566356223211"/>
  </r>
  <r>
    <x v="2"/>
    <x v="0"/>
    <x v="0"/>
    <x v="0"/>
    <x v="2"/>
    <x v="0"/>
    <x v="0"/>
    <x v="0"/>
    <x v="2"/>
    <x v="9"/>
    <n v="7"/>
    <n v="8"/>
    <n v="0"/>
    <m/>
    <x v="1"/>
    <n v="1.0663879778056222"/>
  </r>
  <r>
    <x v="16"/>
    <x v="0"/>
    <x v="1"/>
    <x v="0"/>
    <x v="2"/>
    <x v="0"/>
    <x v="0"/>
    <x v="1"/>
    <x v="2"/>
    <x v="8"/>
    <n v="5"/>
    <n v="9"/>
    <n v="1"/>
    <m/>
    <x v="1"/>
    <n v="0.86855129051065794"/>
  </r>
  <r>
    <x v="17"/>
    <x v="0"/>
    <x v="0"/>
    <x v="2"/>
    <x v="1"/>
    <x v="0"/>
    <x v="0"/>
    <x v="1"/>
    <x v="2"/>
    <x v="9"/>
    <n v="9"/>
    <n v="13"/>
    <n v="2"/>
    <n v="9"/>
    <x v="0"/>
    <n v="2.2085116736572004"/>
  </r>
  <r>
    <x v="4"/>
    <x v="1"/>
    <x v="0"/>
    <x v="0"/>
    <x v="2"/>
    <x v="0"/>
    <x v="1"/>
    <x v="1"/>
    <x v="2"/>
    <x v="8"/>
    <n v="5"/>
    <n v="10"/>
    <n v="0"/>
    <m/>
    <x v="1"/>
    <n v="0.99113496312796989"/>
  </r>
  <r>
    <x v="16"/>
    <x v="1"/>
    <x v="1"/>
    <x v="0"/>
    <x v="1"/>
    <x v="0"/>
    <x v="0"/>
    <x v="1"/>
    <x v="1"/>
    <x v="0"/>
    <n v="14"/>
    <n v="18"/>
    <n v="0"/>
    <m/>
    <x v="1"/>
    <n v="0.8217806244571414"/>
  </r>
  <r>
    <x v="19"/>
    <x v="1"/>
    <x v="1"/>
    <x v="2"/>
    <x v="1"/>
    <x v="0"/>
    <x v="0"/>
    <x v="1"/>
    <x v="0"/>
    <x v="8"/>
    <n v="2"/>
    <n v="2"/>
    <n v="0"/>
    <m/>
    <x v="1"/>
    <n v="0.17466290492702188"/>
  </r>
  <r>
    <x v="9"/>
    <x v="0"/>
    <x v="0"/>
    <x v="0"/>
    <x v="0"/>
    <x v="0"/>
    <x v="0"/>
    <x v="0"/>
    <x v="0"/>
    <x v="0"/>
    <n v="14"/>
    <n v="15"/>
    <n v="1"/>
    <n v="13"/>
    <x v="0"/>
    <n v="0.66883013422614368"/>
  </r>
  <r>
    <x v="5"/>
    <x v="0"/>
    <x v="1"/>
    <x v="2"/>
    <x v="0"/>
    <x v="0"/>
    <x v="0"/>
    <x v="1"/>
    <x v="0"/>
    <x v="4"/>
    <n v="1"/>
    <n v="1"/>
    <n v="0"/>
    <m/>
    <x v="0"/>
    <n v="4.089495301709424E-2"/>
  </r>
  <r>
    <x v="19"/>
    <x v="0"/>
    <x v="1"/>
    <x v="1"/>
    <x v="3"/>
    <x v="1"/>
    <x v="0"/>
    <x v="1"/>
    <x v="2"/>
    <x v="8"/>
    <n v="1"/>
    <n v="1"/>
    <n v="0"/>
    <m/>
    <x v="1"/>
    <n v="0.11495729196366554"/>
  </r>
  <r>
    <x v="16"/>
    <x v="1"/>
    <x v="0"/>
    <x v="1"/>
    <x v="1"/>
    <x v="0"/>
    <x v="0"/>
    <x v="1"/>
    <x v="1"/>
    <x v="4"/>
    <n v="6"/>
    <n v="8"/>
    <n v="0"/>
    <m/>
    <x v="1"/>
    <n v="0.24367663802929052"/>
  </r>
  <r>
    <x v="20"/>
    <x v="0"/>
    <x v="0"/>
    <x v="0"/>
    <x v="0"/>
    <x v="0"/>
    <x v="0"/>
    <x v="0"/>
    <x v="2"/>
    <x v="8"/>
    <n v="3"/>
    <n v="4"/>
    <n v="0"/>
    <n v="3"/>
    <x v="0"/>
    <n v="0.37946539891470582"/>
  </r>
  <r>
    <x v="15"/>
    <x v="0"/>
    <x v="0"/>
    <x v="0"/>
    <x v="0"/>
    <x v="0"/>
    <x v="1"/>
    <x v="0"/>
    <x v="1"/>
    <x v="6"/>
    <n v="9"/>
    <n v="10"/>
    <n v="0"/>
    <n v="9"/>
    <x v="0"/>
    <n v="0.14314121579974512"/>
  </r>
  <r>
    <x v="6"/>
    <x v="1"/>
    <x v="0"/>
    <x v="2"/>
    <x v="0"/>
    <x v="0"/>
    <x v="0"/>
    <x v="1"/>
    <x v="1"/>
    <x v="0"/>
    <n v="7"/>
    <n v="7"/>
    <n v="0"/>
    <m/>
    <x v="1"/>
    <n v="0.40275826014049321"/>
  </r>
  <r>
    <x v="12"/>
    <x v="0"/>
    <x v="1"/>
    <x v="0"/>
    <x v="1"/>
    <x v="0"/>
    <x v="0"/>
    <x v="1"/>
    <x v="2"/>
    <x v="8"/>
    <n v="3"/>
    <n v="6"/>
    <n v="0"/>
    <m/>
    <x v="1"/>
    <n v="0.5850428885661878"/>
  </r>
  <r>
    <x v="22"/>
    <x v="0"/>
    <x v="0"/>
    <x v="0"/>
    <x v="0"/>
    <x v="1"/>
    <x v="0"/>
    <x v="0"/>
    <x v="1"/>
    <x v="0"/>
    <n v="4"/>
    <n v="4"/>
    <n v="0"/>
    <n v="4"/>
    <x v="0"/>
    <n v="0.22788448568326095"/>
  </r>
  <r>
    <x v="11"/>
    <x v="1"/>
    <x v="0"/>
    <x v="0"/>
    <x v="2"/>
    <x v="0"/>
    <x v="1"/>
    <x v="1"/>
    <x v="0"/>
    <x v="0"/>
    <n v="1"/>
    <n v="1"/>
    <n v="0"/>
    <m/>
    <x v="1"/>
    <n v="4.6701039199944734E-2"/>
  </r>
  <r>
    <x v="14"/>
    <x v="1"/>
    <x v="1"/>
    <x v="0"/>
    <x v="2"/>
    <x v="0"/>
    <x v="0"/>
    <x v="0"/>
    <x v="2"/>
    <x v="9"/>
    <n v="2"/>
    <n v="3"/>
    <n v="0"/>
    <m/>
    <x v="1"/>
    <n v="0.41712285720746167"/>
  </r>
  <r>
    <x v="2"/>
    <x v="1"/>
    <x v="0"/>
    <x v="2"/>
    <x v="2"/>
    <x v="0"/>
    <x v="0"/>
    <x v="0"/>
    <x v="2"/>
    <x v="9"/>
    <n v="2"/>
    <n v="3"/>
    <n v="0"/>
    <m/>
    <x v="1"/>
    <n v="0.70274171793296836"/>
  </r>
  <r>
    <x v="21"/>
    <x v="0"/>
    <x v="0"/>
    <x v="0"/>
    <x v="2"/>
    <x v="1"/>
    <x v="0"/>
    <x v="0"/>
    <x v="1"/>
    <x v="1"/>
    <n v="3"/>
    <n v="4"/>
    <n v="0"/>
    <m/>
    <x v="1"/>
    <n v="0.32572952321934195"/>
  </r>
  <r>
    <x v="7"/>
    <x v="0"/>
    <x v="0"/>
    <x v="0"/>
    <x v="3"/>
    <x v="1"/>
    <x v="0"/>
    <x v="1"/>
    <x v="0"/>
    <x v="9"/>
    <n v="1"/>
    <n v="6"/>
    <n v="0"/>
    <m/>
    <x v="1"/>
    <n v="0.92640139035621394"/>
  </r>
  <r>
    <x v="8"/>
    <x v="0"/>
    <x v="1"/>
    <x v="0"/>
    <x v="2"/>
    <x v="0"/>
    <x v="1"/>
    <x v="1"/>
    <x v="1"/>
    <x v="5"/>
    <n v="4"/>
    <n v="4"/>
    <n v="0"/>
    <m/>
    <x v="1"/>
    <n v="5.833562737076016E-2"/>
  </r>
  <r>
    <x v="11"/>
    <x v="1"/>
    <x v="0"/>
    <x v="0"/>
    <x v="1"/>
    <x v="0"/>
    <x v="0"/>
    <x v="1"/>
    <x v="2"/>
    <x v="9"/>
    <n v="14"/>
    <n v="32"/>
    <n v="0"/>
    <m/>
    <x v="1"/>
    <n v="6.0934485295060918"/>
  </r>
  <r>
    <x v="22"/>
    <x v="1"/>
    <x v="0"/>
    <x v="2"/>
    <x v="0"/>
    <x v="0"/>
    <x v="1"/>
    <x v="0"/>
    <x v="1"/>
    <x v="7"/>
    <n v="2"/>
    <n v="2"/>
    <n v="0"/>
    <n v="2"/>
    <x v="0"/>
    <n v="5.6146150112140698E-2"/>
  </r>
  <r>
    <x v="5"/>
    <x v="0"/>
    <x v="0"/>
    <x v="0"/>
    <x v="2"/>
    <x v="0"/>
    <x v="0"/>
    <x v="1"/>
    <x v="1"/>
    <x v="2"/>
    <n v="5"/>
    <n v="6"/>
    <n v="0"/>
    <n v="5"/>
    <x v="0"/>
    <n v="0.25859849621444175"/>
  </r>
  <r>
    <x v="14"/>
    <x v="0"/>
    <x v="0"/>
    <x v="0"/>
    <x v="3"/>
    <x v="1"/>
    <x v="0"/>
    <x v="1"/>
    <x v="1"/>
    <x v="8"/>
    <n v="1"/>
    <n v="2"/>
    <n v="0"/>
    <m/>
    <x v="1"/>
    <n v="0.21442651361065859"/>
  </r>
  <r>
    <x v="5"/>
    <x v="0"/>
    <x v="1"/>
    <x v="1"/>
    <x v="0"/>
    <x v="0"/>
    <x v="1"/>
    <x v="0"/>
    <x v="1"/>
    <x v="6"/>
    <n v="4"/>
    <n v="4"/>
    <n v="0"/>
    <n v="4"/>
    <x v="0"/>
    <n v="1.8315422154747026E-2"/>
  </r>
  <r>
    <x v="7"/>
    <x v="0"/>
    <x v="1"/>
    <x v="0"/>
    <x v="2"/>
    <x v="1"/>
    <x v="1"/>
    <x v="0"/>
    <x v="0"/>
    <x v="2"/>
    <n v="1"/>
    <n v="1"/>
    <n v="0"/>
    <m/>
    <x v="1"/>
    <n v="4.2412414648078343E-2"/>
  </r>
  <r>
    <x v="12"/>
    <x v="1"/>
    <x v="0"/>
    <x v="2"/>
    <x v="0"/>
    <x v="0"/>
    <x v="1"/>
    <x v="0"/>
    <x v="1"/>
    <x v="7"/>
    <n v="3"/>
    <n v="4"/>
    <n v="0"/>
    <m/>
    <x v="1"/>
    <n v="0.1122923002242814"/>
  </r>
  <r>
    <x v="12"/>
    <x v="1"/>
    <x v="0"/>
    <x v="2"/>
    <x v="0"/>
    <x v="0"/>
    <x v="0"/>
    <x v="0"/>
    <x v="0"/>
    <x v="8"/>
    <n v="4"/>
    <n v="6"/>
    <n v="0"/>
    <m/>
    <x v="1"/>
    <n v="0.5096418357291469"/>
  </r>
  <r>
    <x v="3"/>
    <x v="0"/>
    <x v="1"/>
    <x v="1"/>
    <x v="1"/>
    <x v="0"/>
    <x v="0"/>
    <x v="1"/>
    <x v="0"/>
    <x v="5"/>
    <n v="1"/>
    <n v="1"/>
    <n v="0"/>
    <m/>
    <x v="1"/>
    <n v="2.1471043341050454E-2"/>
  </r>
  <r>
    <x v="16"/>
    <x v="1"/>
    <x v="0"/>
    <x v="0"/>
    <x v="0"/>
    <x v="1"/>
    <x v="1"/>
    <x v="0"/>
    <x v="1"/>
    <x v="4"/>
    <n v="1"/>
    <n v="1"/>
    <n v="0"/>
    <m/>
    <x v="1"/>
    <n v="4.1425033735772165E-2"/>
  </r>
  <r>
    <x v="16"/>
    <x v="0"/>
    <x v="0"/>
    <x v="1"/>
    <x v="0"/>
    <x v="0"/>
    <x v="0"/>
    <x v="1"/>
    <x v="0"/>
    <x v="5"/>
    <n v="4"/>
    <n v="4"/>
    <n v="0"/>
    <m/>
    <x v="1"/>
    <n v="8.33679337168165E-2"/>
  </r>
  <r>
    <x v="4"/>
    <x v="0"/>
    <x v="1"/>
    <x v="0"/>
    <x v="2"/>
    <x v="0"/>
    <x v="1"/>
    <x v="1"/>
    <x v="1"/>
    <x v="5"/>
    <n v="2"/>
    <n v="3"/>
    <n v="0"/>
    <m/>
    <x v="1"/>
    <n v="4.3751720528070123E-2"/>
  </r>
  <r>
    <x v="20"/>
    <x v="1"/>
    <x v="0"/>
    <x v="0"/>
    <x v="0"/>
    <x v="0"/>
    <x v="0"/>
    <x v="0"/>
    <x v="2"/>
    <x v="9"/>
    <n v="11"/>
    <n v="13"/>
    <n v="4"/>
    <n v="11"/>
    <x v="0"/>
    <n v="1.7782498148566239"/>
  </r>
  <r>
    <x v="22"/>
    <x v="0"/>
    <x v="0"/>
    <x v="0"/>
    <x v="3"/>
    <x v="1"/>
    <x v="0"/>
    <x v="0"/>
    <x v="2"/>
    <x v="9"/>
    <n v="2"/>
    <n v="2"/>
    <n v="0"/>
    <n v="2"/>
    <x v="0"/>
    <n v="0.58162156708570711"/>
  </r>
  <r>
    <x v="18"/>
    <x v="0"/>
    <x v="1"/>
    <x v="1"/>
    <x v="1"/>
    <x v="0"/>
    <x v="0"/>
    <x v="1"/>
    <x v="2"/>
    <x v="0"/>
    <n v="1"/>
    <n v="1"/>
    <n v="0"/>
    <m/>
    <x v="1"/>
    <n v="4.6962864711200251E-2"/>
  </r>
  <r>
    <x v="17"/>
    <x v="0"/>
    <x v="0"/>
    <x v="0"/>
    <x v="0"/>
    <x v="1"/>
    <x v="0"/>
    <x v="0"/>
    <x v="1"/>
    <x v="0"/>
    <n v="6"/>
    <n v="6"/>
    <n v="0"/>
    <n v="5"/>
    <x v="0"/>
    <n v="0.34182672852489143"/>
  </r>
  <r>
    <x v="5"/>
    <x v="1"/>
    <x v="0"/>
    <x v="1"/>
    <x v="0"/>
    <x v="0"/>
    <x v="1"/>
    <x v="0"/>
    <x v="1"/>
    <x v="6"/>
    <n v="3"/>
    <n v="3"/>
    <n v="0"/>
    <n v="3"/>
    <x v="0"/>
    <n v="2.9744369367269385E-2"/>
  </r>
  <r>
    <x v="12"/>
    <x v="1"/>
    <x v="0"/>
    <x v="2"/>
    <x v="1"/>
    <x v="1"/>
    <x v="0"/>
    <x v="1"/>
    <x v="2"/>
    <x v="9"/>
    <n v="1"/>
    <n v="1"/>
    <n v="0"/>
    <m/>
    <x v="1"/>
    <n v="0.37850228785218432"/>
  </r>
  <r>
    <x v="3"/>
    <x v="1"/>
    <x v="0"/>
    <x v="1"/>
    <x v="1"/>
    <x v="1"/>
    <x v="0"/>
    <x v="1"/>
    <x v="1"/>
    <x v="0"/>
    <n v="3"/>
    <n v="3"/>
    <n v="0"/>
    <m/>
    <x v="1"/>
    <n v="0.17470287013110697"/>
  </r>
  <r>
    <x v="5"/>
    <x v="0"/>
    <x v="0"/>
    <x v="1"/>
    <x v="0"/>
    <x v="0"/>
    <x v="0"/>
    <x v="1"/>
    <x v="0"/>
    <x v="5"/>
    <n v="1"/>
    <n v="1"/>
    <n v="0"/>
    <n v="1"/>
    <x v="0"/>
    <n v="2.0841983429204125E-2"/>
  </r>
  <r>
    <x v="3"/>
    <x v="0"/>
    <x v="0"/>
    <x v="2"/>
    <x v="1"/>
    <x v="1"/>
    <x v="0"/>
    <x v="1"/>
    <x v="2"/>
    <x v="9"/>
    <n v="3"/>
    <n v="6"/>
    <n v="0"/>
    <m/>
    <x v="1"/>
    <n v="1.7228593095047215"/>
  </r>
  <r>
    <x v="19"/>
    <x v="0"/>
    <x v="0"/>
    <x v="0"/>
    <x v="0"/>
    <x v="0"/>
    <x v="0"/>
    <x v="0"/>
    <x v="2"/>
    <x v="8"/>
    <n v="10"/>
    <n v="14"/>
    <n v="0"/>
    <m/>
    <x v="1"/>
    <n v="1.3281288962014703"/>
  </r>
  <r>
    <x v="1"/>
    <x v="0"/>
    <x v="1"/>
    <x v="2"/>
    <x v="1"/>
    <x v="1"/>
    <x v="0"/>
    <x v="1"/>
    <x v="1"/>
    <x v="1"/>
    <n v="5"/>
    <n v="5"/>
    <n v="1"/>
    <n v="4"/>
    <x v="0"/>
    <n v="0.37861082956747316"/>
  </r>
  <r>
    <x v="17"/>
    <x v="1"/>
    <x v="0"/>
    <x v="0"/>
    <x v="1"/>
    <x v="1"/>
    <x v="0"/>
    <x v="1"/>
    <x v="2"/>
    <x v="9"/>
    <n v="8"/>
    <n v="8"/>
    <n v="2"/>
    <n v="8"/>
    <x v="0"/>
    <n v="2.531586662337272"/>
  </r>
  <r>
    <x v="16"/>
    <x v="0"/>
    <x v="1"/>
    <x v="2"/>
    <x v="1"/>
    <x v="1"/>
    <x v="0"/>
    <x v="1"/>
    <x v="0"/>
    <x v="8"/>
    <n v="3"/>
    <n v="3"/>
    <n v="0"/>
    <m/>
    <x v="1"/>
    <n v="0.33230644612304222"/>
  </r>
  <r>
    <x v="22"/>
    <x v="1"/>
    <x v="1"/>
    <x v="0"/>
    <x v="2"/>
    <x v="0"/>
    <x v="0"/>
    <x v="1"/>
    <x v="2"/>
    <x v="9"/>
    <n v="1"/>
    <n v="2"/>
    <n v="0"/>
    <n v="1"/>
    <x v="0"/>
    <n v="0.27808190480497447"/>
  </r>
  <r>
    <x v="21"/>
    <x v="0"/>
    <x v="1"/>
    <x v="0"/>
    <x v="2"/>
    <x v="0"/>
    <x v="0"/>
    <x v="0"/>
    <x v="2"/>
    <x v="8"/>
    <n v="2"/>
    <n v="3"/>
    <n v="0"/>
    <m/>
    <x v="1"/>
    <n v="0.28951709683688598"/>
  </r>
  <r>
    <x v="20"/>
    <x v="0"/>
    <x v="1"/>
    <x v="0"/>
    <x v="2"/>
    <x v="1"/>
    <x v="0"/>
    <x v="1"/>
    <x v="1"/>
    <x v="0"/>
    <n v="4"/>
    <n v="4"/>
    <n v="0"/>
    <n v="4"/>
    <x v="0"/>
    <n v="0.23199031270691034"/>
  </r>
  <r>
    <x v="5"/>
    <x v="1"/>
    <x v="0"/>
    <x v="2"/>
    <x v="1"/>
    <x v="1"/>
    <x v="0"/>
    <x v="1"/>
    <x v="2"/>
    <x v="9"/>
    <n v="4"/>
    <n v="4"/>
    <n v="1"/>
    <n v="4"/>
    <x v="0"/>
    <n v="1.5140091514087373"/>
  </r>
  <r>
    <x v="5"/>
    <x v="1"/>
    <x v="0"/>
    <x v="2"/>
    <x v="0"/>
    <x v="0"/>
    <x v="0"/>
    <x v="0"/>
    <x v="1"/>
    <x v="0"/>
    <n v="13"/>
    <n v="15"/>
    <n v="0"/>
    <n v="13"/>
    <x v="0"/>
    <n v="0.86305341458677109"/>
  </r>
  <r>
    <x v="10"/>
    <x v="1"/>
    <x v="0"/>
    <x v="1"/>
    <x v="0"/>
    <x v="0"/>
    <x v="1"/>
    <x v="1"/>
    <x v="1"/>
    <x v="6"/>
    <n v="2"/>
    <n v="2"/>
    <n v="0"/>
    <m/>
    <x v="1"/>
    <n v="1.9829579578179591E-2"/>
  </r>
  <r>
    <x v="15"/>
    <x v="1"/>
    <x v="0"/>
    <x v="1"/>
    <x v="2"/>
    <x v="1"/>
    <x v="0"/>
    <x v="0"/>
    <x v="0"/>
    <x v="8"/>
    <n v="1"/>
    <n v="1"/>
    <n v="0"/>
    <n v="1"/>
    <x v="0"/>
    <n v="8.5045726905154884E-2"/>
  </r>
  <r>
    <x v="7"/>
    <x v="1"/>
    <x v="1"/>
    <x v="2"/>
    <x v="1"/>
    <x v="0"/>
    <x v="0"/>
    <x v="1"/>
    <x v="0"/>
    <x v="8"/>
    <n v="3"/>
    <n v="3"/>
    <n v="0"/>
    <m/>
    <x v="1"/>
    <n v="0.26199435739053284"/>
  </r>
  <r>
    <x v="4"/>
    <x v="0"/>
    <x v="0"/>
    <x v="2"/>
    <x v="0"/>
    <x v="0"/>
    <x v="0"/>
    <x v="0"/>
    <x v="2"/>
    <x v="8"/>
    <n v="1"/>
    <n v="3"/>
    <n v="0"/>
    <m/>
    <x v="1"/>
    <n v="0.36351496861088656"/>
  </r>
  <r>
    <x v="11"/>
    <x v="1"/>
    <x v="1"/>
    <x v="2"/>
    <x v="1"/>
    <x v="0"/>
    <x v="0"/>
    <x v="1"/>
    <x v="1"/>
    <x v="3"/>
    <n v="7"/>
    <n v="12"/>
    <n v="0"/>
    <m/>
    <x v="1"/>
    <n v="0.71047828039239791"/>
  </r>
  <r>
    <x v="5"/>
    <x v="0"/>
    <x v="0"/>
    <x v="0"/>
    <x v="2"/>
    <x v="0"/>
    <x v="0"/>
    <x v="0"/>
    <x v="2"/>
    <x v="9"/>
    <n v="6"/>
    <n v="7"/>
    <n v="2"/>
    <n v="6"/>
    <x v="0"/>
    <n v="0.93308948057991969"/>
  </r>
  <r>
    <x v="19"/>
    <x v="0"/>
    <x v="0"/>
    <x v="0"/>
    <x v="0"/>
    <x v="0"/>
    <x v="0"/>
    <x v="1"/>
    <x v="2"/>
    <x v="8"/>
    <n v="6"/>
    <n v="8"/>
    <n v="0"/>
    <m/>
    <x v="1"/>
    <n v="0.75893079782941164"/>
  </r>
  <r>
    <x v="9"/>
    <x v="0"/>
    <x v="1"/>
    <x v="0"/>
    <x v="1"/>
    <x v="1"/>
    <x v="0"/>
    <x v="1"/>
    <x v="1"/>
    <x v="0"/>
    <n v="6"/>
    <n v="10"/>
    <n v="0"/>
    <n v="4"/>
    <x v="0"/>
    <n v="0.58625353913978018"/>
  </r>
  <r>
    <x v="1"/>
    <x v="1"/>
    <x v="0"/>
    <x v="0"/>
    <x v="2"/>
    <x v="0"/>
    <x v="0"/>
    <x v="1"/>
    <x v="1"/>
    <x v="3"/>
    <n v="5"/>
    <n v="7"/>
    <n v="1"/>
    <n v="5"/>
    <x v="0"/>
    <n v="0.44630042680555043"/>
  </r>
  <r>
    <x v="4"/>
    <x v="1"/>
    <x v="0"/>
    <x v="2"/>
    <x v="0"/>
    <x v="0"/>
    <x v="0"/>
    <x v="1"/>
    <x v="0"/>
    <x v="8"/>
    <n v="4"/>
    <n v="4"/>
    <n v="0"/>
    <m/>
    <x v="1"/>
    <n v="0.33976122381943119"/>
  </r>
  <r>
    <x v="17"/>
    <x v="0"/>
    <x v="1"/>
    <x v="0"/>
    <x v="1"/>
    <x v="1"/>
    <x v="0"/>
    <x v="1"/>
    <x v="2"/>
    <x v="9"/>
    <n v="4"/>
    <n v="7"/>
    <n v="1"/>
    <n v="4"/>
    <x v="0"/>
    <n v="1.227530413241138"/>
  </r>
  <r>
    <x v="18"/>
    <x v="0"/>
    <x v="0"/>
    <x v="0"/>
    <x v="2"/>
    <x v="0"/>
    <x v="1"/>
    <x v="1"/>
    <x v="2"/>
    <x v="1"/>
    <n v="1"/>
    <n v="1"/>
    <n v="0"/>
    <m/>
    <x v="1"/>
    <n v="6.7830483934244123E-2"/>
  </r>
  <r>
    <x v="12"/>
    <x v="0"/>
    <x v="0"/>
    <x v="2"/>
    <x v="0"/>
    <x v="0"/>
    <x v="0"/>
    <x v="1"/>
    <x v="1"/>
    <x v="4"/>
    <n v="4"/>
    <n v="6"/>
    <n v="0"/>
    <m/>
    <x v="1"/>
    <n v="0.23286771133979997"/>
  </r>
  <r>
    <x v="6"/>
    <x v="1"/>
    <x v="0"/>
    <x v="0"/>
    <x v="1"/>
    <x v="1"/>
    <x v="0"/>
    <x v="1"/>
    <x v="2"/>
    <x v="9"/>
    <n v="2"/>
    <n v="9"/>
    <n v="0"/>
    <m/>
    <x v="1"/>
    <n v="2.848034995129431"/>
  </r>
  <r>
    <x v="16"/>
    <x v="1"/>
    <x v="0"/>
    <x v="2"/>
    <x v="0"/>
    <x v="0"/>
    <x v="0"/>
    <x v="1"/>
    <x v="0"/>
    <x v="8"/>
    <n v="3"/>
    <n v="5"/>
    <n v="0"/>
    <m/>
    <x v="1"/>
    <n v="0.42470152977428904"/>
  </r>
  <r>
    <x v="3"/>
    <x v="0"/>
    <x v="0"/>
    <x v="0"/>
    <x v="0"/>
    <x v="0"/>
    <x v="1"/>
    <x v="0"/>
    <x v="0"/>
    <x v="7"/>
    <n v="2"/>
    <n v="2"/>
    <n v="0"/>
    <m/>
    <x v="1"/>
    <n v="4.3206929616634408E-2"/>
  </r>
  <r>
    <x v="21"/>
    <x v="0"/>
    <x v="1"/>
    <x v="0"/>
    <x v="1"/>
    <x v="0"/>
    <x v="0"/>
    <x v="1"/>
    <x v="2"/>
    <x v="8"/>
    <n v="7"/>
    <n v="14"/>
    <n v="0"/>
    <m/>
    <x v="1"/>
    <n v="1.3651000733211049"/>
  </r>
  <r>
    <x v="9"/>
    <x v="0"/>
    <x v="1"/>
    <x v="0"/>
    <x v="3"/>
    <x v="1"/>
    <x v="0"/>
    <x v="1"/>
    <x v="2"/>
    <x v="9"/>
    <n v="2"/>
    <n v="3"/>
    <n v="0"/>
    <n v="2"/>
    <x v="0"/>
    <n v="0.66498267382666365"/>
  </r>
  <r>
    <x v="18"/>
    <x v="0"/>
    <x v="0"/>
    <x v="0"/>
    <x v="2"/>
    <x v="1"/>
    <x v="0"/>
    <x v="1"/>
    <x v="0"/>
    <x v="8"/>
    <n v="2"/>
    <n v="2"/>
    <n v="0"/>
    <m/>
    <x v="1"/>
    <n v="0.23756451250297758"/>
  </r>
  <r>
    <x v="5"/>
    <x v="1"/>
    <x v="1"/>
    <x v="0"/>
    <x v="0"/>
    <x v="1"/>
    <x v="1"/>
    <x v="0"/>
    <x v="1"/>
    <x v="7"/>
    <n v="2"/>
    <n v="2"/>
    <n v="0"/>
    <n v="2"/>
    <x v="0"/>
    <n v="5.8276832597682536E-2"/>
  </r>
  <r>
    <x v="1"/>
    <x v="0"/>
    <x v="0"/>
    <x v="0"/>
    <x v="0"/>
    <x v="0"/>
    <x v="0"/>
    <x v="1"/>
    <x v="0"/>
    <x v="0"/>
    <n v="5"/>
    <n v="8"/>
    <n v="0"/>
    <n v="5"/>
    <x v="0"/>
    <n v="0.35670940492060998"/>
  </r>
  <r>
    <x v="6"/>
    <x v="0"/>
    <x v="0"/>
    <x v="2"/>
    <x v="1"/>
    <x v="1"/>
    <x v="0"/>
    <x v="1"/>
    <x v="1"/>
    <x v="8"/>
    <n v="9"/>
    <n v="10"/>
    <n v="0"/>
    <m/>
    <x v="1"/>
    <n v="1.0551663196804721"/>
  </r>
  <r>
    <x v="14"/>
    <x v="1"/>
    <x v="1"/>
    <x v="1"/>
    <x v="1"/>
    <x v="1"/>
    <x v="0"/>
    <x v="1"/>
    <x v="1"/>
    <x v="4"/>
    <n v="5"/>
    <n v="7"/>
    <n v="0"/>
    <m/>
    <x v="1"/>
    <n v="0.28823358565193041"/>
  </r>
  <r>
    <x v="12"/>
    <x v="0"/>
    <x v="0"/>
    <x v="2"/>
    <x v="0"/>
    <x v="0"/>
    <x v="0"/>
    <x v="0"/>
    <x v="2"/>
    <x v="8"/>
    <n v="2"/>
    <n v="3"/>
    <n v="0"/>
    <m/>
    <x v="1"/>
    <n v="0.36351496861088656"/>
  </r>
  <r>
    <x v="2"/>
    <x v="0"/>
    <x v="0"/>
    <x v="1"/>
    <x v="0"/>
    <x v="0"/>
    <x v="1"/>
    <x v="1"/>
    <x v="1"/>
    <x v="6"/>
    <n v="3"/>
    <n v="3"/>
    <n v="0"/>
    <m/>
    <x v="1"/>
    <n v="1.9739333835198093E-2"/>
  </r>
  <r>
    <x v="11"/>
    <x v="0"/>
    <x v="0"/>
    <x v="1"/>
    <x v="0"/>
    <x v="1"/>
    <x v="0"/>
    <x v="1"/>
    <x v="1"/>
    <x v="7"/>
    <n v="1"/>
    <n v="1"/>
    <n v="0"/>
    <m/>
    <x v="1"/>
    <n v="2.6814967241158918E-2"/>
  </r>
  <r>
    <x v="2"/>
    <x v="0"/>
    <x v="0"/>
    <x v="0"/>
    <x v="0"/>
    <x v="1"/>
    <x v="1"/>
    <x v="0"/>
    <x v="1"/>
    <x v="7"/>
    <n v="1"/>
    <n v="1"/>
    <n v="0"/>
    <m/>
    <x v="1"/>
    <n v="2.7788483854578296E-2"/>
  </r>
  <r>
    <x v="9"/>
    <x v="0"/>
    <x v="1"/>
    <x v="0"/>
    <x v="2"/>
    <x v="0"/>
    <x v="1"/>
    <x v="1"/>
    <x v="1"/>
    <x v="5"/>
    <n v="2"/>
    <n v="3"/>
    <n v="0"/>
    <n v="1"/>
    <x v="0"/>
    <n v="4.3751720528070123E-2"/>
  </r>
  <r>
    <x v="20"/>
    <x v="0"/>
    <x v="0"/>
    <x v="0"/>
    <x v="2"/>
    <x v="0"/>
    <x v="0"/>
    <x v="0"/>
    <x v="2"/>
    <x v="9"/>
    <n v="2"/>
    <n v="3"/>
    <n v="0"/>
    <n v="2"/>
    <x v="0"/>
    <n v="0.39989549167710842"/>
  </r>
  <r>
    <x v="16"/>
    <x v="0"/>
    <x v="0"/>
    <x v="2"/>
    <x v="0"/>
    <x v="0"/>
    <x v="0"/>
    <x v="0"/>
    <x v="2"/>
    <x v="8"/>
    <n v="3"/>
    <n v="5"/>
    <n v="0"/>
    <m/>
    <x v="1"/>
    <n v="0.60585828101814421"/>
  </r>
  <r>
    <x v="6"/>
    <x v="0"/>
    <x v="1"/>
    <x v="0"/>
    <x v="1"/>
    <x v="0"/>
    <x v="0"/>
    <x v="1"/>
    <x v="2"/>
    <x v="8"/>
    <n v="6"/>
    <n v="8"/>
    <n v="1"/>
    <m/>
    <x v="1"/>
    <n v="0.78005718475491714"/>
  </r>
  <r>
    <x v="8"/>
    <x v="1"/>
    <x v="0"/>
    <x v="2"/>
    <x v="0"/>
    <x v="0"/>
    <x v="0"/>
    <x v="1"/>
    <x v="0"/>
    <x v="8"/>
    <n v="2"/>
    <n v="3"/>
    <n v="0"/>
    <m/>
    <x v="1"/>
    <n v="0.25482091786457345"/>
  </r>
  <r>
    <x v="5"/>
    <x v="0"/>
    <x v="0"/>
    <x v="0"/>
    <x v="0"/>
    <x v="1"/>
    <x v="0"/>
    <x v="0"/>
    <x v="1"/>
    <x v="0"/>
    <n v="11"/>
    <n v="11"/>
    <n v="0"/>
    <n v="11"/>
    <x v="0"/>
    <n v="0.62668233562896758"/>
  </r>
  <r>
    <x v="1"/>
    <x v="1"/>
    <x v="0"/>
    <x v="0"/>
    <x v="2"/>
    <x v="0"/>
    <x v="1"/>
    <x v="1"/>
    <x v="0"/>
    <x v="0"/>
    <n v="2"/>
    <n v="3"/>
    <n v="0"/>
    <n v="2"/>
    <x v="0"/>
    <n v="0.14010311759983418"/>
  </r>
  <r>
    <x v="19"/>
    <x v="1"/>
    <x v="0"/>
    <x v="0"/>
    <x v="0"/>
    <x v="0"/>
    <x v="1"/>
    <x v="1"/>
    <x v="1"/>
    <x v="7"/>
    <n v="16"/>
    <n v="19"/>
    <n v="0"/>
    <m/>
    <x v="1"/>
    <n v="0.40820671607223852"/>
  </r>
  <r>
    <x v="17"/>
    <x v="0"/>
    <x v="1"/>
    <x v="0"/>
    <x v="1"/>
    <x v="0"/>
    <x v="0"/>
    <x v="1"/>
    <x v="0"/>
    <x v="0"/>
    <n v="5"/>
    <n v="6"/>
    <n v="0"/>
    <n v="5"/>
    <x v="0"/>
    <n v="0.27540520514534178"/>
  </r>
  <r>
    <x v="16"/>
    <x v="1"/>
    <x v="0"/>
    <x v="0"/>
    <x v="1"/>
    <x v="1"/>
    <x v="0"/>
    <x v="1"/>
    <x v="0"/>
    <x v="9"/>
    <n v="3"/>
    <n v="6"/>
    <n v="0"/>
    <m/>
    <x v="1"/>
    <n v="1.0254607382955674"/>
  </r>
  <r>
    <x v="10"/>
    <x v="1"/>
    <x v="0"/>
    <x v="0"/>
    <x v="0"/>
    <x v="0"/>
    <x v="1"/>
    <x v="1"/>
    <x v="1"/>
    <x v="7"/>
    <n v="11"/>
    <n v="11"/>
    <n v="0"/>
    <m/>
    <x v="1"/>
    <n v="0.23633020404182231"/>
  </r>
  <r>
    <x v="17"/>
    <x v="0"/>
    <x v="0"/>
    <x v="0"/>
    <x v="2"/>
    <x v="1"/>
    <x v="0"/>
    <x v="1"/>
    <x v="1"/>
    <x v="1"/>
    <n v="5"/>
    <n v="6"/>
    <n v="0"/>
    <n v="5"/>
    <x v="0"/>
    <n v="0.4885942848290129"/>
  </r>
  <r>
    <x v="1"/>
    <x v="1"/>
    <x v="0"/>
    <x v="0"/>
    <x v="1"/>
    <x v="1"/>
    <x v="0"/>
    <x v="1"/>
    <x v="2"/>
    <x v="9"/>
    <n v="8"/>
    <n v="10"/>
    <n v="2"/>
    <n v="8"/>
    <x v="0"/>
    <n v="3.16448332792159"/>
  </r>
  <r>
    <x v="17"/>
    <x v="0"/>
    <x v="0"/>
    <x v="1"/>
    <x v="0"/>
    <x v="1"/>
    <x v="0"/>
    <x v="0"/>
    <x v="1"/>
    <x v="7"/>
    <n v="3"/>
    <n v="3"/>
    <n v="0"/>
    <n v="2"/>
    <x v="0"/>
    <n v="8.044490172347675E-2"/>
  </r>
  <r>
    <x v="3"/>
    <x v="0"/>
    <x v="0"/>
    <x v="0"/>
    <x v="2"/>
    <x v="0"/>
    <x v="0"/>
    <x v="1"/>
    <x v="0"/>
    <x v="3"/>
    <n v="6"/>
    <n v="11"/>
    <n v="0"/>
    <m/>
    <x v="1"/>
    <n v="0.70504200474743917"/>
  </r>
  <r>
    <x v="2"/>
    <x v="1"/>
    <x v="0"/>
    <x v="0"/>
    <x v="3"/>
    <x v="0"/>
    <x v="0"/>
    <x v="1"/>
    <x v="2"/>
    <x v="9"/>
    <n v="3"/>
    <n v="3"/>
    <n v="1"/>
    <m/>
    <x v="1"/>
    <n v="0.71862186968754671"/>
  </r>
  <r>
    <x v="1"/>
    <x v="0"/>
    <x v="0"/>
    <x v="0"/>
    <x v="0"/>
    <x v="1"/>
    <x v="0"/>
    <x v="1"/>
    <x v="0"/>
    <x v="1"/>
    <n v="1"/>
    <n v="1"/>
    <n v="0"/>
    <n v="1"/>
    <x v="0"/>
    <n v="8.4129123046113322E-2"/>
  </r>
  <r>
    <x v="18"/>
    <x v="0"/>
    <x v="0"/>
    <x v="0"/>
    <x v="2"/>
    <x v="1"/>
    <x v="0"/>
    <x v="0"/>
    <x v="1"/>
    <x v="1"/>
    <n v="1"/>
    <n v="1"/>
    <n v="0"/>
    <m/>
    <x v="1"/>
    <n v="8.1432380804835489E-2"/>
  </r>
  <r>
    <x v="18"/>
    <x v="0"/>
    <x v="0"/>
    <x v="0"/>
    <x v="1"/>
    <x v="1"/>
    <x v="0"/>
    <x v="1"/>
    <x v="0"/>
    <x v="8"/>
    <n v="2"/>
    <n v="3"/>
    <n v="0"/>
    <m/>
    <x v="1"/>
    <n v="0.35995251764645336"/>
  </r>
  <r>
    <x v="15"/>
    <x v="1"/>
    <x v="0"/>
    <x v="1"/>
    <x v="2"/>
    <x v="0"/>
    <x v="1"/>
    <x v="1"/>
    <x v="1"/>
    <x v="6"/>
    <n v="1"/>
    <n v="1"/>
    <n v="0"/>
    <n v="1"/>
    <x v="0"/>
    <n v="1.4482104507696861E-2"/>
  </r>
  <r>
    <x v="22"/>
    <x v="0"/>
    <x v="0"/>
    <x v="0"/>
    <x v="0"/>
    <x v="1"/>
    <x v="0"/>
    <x v="1"/>
    <x v="1"/>
    <x v="0"/>
    <n v="4"/>
    <n v="4"/>
    <n v="0"/>
    <n v="4"/>
    <x v="0"/>
    <n v="0.22788448568326095"/>
  </r>
  <r>
    <x v="0"/>
    <x v="1"/>
    <x v="0"/>
    <x v="0"/>
    <x v="3"/>
    <x v="0"/>
    <x v="0"/>
    <x v="1"/>
    <x v="2"/>
    <x v="9"/>
    <n v="1"/>
    <n v="2"/>
    <n v="0"/>
    <n v="1"/>
    <x v="0"/>
    <n v="0.47908124645836453"/>
  </r>
  <r>
    <x v="11"/>
    <x v="1"/>
    <x v="0"/>
    <x v="0"/>
    <x v="3"/>
    <x v="1"/>
    <x v="0"/>
    <x v="0"/>
    <x v="1"/>
    <x v="9"/>
    <n v="1"/>
    <n v="2"/>
    <n v="0"/>
    <m/>
    <x v="1"/>
    <n v="0.30733047533081592"/>
  </r>
  <r>
    <x v="6"/>
    <x v="1"/>
    <x v="0"/>
    <x v="0"/>
    <x v="1"/>
    <x v="0"/>
    <x v="0"/>
    <x v="1"/>
    <x v="0"/>
    <x v="8"/>
    <n v="12"/>
    <n v="13"/>
    <n v="2"/>
    <m/>
    <x v="1"/>
    <n v="1.2324628270764066"/>
  </r>
  <r>
    <x v="20"/>
    <x v="1"/>
    <x v="0"/>
    <x v="2"/>
    <x v="0"/>
    <x v="0"/>
    <x v="0"/>
    <x v="0"/>
    <x v="2"/>
    <x v="9"/>
    <n v="1"/>
    <n v="2"/>
    <n v="0"/>
    <n v="1"/>
    <x v="0"/>
    <n v="0.34500564574730752"/>
  </r>
  <r>
    <x v="8"/>
    <x v="0"/>
    <x v="1"/>
    <x v="2"/>
    <x v="1"/>
    <x v="1"/>
    <x v="0"/>
    <x v="1"/>
    <x v="1"/>
    <x v="1"/>
    <n v="1"/>
    <n v="3"/>
    <n v="0"/>
    <m/>
    <x v="1"/>
    <n v="0.22716649774048389"/>
  </r>
  <r>
    <x v="3"/>
    <x v="1"/>
    <x v="0"/>
    <x v="2"/>
    <x v="1"/>
    <x v="1"/>
    <x v="0"/>
    <x v="1"/>
    <x v="1"/>
    <x v="9"/>
    <n v="4"/>
    <n v="7"/>
    <n v="0"/>
    <m/>
    <x v="1"/>
    <n v="1.0595070111657667"/>
  </r>
  <r>
    <x v="17"/>
    <x v="0"/>
    <x v="0"/>
    <x v="0"/>
    <x v="2"/>
    <x v="0"/>
    <x v="0"/>
    <x v="0"/>
    <x v="2"/>
    <x v="9"/>
    <n v="5"/>
    <n v="5"/>
    <n v="0"/>
    <n v="4"/>
    <x v="0"/>
    <n v="0.66649248612851397"/>
  </r>
  <r>
    <x v="5"/>
    <x v="0"/>
    <x v="1"/>
    <x v="1"/>
    <x v="2"/>
    <x v="0"/>
    <x v="0"/>
    <x v="0"/>
    <x v="1"/>
    <x v="6"/>
    <n v="1"/>
    <n v="1"/>
    <n v="0"/>
    <n v="1"/>
    <x v="0"/>
    <n v="1.4066294421662752E-2"/>
  </r>
  <r>
    <x v="2"/>
    <x v="0"/>
    <x v="0"/>
    <x v="1"/>
    <x v="1"/>
    <x v="0"/>
    <x v="0"/>
    <x v="1"/>
    <x v="1"/>
    <x v="5"/>
    <n v="16"/>
    <n v="17"/>
    <n v="0"/>
    <m/>
    <x v="1"/>
    <n v="0.34605288329503386"/>
  </r>
  <r>
    <x v="15"/>
    <x v="1"/>
    <x v="1"/>
    <x v="0"/>
    <x v="1"/>
    <x v="1"/>
    <x v="0"/>
    <x v="1"/>
    <x v="2"/>
    <x v="9"/>
    <n v="2"/>
    <n v="3"/>
    <n v="1"/>
    <n v="1"/>
    <x v="0"/>
    <n v="0.72988083396058068"/>
  </r>
  <r>
    <x v="15"/>
    <x v="1"/>
    <x v="0"/>
    <x v="1"/>
    <x v="2"/>
    <x v="0"/>
    <x v="0"/>
    <x v="1"/>
    <x v="1"/>
    <x v="7"/>
    <n v="2"/>
    <n v="2"/>
    <n v="0"/>
    <n v="2"/>
    <x v="0"/>
    <n v="6.024751842440354E-2"/>
  </r>
  <r>
    <x v="13"/>
    <x v="1"/>
    <x v="0"/>
    <x v="0"/>
    <x v="3"/>
    <x v="1"/>
    <x v="0"/>
    <x v="1"/>
    <x v="1"/>
    <x v="9"/>
    <n v="1"/>
    <n v="1"/>
    <n v="0"/>
    <m/>
    <x v="1"/>
    <n v="0.15366523766540796"/>
  </r>
  <r>
    <x v="4"/>
    <x v="0"/>
    <x v="0"/>
    <x v="0"/>
    <x v="2"/>
    <x v="1"/>
    <x v="1"/>
    <x v="1"/>
    <x v="1"/>
    <x v="4"/>
    <n v="2"/>
    <n v="2"/>
    <n v="0"/>
    <m/>
    <x v="1"/>
    <n v="8.0509349356369539E-2"/>
  </r>
  <r>
    <x v="3"/>
    <x v="0"/>
    <x v="0"/>
    <x v="2"/>
    <x v="1"/>
    <x v="0"/>
    <x v="0"/>
    <x v="1"/>
    <x v="1"/>
    <x v="0"/>
    <n v="11"/>
    <n v="14"/>
    <n v="0"/>
    <m/>
    <x v="1"/>
    <n v="0.79162605937441644"/>
  </r>
  <r>
    <x v="17"/>
    <x v="1"/>
    <x v="0"/>
    <x v="0"/>
    <x v="2"/>
    <x v="0"/>
    <x v="1"/>
    <x v="1"/>
    <x v="2"/>
    <x v="8"/>
    <n v="2"/>
    <n v="4"/>
    <n v="0"/>
    <n v="2"/>
    <x v="0"/>
    <n v="0.39645398525118791"/>
  </r>
  <r>
    <x v="5"/>
    <x v="1"/>
    <x v="1"/>
    <x v="0"/>
    <x v="2"/>
    <x v="0"/>
    <x v="0"/>
    <x v="1"/>
    <x v="1"/>
    <x v="0"/>
    <n v="1"/>
    <n v="1"/>
    <n v="0"/>
    <n v="1"/>
    <x v="0"/>
    <n v="4.5158935948663145E-2"/>
  </r>
  <r>
    <x v="11"/>
    <x v="1"/>
    <x v="0"/>
    <x v="2"/>
    <x v="0"/>
    <x v="0"/>
    <x v="0"/>
    <x v="0"/>
    <x v="0"/>
    <x v="8"/>
    <n v="6"/>
    <n v="8"/>
    <n v="0"/>
    <m/>
    <x v="1"/>
    <n v="0.67952244763886238"/>
  </r>
  <r>
    <x v="12"/>
    <x v="1"/>
    <x v="1"/>
    <x v="0"/>
    <x v="2"/>
    <x v="1"/>
    <x v="0"/>
    <x v="0"/>
    <x v="1"/>
    <x v="8"/>
    <n v="3"/>
    <n v="3"/>
    <n v="0"/>
    <m/>
    <x v="1"/>
    <n v="0.25548001550009786"/>
  </r>
  <r>
    <x v="8"/>
    <x v="0"/>
    <x v="0"/>
    <x v="2"/>
    <x v="1"/>
    <x v="1"/>
    <x v="0"/>
    <x v="1"/>
    <x v="1"/>
    <x v="8"/>
    <n v="3"/>
    <n v="6"/>
    <n v="0"/>
    <m/>
    <x v="1"/>
    <n v="0.63309979180828335"/>
  </r>
  <r>
    <x v="15"/>
    <x v="1"/>
    <x v="1"/>
    <x v="2"/>
    <x v="2"/>
    <x v="0"/>
    <x v="0"/>
    <x v="0"/>
    <x v="1"/>
    <x v="0"/>
    <n v="1"/>
    <n v="1"/>
    <n v="0"/>
    <n v="1"/>
    <x v="0"/>
    <n v="5.857291153169402E-2"/>
  </r>
  <r>
    <x v="3"/>
    <x v="0"/>
    <x v="1"/>
    <x v="1"/>
    <x v="1"/>
    <x v="1"/>
    <x v="0"/>
    <x v="1"/>
    <x v="1"/>
    <x v="7"/>
    <n v="3"/>
    <n v="4"/>
    <n v="0"/>
    <m/>
    <x v="1"/>
    <n v="0.1104768826575175"/>
  </r>
  <r>
    <x v="9"/>
    <x v="1"/>
    <x v="1"/>
    <x v="1"/>
    <x v="0"/>
    <x v="0"/>
    <x v="0"/>
    <x v="0"/>
    <x v="1"/>
    <x v="6"/>
    <n v="2"/>
    <n v="2"/>
    <n v="0"/>
    <n v="2"/>
    <x v="0"/>
    <n v="2.8973497616771756E-2"/>
  </r>
  <r>
    <x v="1"/>
    <x v="1"/>
    <x v="0"/>
    <x v="2"/>
    <x v="2"/>
    <x v="0"/>
    <x v="1"/>
    <x v="1"/>
    <x v="1"/>
    <x v="4"/>
    <n v="1"/>
    <n v="1"/>
    <n v="0"/>
    <n v="1"/>
    <x v="0"/>
    <n v="4.066159666363986E-2"/>
  </r>
  <r>
    <x v="20"/>
    <x v="1"/>
    <x v="0"/>
    <x v="0"/>
    <x v="3"/>
    <x v="1"/>
    <x v="0"/>
    <x v="1"/>
    <x v="1"/>
    <x v="9"/>
    <n v="4"/>
    <n v="4"/>
    <n v="0"/>
    <n v="4"/>
    <x v="0"/>
    <n v="0.61466095066163184"/>
  </r>
  <r>
    <x v="6"/>
    <x v="0"/>
    <x v="1"/>
    <x v="2"/>
    <x v="2"/>
    <x v="1"/>
    <x v="0"/>
    <x v="1"/>
    <x v="1"/>
    <x v="1"/>
    <n v="1"/>
    <n v="1"/>
    <n v="0"/>
    <m/>
    <x v="1"/>
    <n v="7.4925884485121511E-2"/>
  </r>
  <r>
    <x v="7"/>
    <x v="1"/>
    <x v="1"/>
    <x v="0"/>
    <x v="1"/>
    <x v="1"/>
    <x v="0"/>
    <x v="1"/>
    <x v="1"/>
    <x v="8"/>
    <n v="5"/>
    <n v="11"/>
    <n v="0"/>
    <m/>
    <x v="1"/>
    <n v="0.94660426135355691"/>
  </r>
  <r>
    <x v="9"/>
    <x v="1"/>
    <x v="1"/>
    <x v="0"/>
    <x v="0"/>
    <x v="0"/>
    <x v="0"/>
    <x v="0"/>
    <x v="2"/>
    <x v="8"/>
    <n v="3"/>
    <n v="3"/>
    <n v="1"/>
    <n v="3"/>
    <x v="0"/>
    <n v="0.29742765276933614"/>
  </r>
  <r>
    <x v="20"/>
    <x v="1"/>
    <x v="0"/>
    <x v="0"/>
    <x v="2"/>
    <x v="0"/>
    <x v="0"/>
    <x v="1"/>
    <x v="0"/>
    <x v="8"/>
    <n v="8"/>
    <n v="9"/>
    <n v="0"/>
    <n v="8"/>
    <x v="0"/>
    <n v="0.8444542716481056"/>
  </r>
  <r>
    <x v="14"/>
    <x v="0"/>
    <x v="0"/>
    <x v="0"/>
    <x v="0"/>
    <x v="0"/>
    <x v="0"/>
    <x v="1"/>
    <x v="2"/>
    <x v="8"/>
    <n v="5"/>
    <n v="7"/>
    <n v="0"/>
    <m/>
    <x v="1"/>
    <n v="0.66406444810073517"/>
  </r>
  <r>
    <x v="6"/>
    <x v="0"/>
    <x v="1"/>
    <x v="1"/>
    <x v="1"/>
    <x v="0"/>
    <x v="0"/>
    <x v="1"/>
    <x v="1"/>
    <x v="6"/>
    <n v="8"/>
    <n v="8"/>
    <n v="0"/>
    <m/>
    <x v="1"/>
    <n v="0.11380585207079588"/>
  </r>
  <r>
    <x v="22"/>
    <x v="1"/>
    <x v="1"/>
    <x v="0"/>
    <x v="3"/>
    <x v="1"/>
    <x v="1"/>
    <x v="1"/>
    <x v="1"/>
    <x v="0"/>
    <n v="1"/>
    <n v="1"/>
    <n v="1"/>
    <n v="1"/>
    <x v="0"/>
    <n v="5.6300632156829497E-2"/>
  </r>
  <r>
    <x v="14"/>
    <x v="0"/>
    <x v="0"/>
    <x v="1"/>
    <x v="0"/>
    <x v="1"/>
    <x v="0"/>
    <x v="0"/>
    <x v="1"/>
    <x v="7"/>
    <n v="3"/>
    <n v="3"/>
    <n v="0"/>
    <m/>
    <x v="1"/>
    <n v="8.044490172347675E-2"/>
  </r>
  <r>
    <x v="13"/>
    <x v="0"/>
    <x v="1"/>
    <x v="1"/>
    <x v="2"/>
    <x v="1"/>
    <x v="0"/>
    <x v="1"/>
    <x v="1"/>
    <x v="7"/>
    <n v="1"/>
    <n v="1"/>
    <n v="0"/>
    <m/>
    <x v="1"/>
    <n v="2.7313833211787753E-2"/>
  </r>
  <r>
    <x v="22"/>
    <x v="0"/>
    <x v="0"/>
    <x v="0"/>
    <x v="0"/>
    <x v="1"/>
    <x v="1"/>
    <x v="0"/>
    <x v="1"/>
    <x v="7"/>
    <n v="1"/>
    <n v="1"/>
    <n v="0"/>
    <n v="1"/>
    <x v="0"/>
    <n v="2.7788483854578296E-2"/>
  </r>
  <r>
    <x v="10"/>
    <x v="0"/>
    <x v="0"/>
    <x v="1"/>
    <x v="1"/>
    <x v="1"/>
    <x v="0"/>
    <x v="1"/>
    <x v="2"/>
    <x v="8"/>
    <n v="1"/>
    <n v="2"/>
    <n v="0"/>
    <m/>
    <x v="1"/>
    <n v="0.24508014561402286"/>
  </r>
  <r>
    <x v="21"/>
    <x v="0"/>
    <x v="1"/>
    <x v="0"/>
    <x v="0"/>
    <x v="1"/>
    <x v="0"/>
    <x v="0"/>
    <x v="1"/>
    <x v="4"/>
    <n v="3"/>
    <n v="5"/>
    <n v="0"/>
    <m/>
    <x v="1"/>
    <n v="0.20133623171918169"/>
  </r>
  <r>
    <x v="8"/>
    <x v="0"/>
    <x v="0"/>
    <x v="2"/>
    <x v="1"/>
    <x v="1"/>
    <x v="0"/>
    <x v="1"/>
    <x v="0"/>
    <x v="9"/>
    <n v="2"/>
    <n v="2"/>
    <n v="0"/>
    <m/>
    <x v="1"/>
    <n v="0.30416817290379677"/>
  </r>
  <r>
    <x v="15"/>
    <x v="1"/>
    <x v="1"/>
    <x v="0"/>
    <x v="0"/>
    <x v="0"/>
    <x v="0"/>
    <x v="1"/>
    <x v="0"/>
    <x v="0"/>
    <n v="1"/>
    <n v="1"/>
    <n v="0"/>
    <n v="1"/>
    <x v="0"/>
    <n v="4.6715526092825782E-2"/>
  </r>
  <r>
    <x v="2"/>
    <x v="1"/>
    <x v="0"/>
    <x v="2"/>
    <x v="0"/>
    <x v="0"/>
    <x v="1"/>
    <x v="1"/>
    <x v="1"/>
    <x v="7"/>
    <n v="2"/>
    <n v="3"/>
    <n v="0"/>
    <m/>
    <x v="1"/>
    <n v="8.4219225168211037E-2"/>
  </r>
  <r>
    <x v="6"/>
    <x v="1"/>
    <x v="0"/>
    <x v="2"/>
    <x v="1"/>
    <x v="0"/>
    <x v="0"/>
    <x v="0"/>
    <x v="1"/>
    <x v="1"/>
    <n v="1"/>
    <n v="2"/>
    <n v="0"/>
    <m/>
    <x v="1"/>
    <n v="0.16617346502629021"/>
  </r>
  <r>
    <x v="16"/>
    <x v="1"/>
    <x v="0"/>
    <x v="0"/>
    <x v="2"/>
    <x v="1"/>
    <x v="0"/>
    <x v="1"/>
    <x v="0"/>
    <x v="9"/>
    <n v="1"/>
    <n v="1"/>
    <n v="0"/>
    <m/>
    <x v="1"/>
    <n v="0.1692962067399281"/>
  </r>
  <r>
    <x v="21"/>
    <x v="0"/>
    <x v="0"/>
    <x v="0"/>
    <x v="2"/>
    <x v="1"/>
    <x v="0"/>
    <x v="0"/>
    <x v="2"/>
    <x v="9"/>
    <n v="1"/>
    <n v="1"/>
    <n v="0"/>
    <m/>
    <x v="1"/>
    <n v="0.23237226266969685"/>
  </r>
  <r>
    <x v="2"/>
    <x v="0"/>
    <x v="1"/>
    <x v="0"/>
    <x v="0"/>
    <x v="0"/>
    <x v="1"/>
    <x v="0"/>
    <x v="0"/>
    <x v="5"/>
    <n v="1"/>
    <n v="1"/>
    <n v="0"/>
    <m/>
    <x v="1"/>
    <n v="1.5103271786810353E-2"/>
  </r>
  <r>
    <x v="17"/>
    <x v="0"/>
    <x v="1"/>
    <x v="0"/>
    <x v="2"/>
    <x v="0"/>
    <x v="1"/>
    <x v="1"/>
    <x v="0"/>
    <x v="7"/>
    <n v="1"/>
    <n v="1"/>
    <n v="0"/>
    <n v="1"/>
    <x v="0"/>
    <n v="2.2007568458762099E-2"/>
  </r>
  <r>
    <x v="6"/>
    <x v="1"/>
    <x v="0"/>
    <x v="0"/>
    <x v="0"/>
    <x v="1"/>
    <x v="1"/>
    <x v="1"/>
    <x v="1"/>
    <x v="4"/>
    <n v="3"/>
    <n v="3"/>
    <n v="0"/>
    <m/>
    <x v="1"/>
    <n v="0.12427510120731648"/>
  </r>
  <r>
    <x v="21"/>
    <x v="1"/>
    <x v="1"/>
    <x v="0"/>
    <x v="1"/>
    <x v="0"/>
    <x v="0"/>
    <x v="1"/>
    <x v="0"/>
    <x v="1"/>
    <n v="3"/>
    <n v="5"/>
    <n v="0"/>
    <m/>
    <x v="1"/>
    <n v="0.33902873924231464"/>
  </r>
  <r>
    <x v="14"/>
    <x v="0"/>
    <x v="1"/>
    <x v="2"/>
    <x v="0"/>
    <x v="0"/>
    <x v="0"/>
    <x v="1"/>
    <x v="1"/>
    <x v="7"/>
    <n v="4"/>
    <n v="4"/>
    <n v="0"/>
    <m/>
    <x v="1"/>
    <n v="0.10911136800135676"/>
  </r>
  <r>
    <x v="8"/>
    <x v="1"/>
    <x v="0"/>
    <x v="1"/>
    <x v="0"/>
    <x v="1"/>
    <x v="0"/>
    <x v="0"/>
    <x v="1"/>
    <x v="4"/>
    <n v="1"/>
    <n v="1"/>
    <n v="0"/>
    <m/>
    <x v="1"/>
    <n v="3.9993438758136914E-2"/>
  </r>
  <r>
    <x v="7"/>
    <x v="0"/>
    <x v="0"/>
    <x v="2"/>
    <x v="1"/>
    <x v="0"/>
    <x v="0"/>
    <x v="1"/>
    <x v="0"/>
    <x v="1"/>
    <n v="6"/>
    <n v="10"/>
    <n v="0"/>
    <m/>
    <x v="1"/>
    <n v="0.8351745666021394"/>
  </r>
  <r>
    <x v="9"/>
    <x v="1"/>
    <x v="1"/>
    <x v="0"/>
    <x v="2"/>
    <x v="0"/>
    <x v="1"/>
    <x v="1"/>
    <x v="0"/>
    <x v="4"/>
    <n v="2"/>
    <n v="2"/>
    <n v="0"/>
    <n v="2"/>
    <x v="0"/>
    <n v="6.5806557275802507E-2"/>
  </r>
  <r>
    <x v="19"/>
    <x v="0"/>
    <x v="1"/>
    <x v="1"/>
    <x v="0"/>
    <x v="0"/>
    <x v="1"/>
    <x v="0"/>
    <x v="2"/>
    <x v="5"/>
    <n v="1"/>
    <n v="1"/>
    <n v="0"/>
    <m/>
    <x v="1"/>
    <n v="1.5464261787653045E-2"/>
  </r>
  <r>
    <x v="12"/>
    <x v="0"/>
    <x v="0"/>
    <x v="2"/>
    <x v="3"/>
    <x v="1"/>
    <x v="0"/>
    <x v="1"/>
    <x v="1"/>
    <x v="9"/>
    <n v="1"/>
    <n v="1"/>
    <n v="1"/>
    <m/>
    <x v="1"/>
    <n v="0.13642618392543343"/>
  </r>
  <r>
    <x v="12"/>
    <x v="1"/>
    <x v="0"/>
    <x v="0"/>
    <x v="3"/>
    <x v="0"/>
    <x v="1"/>
    <x v="1"/>
    <x v="0"/>
    <x v="3"/>
    <n v="1"/>
    <n v="1"/>
    <n v="0"/>
    <m/>
    <x v="1"/>
    <n v="6.2231171033494175E-2"/>
  </r>
  <r>
    <x v="21"/>
    <x v="1"/>
    <x v="0"/>
    <x v="1"/>
    <x v="0"/>
    <x v="0"/>
    <x v="0"/>
    <x v="1"/>
    <x v="1"/>
    <x v="5"/>
    <n v="4"/>
    <n v="4"/>
    <n v="0"/>
    <m/>
    <x v="1"/>
    <n v="8.2908739469652437E-2"/>
  </r>
  <r>
    <x v="14"/>
    <x v="1"/>
    <x v="0"/>
    <x v="2"/>
    <x v="0"/>
    <x v="0"/>
    <x v="0"/>
    <x v="1"/>
    <x v="1"/>
    <x v="0"/>
    <n v="7"/>
    <n v="10"/>
    <n v="0"/>
    <m/>
    <x v="1"/>
    <n v="0.57536894305784736"/>
  </r>
  <r>
    <x v="0"/>
    <x v="1"/>
    <x v="0"/>
    <x v="1"/>
    <x v="3"/>
    <x v="0"/>
    <x v="0"/>
    <x v="1"/>
    <x v="2"/>
    <x v="9"/>
    <n v="1"/>
    <n v="1"/>
    <n v="1"/>
    <n v="1"/>
    <x v="0"/>
    <n v="0.12561915426424905"/>
  </r>
  <r>
    <x v="11"/>
    <x v="1"/>
    <x v="0"/>
    <x v="0"/>
    <x v="1"/>
    <x v="0"/>
    <x v="0"/>
    <x v="1"/>
    <x v="0"/>
    <x v="8"/>
    <n v="23"/>
    <n v="39"/>
    <n v="0"/>
    <m/>
    <x v="1"/>
    <n v="3.6973884812292201"/>
  </r>
  <r>
    <x v="9"/>
    <x v="0"/>
    <x v="0"/>
    <x v="0"/>
    <x v="0"/>
    <x v="0"/>
    <x v="1"/>
    <x v="0"/>
    <x v="2"/>
    <x v="0"/>
    <n v="1"/>
    <n v="1"/>
    <n v="0"/>
    <n v="1"/>
    <x v="0"/>
    <n v="4.7244914771732829E-2"/>
  </r>
  <r>
    <x v="21"/>
    <x v="1"/>
    <x v="1"/>
    <x v="0"/>
    <x v="3"/>
    <x v="1"/>
    <x v="0"/>
    <x v="1"/>
    <x v="2"/>
    <x v="9"/>
    <n v="1"/>
    <n v="1"/>
    <n v="0"/>
    <m/>
    <x v="1"/>
    <n v="0.30098236555114261"/>
  </r>
  <r>
    <x v="17"/>
    <x v="0"/>
    <x v="1"/>
    <x v="2"/>
    <x v="0"/>
    <x v="0"/>
    <x v="0"/>
    <x v="1"/>
    <x v="2"/>
    <x v="8"/>
    <n v="1"/>
    <n v="1"/>
    <n v="0"/>
    <n v="1"/>
    <x v="0"/>
    <n v="8.7388588178664475E-2"/>
  </r>
  <r>
    <x v="9"/>
    <x v="1"/>
    <x v="0"/>
    <x v="0"/>
    <x v="2"/>
    <x v="1"/>
    <x v="1"/>
    <x v="1"/>
    <x v="1"/>
    <x v="3"/>
    <n v="3"/>
    <n v="4"/>
    <n v="0"/>
    <n v="3"/>
    <x v="0"/>
    <n v="0.23853392875882201"/>
  </r>
  <r>
    <x v="6"/>
    <x v="0"/>
    <x v="0"/>
    <x v="0"/>
    <x v="2"/>
    <x v="0"/>
    <x v="0"/>
    <x v="1"/>
    <x v="1"/>
    <x v="2"/>
    <n v="5"/>
    <n v="5"/>
    <n v="0"/>
    <m/>
    <x v="1"/>
    <n v="0.21549874684536813"/>
  </r>
  <r>
    <x v="4"/>
    <x v="1"/>
    <x v="0"/>
    <x v="0"/>
    <x v="1"/>
    <x v="0"/>
    <x v="0"/>
    <x v="1"/>
    <x v="2"/>
    <x v="9"/>
    <n v="13"/>
    <n v="37"/>
    <n v="0"/>
    <m/>
    <x v="1"/>
    <n v="7.045549862241419"/>
  </r>
  <r>
    <x v="5"/>
    <x v="0"/>
    <x v="0"/>
    <x v="2"/>
    <x v="3"/>
    <x v="1"/>
    <x v="0"/>
    <x v="0"/>
    <x v="0"/>
    <x v="9"/>
    <n v="1"/>
    <n v="1"/>
    <n v="0"/>
    <n v="1"/>
    <x v="0"/>
    <n v="0.19368117151349643"/>
  </r>
  <r>
    <x v="10"/>
    <x v="0"/>
    <x v="0"/>
    <x v="2"/>
    <x v="0"/>
    <x v="0"/>
    <x v="0"/>
    <x v="0"/>
    <x v="2"/>
    <x v="8"/>
    <n v="1"/>
    <n v="1"/>
    <n v="0"/>
    <m/>
    <x v="1"/>
    <n v="0.12117165620362885"/>
  </r>
  <r>
    <x v="17"/>
    <x v="1"/>
    <x v="0"/>
    <x v="0"/>
    <x v="3"/>
    <x v="1"/>
    <x v="1"/>
    <x v="0"/>
    <x v="2"/>
    <x v="9"/>
    <n v="1"/>
    <n v="1"/>
    <n v="1"/>
    <n v="1"/>
    <x v="0"/>
    <n v="0.22680169202414502"/>
  </r>
  <r>
    <x v="20"/>
    <x v="1"/>
    <x v="1"/>
    <x v="2"/>
    <x v="0"/>
    <x v="0"/>
    <x v="0"/>
    <x v="1"/>
    <x v="1"/>
    <x v="4"/>
    <n v="4"/>
    <n v="4"/>
    <n v="0"/>
    <n v="4"/>
    <x v="0"/>
    <n v="0.16269716010612686"/>
  </r>
  <r>
    <x v="17"/>
    <x v="0"/>
    <x v="0"/>
    <x v="1"/>
    <x v="1"/>
    <x v="0"/>
    <x v="0"/>
    <x v="1"/>
    <x v="2"/>
    <x v="1"/>
    <n v="2"/>
    <n v="2"/>
    <n v="0"/>
    <n v="2"/>
    <x v="0"/>
    <n v="0.13250502834860911"/>
  </r>
  <r>
    <x v="11"/>
    <x v="1"/>
    <x v="0"/>
    <x v="2"/>
    <x v="2"/>
    <x v="0"/>
    <x v="0"/>
    <x v="0"/>
    <x v="2"/>
    <x v="9"/>
    <n v="1"/>
    <n v="3"/>
    <n v="0"/>
    <m/>
    <x v="1"/>
    <n v="0.70274171793296836"/>
  </r>
  <r>
    <x v="19"/>
    <x v="0"/>
    <x v="0"/>
    <x v="2"/>
    <x v="1"/>
    <x v="1"/>
    <x v="0"/>
    <x v="1"/>
    <x v="0"/>
    <x v="9"/>
    <n v="2"/>
    <n v="3"/>
    <n v="0"/>
    <m/>
    <x v="1"/>
    <n v="0.45625225935569513"/>
  </r>
  <r>
    <x v="9"/>
    <x v="1"/>
    <x v="1"/>
    <x v="0"/>
    <x v="0"/>
    <x v="0"/>
    <x v="1"/>
    <x v="0"/>
    <x v="0"/>
    <x v="7"/>
    <n v="1"/>
    <n v="1"/>
    <n v="0"/>
    <n v="1"/>
    <x v="0"/>
    <n v="2.2659939205773683E-2"/>
  </r>
  <r>
    <x v="12"/>
    <x v="0"/>
    <x v="0"/>
    <x v="2"/>
    <x v="3"/>
    <x v="1"/>
    <x v="0"/>
    <x v="1"/>
    <x v="0"/>
    <x v="9"/>
    <n v="1"/>
    <n v="1"/>
    <n v="0"/>
    <m/>
    <x v="1"/>
    <n v="0.19368117151349643"/>
  </r>
  <r>
    <x v="0"/>
    <x v="0"/>
    <x v="0"/>
    <x v="0"/>
    <x v="0"/>
    <x v="0"/>
    <x v="1"/>
    <x v="1"/>
    <x v="1"/>
    <x v="6"/>
    <n v="7"/>
    <n v="7"/>
    <n v="0"/>
    <n v="6"/>
    <x v="0"/>
    <n v="0.10019885105982157"/>
  </r>
  <r>
    <x v="11"/>
    <x v="0"/>
    <x v="0"/>
    <x v="0"/>
    <x v="3"/>
    <x v="0"/>
    <x v="1"/>
    <x v="1"/>
    <x v="2"/>
    <x v="8"/>
    <n v="1"/>
    <n v="2"/>
    <n v="0"/>
    <m/>
    <x v="1"/>
    <n v="0.17945147547396764"/>
  </r>
  <r>
    <x v="18"/>
    <x v="0"/>
    <x v="0"/>
    <x v="0"/>
    <x v="0"/>
    <x v="1"/>
    <x v="0"/>
    <x v="1"/>
    <x v="1"/>
    <x v="0"/>
    <n v="2"/>
    <n v="2"/>
    <n v="0"/>
    <m/>
    <x v="1"/>
    <n v="0.11394224284163047"/>
  </r>
  <r>
    <x v="19"/>
    <x v="0"/>
    <x v="0"/>
    <x v="2"/>
    <x v="3"/>
    <x v="0"/>
    <x v="1"/>
    <x v="1"/>
    <x v="0"/>
    <x v="0"/>
    <n v="1"/>
    <n v="1"/>
    <n v="0"/>
    <m/>
    <x v="1"/>
    <n v="5.458810944457012E-2"/>
  </r>
  <r>
    <x v="19"/>
    <x v="0"/>
    <x v="0"/>
    <x v="0"/>
    <x v="0"/>
    <x v="0"/>
    <x v="0"/>
    <x v="1"/>
    <x v="0"/>
    <x v="0"/>
    <n v="5"/>
    <n v="8"/>
    <n v="0"/>
    <m/>
    <x v="1"/>
    <n v="0.35670940492060998"/>
  </r>
  <r>
    <x v="3"/>
    <x v="0"/>
    <x v="1"/>
    <x v="2"/>
    <x v="0"/>
    <x v="0"/>
    <x v="0"/>
    <x v="0"/>
    <x v="1"/>
    <x v="7"/>
    <n v="3"/>
    <n v="3"/>
    <n v="0"/>
    <m/>
    <x v="1"/>
    <n v="8.1833526001017565E-2"/>
  </r>
  <r>
    <x v="13"/>
    <x v="0"/>
    <x v="0"/>
    <x v="1"/>
    <x v="2"/>
    <x v="0"/>
    <x v="1"/>
    <x v="0"/>
    <x v="2"/>
    <x v="4"/>
    <n v="1"/>
    <n v="1"/>
    <n v="1"/>
    <m/>
    <x v="1"/>
    <n v="3.2122009568017543E-2"/>
  </r>
  <r>
    <x v="2"/>
    <x v="0"/>
    <x v="1"/>
    <x v="2"/>
    <x v="1"/>
    <x v="1"/>
    <x v="0"/>
    <x v="1"/>
    <x v="2"/>
    <x v="9"/>
    <n v="1"/>
    <n v="1"/>
    <n v="0"/>
    <m/>
    <x v="1"/>
    <n v="0.21859660432790401"/>
  </r>
  <r>
    <x v="22"/>
    <x v="1"/>
    <x v="0"/>
    <x v="1"/>
    <x v="0"/>
    <x v="1"/>
    <x v="0"/>
    <x v="0"/>
    <x v="1"/>
    <x v="4"/>
    <n v="1"/>
    <n v="1"/>
    <n v="0"/>
    <n v="1"/>
    <x v="0"/>
    <n v="3.9993438758136914E-2"/>
  </r>
  <r>
    <x v="1"/>
    <x v="0"/>
    <x v="0"/>
    <x v="0"/>
    <x v="2"/>
    <x v="0"/>
    <x v="1"/>
    <x v="1"/>
    <x v="1"/>
    <x v="5"/>
    <n v="4"/>
    <n v="5"/>
    <n v="0"/>
    <n v="3"/>
    <x v="0"/>
    <n v="0.1043265471217899"/>
  </r>
  <r>
    <x v="11"/>
    <x v="0"/>
    <x v="0"/>
    <x v="1"/>
    <x v="0"/>
    <x v="1"/>
    <x v="0"/>
    <x v="0"/>
    <x v="1"/>
    <x v="7"/>
    <n v="1"/>
    <n v="1"/>
    <n v="0"/>
    <m/>
    <x v="1"/>
    <n v="2.6814967241158918E-2"/>
  </r>
  <r>
    <x v="19"/>
    <x v="1"/>
    <x v="0"/>
    <x v="0"/>
    <x v="3"/>
    <x v="1"/>
    <x v="1"/>
    <x v="0"/>
    <x v="2"/>
    <x v="9"/>
    <n v="1"/>
    <n v="1"/>
    <n v="0"/>
    <m/>
    <x v="1"/>
    <n v="0.22680169202414502"/>
  </r>
  <r>
    <x v="3"/>
    <x v="1"/>
    <x v="0"/>
    <x v="2"/>
    <x v="2"/>
    <x v="0"/>
    <x v="0"/>
    <x v="0"/>
    <x v="2"/>
    <x v="9"/>
    <n v="1"/>
    <n v="1"/>
    <n v="0"/>
    <m/>
    <x v="1"/>
    <n v="0.23424723931098945"/>
  </r>
  <r>
    <x v="18"/>
    <x v="0"/>
    <x v="0"/>
    <x v="0"/>
    <x v="0"/>
    <x v="0"/>
    <x v="0"/>
    <x v="1"/>
    <x v="1"/>
    <x v="7"/>
    <n v="7"/>
    <n v="10"/>
    <n v="0"/>
    <m/>
    <x v="1"/>
    <n v="0.29779825772793966"/>
  </r>
  <r>
    <x v="18"/>
    <x v="0"/>
    <x v="0"/>
    <x v="0"/>
    <x v="0"/>
    <x v="0"/>
    <x v="1"/>
    <x v="0"/>
    <x v="0"/>
    <x v="7"/>
    <n v="3"/>
    <n v="3"/>
    <n v="0"/>
    <m/>
    <x v="1"/>
    <n v="6.4810394424951609E-2"/>
  </r>
  <r>
    <x v="12"/>
    <x v="1"/>
    <x v="0"/>
    <x v="2"/>
    <x v="0"/>
    <x v="0"/>
    <x v="0"/>
    <x v="0"/>
    <x v="2"/>
    <x v="9"/>
    <n v="3"/>
    <n v="5"/>
    <n v="0"/>
    <m/>
    <x v="1"/>
    <n v="0.86251411436826875"/>
  </r>
  <r>
    <x v="17"/>
    <x v="0"/>
    <x v="0"/>
    <x v="0"/>
    <x v="2"/>
    <x v="1"/>
    <x v="0"/>
    <x v="1"/>
    <x v="2"/>
    <x v="9"/>
    <n v="2"/>
    <n v="2"/>
    <n v="0"/>
    <n v="2"/>
    <x v="0"/>
    <n v="0.4647445253393937"/>
  </r>
  <r>
    <x v="0"/>
    <x v="0"/>
    <x v="1"/>
    <x v="0"/>
    <x v="0"/>
    <x v="1"/>
    <x v="1"/>
    <x v="1"/>
    <x v="1"/>
    <x v="5"/>
    <n v="3"/>
    <n v="3"/>
    <n v="0"/>
    <n v="1"/>
    <x v="0"/>
    <n v="5.839297264578111E-2"/>
  </r>
  <r>
    <x v="19"/>
    <x v="1"/>
    <x v="0"/>
    <x v="2"/>
    <x v="0"/>
    <x v="0"/>
    <x v="1"/>
    <x v="1"/>
    <x v="1"/>
    <x v="7"/>
    <n v="1"/>
    <n v="3"/>
    <n v="0"/>
    <m/>
    <x v="1"/>
    <n v="8.4219225168211037E-2"/>
  </r>
  <r>
    <x v="13"/>
    <x v="0"/>
    <x v="0"/>
    <x v="0"/>
    <x v="1"/>
    <x v="0"/>
    <x v="0"/>
    <x v="1"/>
    <x v="2"/>
    <x v="9"/>
    <n v="2"/>
    <n v="4"/>
    <n v="0"/>
    <m/>
    <x v="1"/>
    <n v="0.53849943407406664"/>
  </r>
  <r>
    <x v="1"/>
    <x v="0"/>
    <x v="1"/>
    <x v="0"/>
    <x v="0"/>
    <x v="1"/>
    <x v="0"/>
    <x v="1"/>
    <x v="0"/>
    <x v="3"/>
    <n v="1"/>
    <n v="1"/>
    <n v="0"/>
    <n v="1"/>
    <x v="0"/>
    <n v="5.9968911810879433E-2"/>
  </r>
  <r>
    <x v="5"/>
    <x v="1"/>
    <x v="0"/>
    <x v="0"/>
    <x v="0"/>
    <x v="0"/>
    <x v="1"/>
    <x v="1"/>
    <x v="2"/>
    <x v="1"/>
    <n v="2"/>
    <n v="4"/>
    <n v="0"/>
    <n v="2"/>
    <x v="0"/>
    <n v="0.27897726641771564"/>
  </r>
  <r>
    <x v="22"/>
    <x v="0"/>
    <x v="1"/>
    <x v="0"/>
    <x v="3"/>
    <x v="1"/>
    <x v="0"/>
    <x v="0"/>
    <x v="0"/>
    <x v="8"/>
    <n v="1"/>
    <n v="2"/>
    <n v="0"/>
    <n v="1"/>
    <x v="0"/>
    <n v="0.22507853204367734"/>
  </r>
  <r>
    <x v="5"/>
    <x v="0"/>
    <x v="0"/>
    <x v="1"/>
    <x v="0"/>
    <x v="0"/>
    <x v="0"/>
    <x v="1"/>
    <x v="1"/>
    <x v="6"/>
    <n v="6"/>
    <n v="6"/>
    <n v="0"/>
    <n v="6"/>
    <x v="0"/>
    <n v="8.2835701399997935E-2"/>
  </r>
  <r>
    <x v="16"/>
    <x v="0"/>
    <x v="0"/>
    <x v="0"/>
    <x v="3"/>
    <x v="0"/>
    <x v="1"/>
    <x v="1"/>
    <x v="0"/>
    <x v="2"/>
    <n v="2"/>
    <n v="3"/>
    <n v="0"/>
    <m/>
    <x v="1"/>
    <n v="0.1261378478108052"/>
  </r>
  <r>
    <x v="2"/>
    <x v="0"/>
    <x v="0"/>
    <x v="1"/>
    <x v="2"/>
    <x v="0"/>
    <x v="0"/>
    <x v="1"/>
    <x v="0"/>
    <x v="7"/>
    <n v="2"/>
    <n v="2"/>
    <n v="0"/>
    <m/>
    <x v="1"/>
    <n v="6.0577982938860263E-2"/>
  </r>
  <r>
    <x v="12"/>
    <x v="0"/>
    <x v="1"/>
    <x v="1"/>
    <x v="3"/>
    <x v="1"/>
    <x v="0"/>
    <x v="1"/>
    <x v="1"/>
    <x v="4"/>
    <n v="1"/>
    <n v="1"/>
    <n v="0"/>
    <m/>
    <x v="1"/>
    <n v="3.6644699143444329E-2"/>
  </r>
  <r>
    <x v="7"/>
    <x v="1"/>
    <x v="0"/>
    <x v="0"/>
    <x v="1"/>
    <x v="1"/>
    <x v="0"/>
    <x v="1"/>
    <x v="1"/>
    <x v="8"/>
    <n v="13"/>
    <n v="24"/>
    <n v="0"/>
    <m/>
    <x v="1"/>
    <n v="2.8653570854882937"/>
  </r>
  <r>
    <x v="6"/>
    <x v="1"/>
    <x v="1"/>
    <x v="2"/>
    <x v="0"/>
    <x v="0"/>
    <x v="0"/>
    <x v="0"/>
    <x v="1"/>
    <x v="4"/>
    <n v="2"/>
    <n v="2"/>
    <n v="0"/>
    <m/>
    <x v="1"/>
    <n v="8.1348580053063432E-2"/>
  </r>
  <r>
    <x v="5"/>
    <x v="0"/>
    <x v="0"/>
    <x v="0"/>
    <x v="2"/>
    <x v="1"/>
    <x v="0"/>
    <x v="1"/>
    <x v="2"/>
    <x v="9"/>
    <n v="1"/>
    <n v="1"/>
    <n v="0"/>
    <n v="1"/>
    <x v="0"/>
    <n v="0.23237226266969685"/>
  </r>
  <r>
    <x v="20"/>
    <x v="1"/>
    <x v="1"/>
    <x v="0"/>
    <x v="0"/>
    <x v="1"/>
    <x v="0"/>
    <x v="0"/>
    <x v="2"/>
    <x v="9"/>
    <n v="1"/>
    <n v="1"/>
    <n v="0"/>
    <m/>
    <x v="0"/>
    <n v="0.17804506696932551"/>
  </r>
  <r>
    <x v="10"/>
    <x v="0"/>
    <x v="0"/>
    <x v="0"/>
    <x v="0"/>
    <x v="1"/>
    <x v="1"/>
    <x v="0"/>
    <x v="2"/>
    <x v="8"/>
    <n v="1"/>
    <n v="1"/>
    <n v="0"/>
    <m/>
    <x v="1"/>
    <n v="8.8921637380936031E-2"/>
  </r>
  <r>
    <x v="20"/>
    <x v="1"/>
    <x v="0"/>
    <x v="2"/>
    <x v="2"/>
    <x v="0"/>
    <x v="0"/>
    <x v="1"/>
    <x v="0"/>
    <x v="8"/>
    <n v="3"/>
    <n v="4"/>
    <n v="0"/>
    <n v="3"/>
    <x v="0"/>
    <n v="0.47953533009629623"/>
  </r>
  <r>
    <x v="12"/>
    <x v="0"/>
    <x v="1"/>
    <x v="1"/>
    <x v="0"/>
    <x v="0"/>
    <x v="0"/>
    <x v="1"/>
    <x v="0"/>
    <x v="5"/>
    <n v="2"/>
    <n v="2"/>
    <n v="0"/>
    <m/>
    <x v="1"/>
    <n v="2.9134997104772652E-2"/>
  </r>
  <r>
    <x v="17"/>
    <x v="0"/>
    <x v="0"/>
    <x v="1"/>
    <x v="2"/>
    <x v="1"/>
    <x v="1"/>
    <x v="1"/>
    <x v="1"/>
    <x v="5"/>
    <n v="1"/>
    <n v="1"/>
    <n v="0"/>
    <n v="1"/>
    <x v="0"/>
    <n v="1.8770803012868077E-2"/>
  </r>
  <r>
    <x v="13"/>
    <x v="1"/>
    <x v="0"/>
    <x v="0"/>
    <x v="0"/>
    <x v="0"/>
    <x v="1"/>
    <x v="1"/>
    <x v="1"/>
    <x v="7"/>
    <n v="3"/>
    <n v="3"/>
    <n v="0"/>
    <m/>
    <x v="1"/>
    <n v="6.4453692011406077E-2"/>
  </r>
  <r>
    <x v="16"/>
    <x v="0"/>
    <x v="1"/>
    <x v="1"/>
    <x v="0"/>
    <x v="0"/>
    <x v="1"/>
    <x v="0"/>
    <x v="0"/>
    <x v="6"/>
    <n v="1"/>
    <n v="1"/>
    <n v="0"/>
    <m/>
    <x v="1"/>
    <n v="6.9455315248842728E-3"/>
  </r>
  <r>
    <x v="17"/>
    <x v="0"/>
    <x v="1"/>
    <x v="0"/>
    <x v="3"/>
    <x v="0"/>
    <x v="0"/>
    <x v="1"/>
    <x v="0"/>
    <x v="3"/>
    <n v="1"/>
    <n v="1"/>
    <n v="0"/>
    <n v="1"/>
    <x v="0"/>
    <n v="6.0528592439100186E-2"/>
  </r>
  <r>
    <x v="21"/>
    <x v="0"/>
    <x v="1"/>
    <x v="1"/>
    <x v="3"/>
    <x v="1"/>
    <x v="0"/>
    <x v="0"/>
    <x v="2"/>
    <x v="8"/>
    <n v="1"/>
    <n v="1"/>
    <n v="0"/>
    <m/>
    <x v="1"/>
    <n v="0.11495729196366554"/>
  </r>
  <r>
    <x v="2"/>
    <x v="1"/>
    <x v="0"/>
    <x v="0"/>
    <x v="2"/>
    <x v="0"/>
    <x v="0"/>
    <x v="0"/>
    <x v="2"/>
    <x v="9"/>
    <n v="8"/>
    <n v="9"/>
    <n v="0"/>
    <m/>
    <x v="1"/>
    <n v="1.6979763459146728"/>
  </r>
  <r>
    <x v="14"/>
    <x v="0"/>
    <x v="0"/>
    <x v="0"/>
    <x v="0"/>
    <x v="0"/>
    <x v="1"/>
    <x v="0"/>
    <x v="2"/>
    <x v="0"/>
    <n v="1"/>
    <n v="1"/>
    <n v="0"/>
    <m/>
    <x v="1"/>
    <n v="4.7244914771732829E-2"/>
  </r>
  <r>
    <x v="7"/>
    <x v="1"/>
    <x v="0"/>
    <x v="0"/>
    <x v="3"/>
    <x v="0"/>
    <x v="0"/>
    <x v="1"/>
    <x v="2"/>
    <x v="9"/>
    <n v="2"/>
    <n v="3"/>
    <n v="0"/>
    <m/>
    <x v="1"/>
    <n v="0.71862186968754671"/>
  </r>
  <r>
    <x v="6"/>
    <x v="0"/>
    <x v="0"/>
    <x v="0"/>
    <x v="0"/>
    <x v="0"/>
    <x v="1"/>
    <x v="0"/>
    <x v="0"/>
    <x v="7"/>
    <n v="1"/>
    <n v="1"/>
    <n v="0"/>
    <m/>
    <x v="1"/>
    <n v="2.1603464808317204E-2"/>
  </r>
  <r>
    <x v="22"/>
    <x v="1"/>
    <x v="1"/>
    <x v="2"/>
    <x v="0"/>
    <x v="0"/>
    <x v="0"/>
    <x v="0"/>
    <x v="0"/>
    <x v="3"/>
    <n v="2"/>
    <n v="2"/>
    <n v="0"/>
    <n v="2"/>
    <x v="0"/>
    <n v="0.12112508691129635"/>
  </r>
  <r>
    <x v="15"/>
    <x v="0"/>
    <x v="0"/>
    <x v="1"/>
    <x v="0"/>
    <x v="1"/>
    <x v="0"/>
    <x v="0"/>
    <x v="1"/>
    <x v="7"/>
    <n v="3"/>
    <n v="3"/>
    <n v="0"/>
    <n v="3"/>
    <x v="0"/>
    <n v="8.044490172347675E-2"/>
  </r>
  <r>
    <x v="9"/>
    <x v="1"/>
    <x v="0"/>
    <x v="0"/>
    <x v="0"/>
    <x v="1"/>
    <x v="0"/>
    <x v="0"/>
    <x v="1"/>
    <x v="1"/>
    <n v="8"/>
    <n v="10"/>
    <n v="1"/>
    <n v="7"/>
    <x v="0"/>
    <n v="0.83695532436182296"/>
  </r>
  <r>
    <x v="0"/>
    <x v="0"/>
    <x v="0"/>
    <x v="1"/>
    <x v="2"/>
    <x v="1"/>
    <x v="1"/>
    <x v="1"/>
    <x v="1"/>
    <x v="5"/>
    <n v="1"/>
    <n v="1"/>
    <n v="0"/>
    <n v="1"/>
    <x v="0"/>
    <n v="1.8770803012868077E-2"/>
  </r>
  <r>
    <x v="17"/>
    <x v="1"/>
    <x v="0"/>
    <x v="1"/>
    <x v="1"/>
    <x v="1"/>
    <x v="0"/>
    <x v="1"/>
    <x v="1"/>
    <x v="0"/>
    <n v="2"/>
    <n v="2"/>
    <n v="0"/>
    <n v="2"/>
    <x v="0"/>
    <n v="0.11646858008740466"/>
  </r>
  <r>
    <x v="4"/>
    <x v="1"/>
    <x v="0"/>
    <x v="0"/>
    <x v="1"/>
    <x v="1"/>
    <x v="0"/>
    <x v="1"/>
    <x v="0"/>
    <x v="9"/>
    <n v="3"/>
    <n v="4"/>
    <n v="0"/>
    <m/>
    <x v="1"/>
    <n v="0.68364049219704504"/>
  </r>
  <r>
    <x v="1"/>
    <x v="0"/>
    <x v="0"/>
    <x v="0"/>
    <x v="3"/>
    <x v="1"/>
    <x v="1"/>
    <x v="1"/>
    <x v="2"/>
    <x v="9"/>
    <n v="2"/>
    <n v="2"/>
    <n v="0"/>
    <n v="2"/>
    <x v="0"/>
    <n v="0.32497126456482978"/>
  </r>
  <r>
    <x v="5"/>
    <x v="1"/>
    <x v="1"/>
    <x v="1"/>
    <x v="3"/>
    <x v="1"/>
    <x v="0"/>
    <x v="1"/>
    <x v="1"/>
    <x v="0"/>
    <n v="1"/>
    <n v="1"/>
    <n v="0"/>
    <n v="1"/>
    <x v="0"/>
    <n v="5.4384122017597021E-2"/>
  </r>
  <r>
    <x v="20"/>
    <x v="0"/>
    <x v="0"/>
    <x v="0"/>
    <x v="0"/>
    <x v="0"/>
    <x v="1"/>
    <x v="0"/>
    <x v="2"/>
    <x v="0"/>
    <n v="1"/>
    <n v="1"/>
    <n v="0"/>
    <n v="1"/>
    <x v="0"/>
    <n v="4.7244914771732829E-2"/>
  </r>
  <r>
    <x v="12"/>
    <x v="0"/>
    <x v="1"/>
    <x v="1"/>
    <x v="0"/>
    <x v="0"/>
    <x v="0"/>
    <x v="0"/>
    <x v="1"/>
    <x v="6"/>
    <n v="3"/>
    <n v="3"/>
    <n v="0"/>
    <m/>
    <x v="1"/>
    <n v="2.8886505489678724E-2"/>
  </r>
  <r>
    <x v="16"/>
    <x v="0"/>
    <x v="1"/>
    <x v="0"/>
    <x v="1"/>
    <x v="1"/>
    <x v="0"/>
    <x v="1"/>
    <x v="0"/>
    <x v="8"/>
    <n v="1"/>
    <n v="2"/>
    <n v="0"/>
    <m/>
    <x v="1"/>
    <n v="0.17299918527904329"/>
  </r>
  <r>
    <x v="5"/>
    <x v="0"/>
    <x v="0"/>
    <x v="0"/>
    <x v="3"/>
    <x v="1"/>
    <x v="0"/>
    <x v="1"/>
    <x v="1"/>
    <x v="8"/>
    <n v="2"/>
    <n v="2"/>
    <n v="0"/>
    <n v="2"/>
    <x v="0"/>
    <n v="0.21442651361065859"/>
  </r>
  <r>
    <x v="13"/>
    <x v="1"/>
    <x v="0"/>
    <x v="0"/>
    <x v="1"/>
    <x v="0"/>
    <x v="0"/>
    <x v="1"/>
    <x v="2"/>
    <x v="9"/>
    <n v="3"/>
    <n v="4"/>
    <n v="0"/>
    <m/>
    <x v="1"/>
    <n v="0.76168106618826148"/>
  </r>
  <r>
    <x v="5"/>
    <x v="1"/>
    <x v="0"/>
    <x v="0"/>
    <x v="0"/>
    <x v="0"/>
    <x v="0"/>
    <x v="1"/>
    <x v="0"/>
    <x v="1"/>
    <n v="7"/>
    <n v="8"/>
    <n v="0"/>
    <n v="7"/>
    <x v="0"/>
    <n v="0.52728487225282772"/>
  </r>
  <r>
    <x v="8"/>
    <x v="1"/>
    <x v="0"/>
    <x v="2"/>
    <x v="1"/>
    <x v="1"/>
    <x v="0"/>
    <x v="1"/>
    <x v="0"/>
    <x v="9"/>
    <n v="2"/>
    <n v="3"/>
    <n v="0"/>
    <m/>
    <x v="1"/>
    <n v="0.63999503015723158"/>
  </r>
  <r>
    <x v="16"/>
    <x v="0"/>
    <x v="0"/>
    <x v="2"/>
    <x v="2"/>
    <x v="1"/>
    <x v="0"/>
    <x v="1"/>
    <x v="1"/>
    <x v="8"/>
    <n v="3"/>
    <n v="5"/>
    <n v="0"/>
    <m/>
    <x v="1"/>
    <n v="0.52221220552373881"/>
  </r>
  <r>
    <x v="19"/>
    <x v="1"/>
    <x v="1"/>
    <x v="0"/>
    <x v="0"/>
    <x v="0"/>
    <x v="0"/>
    <x v="0"/>
    <x v="2"/>
    <x v="8"/>
    <n v="2"/>
    <n v="5"/>
    <n v="0"/>
    <m/>
    <x v="1"/>
    <n v="0.49571275461556014"/>
  </r>
  <r>
    <x v="1"/>
    <x v="1"/>
    <x v="0"/>
    <x v="0"/>
    <x v="3"/>
    <x v="1"/>
    <x v="0"/>
    <x v="0"/>
    <x v="2"/>
    <x v="9"/>
    <n v="1"/>
    <n v="1"/>
    <n v="0"/>
    <n v="1"/>
    <x v="0"/>
    <n v="0.38271027807477309"/>
  </r>
  <r>
    <x v="11"/>
    <x v="0"/>
    <x v="1"/>
    <x v="0"/>
    <x v="0"/>
    <x v="0"/>
    <x v="0"/>
    <x v="0"/>
    <x v="0"/>
    <x v="4"/>
    <n v="3"/>
    <n v="3"/>
    <n v="0"/>
    <m/>
    <x v="1"/>
    <n v="9.4183371371262647E-2"/>
  </r>
  <r>
    <x v="19"/>
    <x v="0"/>
    <x v="0"/>
    <x v="2"/>
    <x v="2"/>
    <x v="1"/>
    <x v="0"/>
    <x v="0"/>
    <x v="2"/>
    <x v="9"/>
    <n v="1"/>
    <n v="1"/>
    <n v="0"/>
    <m/>
    <x v="1"/>
    <n v="0.28480875100254455"/>
  </r>
  <r>
    <x v="14"/>
    <x v="1"/>
    <x v="0"/>
    <x v="2"/>
    <x v="2"/>
    <x v="0"/>
    <x v="0"/>
    <x v="1"/>
    <x v="0"/>
    <x v="8"/>
    <n v="2"/>
    <n v="3"/>
    <n v="0"/>
    <m/>
    <x v="1"/>
    <n v="0.35965149757222215"/>
  </r>
  <r>
    <x v="15"/>
    <x v="0"/>
    <x v="0"/>
    <x v="0"/>
    <x v="2"/>
    <x v="1"/>
    <x v="1"/>
    <x v="0"/>
    <x v="0"/>
    <x v="3"/>
    <n v="1"/>
    <n v="1"/>
    <n v="0"/>
    <n v="1"/>
    <x v="0"/>
    <n v="5.995057339817321E-2"/>
  </r>
  <r>
    <x v="16"/>
    <x v="0"/>
    <x v="1"/>
    <x v="0"/>
    <x v="0"/>
    <x v="1"/>
    <x v="1"/>
    <x v="0"/>
    <x v="1"/>
    <x v="5"/>
    <n v="2"/>
    <n v="2"/>
    <n v="0"/>
    <m/>
    <x v="1"/>
    <n v="3.892864843052074E-2"/>
  </r>
  <r>
    <x v="9"/>
    <x v="0"/>
    <x v="0"/>
    <x v="2"/>
    <x v="1"/>
    <x v="0"/>
    <x v="0"/>
    <x v="1"/>
    <x v="2"/>
    <x v="9"/>
    <n v="4"/>
    <n v="5"/>
    <n v="0"/>
    <n v="4"/>
    <x v="0"/>
    <n v="0.84942756679123099"/>
  </r>
  <r>
    <x v="7"/>
    <x v="0"/>
    <x v="0"/>
    <x v="0"/>
    <x v="0"/>
    <x v="0"/>
    <x v="1"/>
    <x v="0"/>
    <x v="0"/>
    <x v="7"/>
    <n v="1"/>
    <n v="1"/>
    <n v="0"/>
    <m/>
    <x v="1"/>
    <n v="2.1603464808317204E-2"/>
  </r>
  <r>
    <x v="2"/>
    <x v="1"/>
    <x v="0"/>
    <x v="0"/>
    <x v="1"/>
    <x v="1"/>
    <x v="0"/>
    <x v="1"/>
    <x v="0"/>
    <x v="9"/>
    <n v="6"/>
    <n v="8"/>
    <n v="0"/>
    <m/>
    <x v="1"/>
    <n v="1.3672809843940898"/>
  </r>
  <r>
    <x v="0"/>
    <x v="0"/>
    <x v="0"/>
    <x v="0"/>
    <x v="0"/>
    <x v="1"/>
    <x v="0"/>
    <x v="0"/>
    <x v="0"/>
    <x v="1"/>
    <n v="2"/>
    <n v="2"/>
    <n v="0"/>
    <n v="2"/>
    <x v="0"/>
    <n v="0.16825824609222664"/>
  </r>
  <r>
    <x v="1"/>
    <x v="0"/>
    <x v="1"/>
    <x v="0"/>
    <x v="3"/>
    <x v="0"/>
    <x v="1"/>
    <x v="1"/>
    <x v="0"/>
    <x v="7"/>
    <n v="1"/>
    <n v="1"/>
    <n v="0"/>
    <n v="1"/>
    <x v="0"/>
    <n v="2.9580852115696006E-2"/>
  </r>
  <r>
    <x v="10"/>
    <x v="1"/>
    <x v="0"/>
    <x v="0"/>
    <x v="3"/>
    <x v="1"/>
    <x v="0"/>
    <x v="0"/>
    <x v="1"/>
    <x v="9"/>
    <n v="2"/>
    <n v="3"/>
    <n v="0"/>
    <m/>
    <x v="1"/>
    <n v="0.46099571299622388"/>
  </r>
  <r>
    <x v="17"/>
    <x v="0"/>
    <x v="1"/>
    <x v="1"/>
    <x v="2"/>
    <x v="0"/>
    <x v="0"/>
    <x v="1"/>
    <x v="1"/>
    <x v="6"/>
    <n v="2"/>
    <n v="2"/>
    <n v="0"/>
    <n v="1"/>
    <x v="0"/>
    <n v="2.8132588843325503E-2"/>
  </r>
  <r>
    <x v="12"/>
    <x v="1"/>
    <x v="0"/>
    <x v="0"/>
    <x v="2"/>
    <x v="0"/>
    <x v="0"/>
    <x v="1"/>
    <x v="1"/>
    <x v="3"/>
    <n v="2"/>
    <n v="3"/>
    <n v="0"/>
    <m/>
    <x v="1"/>
    <n v="0.19127161148809305"/>
  </r>
  <r>
    <x v="19"/>
    <x v="0"/>
    <x v="0"/>
    <x v="2"/>
    <x v="1"/>
    <x v="0"/>
    <x v="0"/>
    <x v="1"/>
    <x v="2"/>
    <x v="9"/>
    <n v="6"/>
    <n v="14"/>
    <n v="0"/>
    <m/>
    <x v="1"/>
    <n v="2.3783971870154463"/>
  </r>
  <r>
    <x v="8"/>
    <x v="0"/>
    <x v="0"/>
    <x v="1"/>
    <x v="0"/>
    <x v="0"/>
    <x v="0"/>
    <x v="0"/>
    <x v="0"/>
    <x v="5"/>
    <n v="1"/>
    <n v="2"/>
    <n v="0"/>
    <m/>
    <x v="1"/>
    <n v="4.168396685840825E-2"/>
  </r>
  <r>
    <x v="22"/>
    <x v="0"/>
    <x v="1"/>
    <x v="0"/>
    <x v="0"/>
    <x v="0"/>
    <x v="1"/>
    <x v="1"/>
    <x v="1"/>
    <x v="6"/>
    <n v="1"/>
    <n v="1"/>
    <n v="0"/>
    <n v="1"/>
    <x v="0"/>
    <n v="9.9848113487339026E-3"/>
  </r>
  <r>
    <x v="6"/>
    <x v="0"/>
    <x v="1"/>
    <x v="0"/>
    <x v="0"/>
    <x v="1"/>
    <x v="1"/>
    <x v="1"/>
    <x v="2"/>
    <x v="3"/>
    <n v="1"/>
    <n v="1"/>
    <n v="0"/>
    <m/>
    <x v="1"/>
    <n v="6.3480505955005068E-2"/>
  </r>
  <r>
    <x v="1"/>
    <x v="0"/>
    <x v="0"/>
    <x v="2"/>
    <x v="2"/>
    <x v="0"/>
    <x v="0"/>
    <x v="0"/>
    <x v="1"/>
    <x v="0"/>
    <n v="1"/>
    <n v="1"/>
    <n v="0"/>
    <n v="1"/>
    <x v="0"/>
    <n v="5.5937898870790044E-2"/>
  </r>
  <r>
    <x v="8"/>
    <x v="1"/>
    <x v="0"/>
    <x v="2"/>
    <x v="2"/>
    <x v="0"/>
    <x v="0"/>
    <x v="1"/>
    <x v="2"/>
    <x v="9"/>
    <n v="2"/>
    <n v="6"/>
    <n v="0"/>
    <m/>
    <x v="1"/>
    <n v="1.4054834358659369"/>
  </r>
  <r>
    <x v="21"/>
    <x v="0"/>
    <x v="0"/>
    <x v="0"/>
    <x v="2"/>
    <x v="1"/>
    <x v="0"/>
    <x v="1"/>
    <x v="0"/>
    <x v="8"/>
    <n v="1"/>
    <n v="3"/>
    <n v="0"/>
    <m/>
    <x v="1"/>
    <n v="0.35634676875446636"/>
  </r>
  <r>
    <x v="9"/>
    <x v="0"/>
    <x v="0"/>
    <x v="0"/>
    <x v="2"/>
    <x v="0"/>
    <x v="0"/>
    <x v="0"/>
    <x v="2"/>
    <x v="9"/>
    <n v="8"/>
    <n v="8"/>
    <n v="0"/>
    <n v="8"/>
    <x v="0"/>
    <n v="1.0663879778056222"/>
  </r>
  <r>
    <x v="10"/>
    <x v="1"/>
    <x v="0"/>
    <x v="0"/>
    <x v="1"/>
    <x v="1"/>
    <x v="0"/>
    <x v="1"/>
    <x v="0"/>
    <x v="9"/>
    <n v="4"/>
    <n v="6"/>
    <n v="0"/>
    <m/>
    <x v="1"/>
    <n v="1.0254607382955674"/>
  </r>
  <r>
    <x v="13"/>
    <x v="1"/>
    <x v="1"/>
    <x v="0"/>
    <x v="2"/>
    <x v="0"/>
    <x v="1"/>
    <x v="1"/>
    <x v="2"/>
    <x v="1"/>
    <n v="1"/>
    <n v="1"/>
    <n v="0"/>
    <m/>
    <x v="1"/>
    <n v="7.0983587013537311E-2"/>
  </r>
  <r>
    <x v="7"/>
    <x v="1"/>
    <x v="0"/>
    <x v="1"/>
    <x v="0"/>
    <x v="0"/>
    <x v="1"/>
    <x v="0"/>
    <x v="2"/>
    <x v="4"/>
    <n v="1"/>
    <n v="1"/>
    <n v="0"/>
    <m/>
    <x v="1"/>
    <n v="3.306406644322489E-2"/>
  </r>
  <r>
    <x v="14"/>
    <x v="1"/>
    <x v="1"/>
    <x v="0"/>
    <x v="0"/>
    <x v="0"/>
    <x v="1"/>
    <x v="1"/>
    <x v="2"/>
    <x v="0"/>
    <n v="1"/>
    <n v="1"/>
    <n v="0"/>
    <m/>
    <x v="1"/>
    <n v="4.9491902792675999E-2"/>
  </r>
  <r>
    <x v="20"/>
    <x v="1"/>
    <x v="1"/>
    <x v="1"/>
    <x v="0"/>
    <x v="1"/>
    <x v="1"/>
    <x v="1"/>
    <x v="1"/>
    <x v="6"/>
    <n v="2"/>
    <n v="2"/>
    <n v="0"/>
    <n v="2"/>
    <x v="0"/>
    <n v="2.700760739449418E-2"/>
  </r>
  <r>
    <x v="11"/>
    <x v="0"/>
    <x v="0"/>
    <x v="2"/>
    <x v="0"/>
    <x v="0"/>
    <x v="0"/>
    <x v="0"/>
    <x v="1"/>
    <x v="4"/>
    <n v="8"/>
    <n v="11"/>
    <n v="0"/>
    <m/>
    <x v="1"/>
    <n v="0.42692413745629992"/>
  </r>
  <r>
    <x v="7"/>
    <x v="0"/>
    <x v="1"/>
    <x v="1"/>
    <x v="2"/>
    <x v="1"/>
    <x v="1"/>
    <x v="1"/>
    <x v="1"/>
    <x v="6"/>
    <n v="1"/>
    <n v="1"/>
    <n v="0"/>
    <m/>
    <x v="1"/>
    <n v="1.3111498149720941E-2"/>
  </r>
  <r>
    <x v="20"/>
    <x v="1"/>
    <x v="0"/>
    <x v="2"/>
    <x v="2"/>
    <x v="1"/>
    <x v="0"/>
    <x v="0"/>
    <x v="2"/>
    <x v="9"/>
    <n v="1"/>
    <n v="1"/>
    <n v="0"/>
    <n v="1"/>
    <x v="0"/>
    <n v="0.37581664832801498"/>
  </r>
  <r>
    <x v="3"/>
    <x v="1"/>
    <x v="1"/>
    <x v="0"/>
    <x v="0"/>
    <x v="1"/>
    <x v="0"/>
    <x v="1"/>
    <x v="0"/>
    <x v="8"/>
    <n v="1"/>
    <n v="1"/>
    <n v="0"/>
    <m/>
    <x v="1"/>
    <n v="8.7968370705737417E-2"/>
  </r>
  <r>
    <x v="4"/>
    <x v="1"/>
    <x v="1"/>
    <x v="0"/>
    <x v="1"/>
    <x v="0"/>
    <x v="0"/>
    <x v="1"/>
    <x v="2"/>
    <x v="9"/>
    <n v="4"/>
    <n v="10"/>
    <n v="0"/>
    <m/>
    <x v="1"/>
    <n v="1.4041519572004719"/>
  </r>
  <r>
    <x v="20"/>
    <x v="0"/>
    <x v="1"/>
    <x v="0"/>
    <x v="2"/>
    <x v="1"/>
    <x v="0"/>
    <x v="1"/>
    <x v="0"/>
    <x v="8"/>
    <n v="2"/>
    <n v="2"/>
    <n v="0"/>
    <n v="2"/>
    <x v="0"/>
    <n v="0.17120094765474353"/>
  </r>
  <r>
    <x v="17"/>
    <x v="0"/>
    <x v="1"/>
    <x v="0"/>
    <x v="2"/>
    <x v="1"/>
    <x v="0"/>
    <x v="1"/>
    <x v="0"/>
    <x v="8"/>
    <n v="1"/>
    <n v="1"/>
    <n v="0"/>
    <n v="1"/>
    <x v="0"/>
    <n v="8.5600473827371765E-2"/>
  </r>
  <r>
    <x v="11"/>
    <x v="0"/>
    <x v="0"/>
    <x v="2"/>
    <x v="2"/>
    <x v="0"/>
    <x v="0"/>
    <x v="1"/>
    <x v="2"/>
    <x v="9"/>
    <n v="4"/>
    <n v="6"/>
    <n v="0"/>
    <m/>
    <x v="1"/>
    <n v="1.0096758521657443"/>
  </r>
  <r>
    <x v="21"/>
    <x v="0"/>
    <x v="1"/>
    <x v="0"/>
    <x v="2"/>
    <x v="0"/>
    <x v="0"/>
    <x v="0"/>
    <x v="0"/>
    <x v="0"/>
    <n v="1"/>
    <n v="1"/>
    <n v="0"/>
    <m/>
    <x v="1"/>
    <n v="4.540277721734616E-2"/>
  </r>
  <r>
    <x v="20"/>
    <x v="1"/>
    <x v="0"/>
    <x v="0"/>
    <x v="2"/>
    <x v="0"/>
    <x v="1"/>
    <x v="0"/>
    <x v="2"/>
    <x v="8"/>
    <n v="1"/>
    <n v="1"/>
    <n v="0"/>
    <n v="1"/>
    <x v="0"/>
    <n v="9.9113496312796978E-2"/>
  </r>
  <r>
    <x v="1"/>
    <x v="0"/>
    <x v="1"/>
    <x v="0"/>
    <x v="1"/>
    <x v="0"/>
    <x v="0"/>
    <x v="1"/>
    <x v="2"/>
    <x v="8"/>
    <n v="9"/>
    <n v="11"/>
    <n v="1"/>
    <n v="9"/>
    <x v="0"/>
    <n v="1.072578629038011"/>
  </r>
  <r>
    <x v="12"/>
    <x v="1"/>
    <x v="0"/>
    <x v="1"/>
    <x v="0"/>
    <x v="0"/>
    <x v="1"/>
    <x v="0"/>
    <x v="0"/>
    <x v="5"/>
    <n v="1"/>
    <n v="1"/>
    <n v="0"/>
    <m/>
    <x v="1"/>
    <n v="1.4997899225310888E-2"/>
  </r>
  <r>
    <x v="16"/>
    <x v="1"/>
    <x v="1"/>
    <x v="0"/>
    <x v="0"/>
    <x v="0"/>
    <x v="0"/>
    <x v="0"/>
    <x v="0"/>
    <x v="0"/>
    <n v="2"/>
    <n v="2"/>
    <n v="0"/>
    <m/>
    <x v="1"/>
    <n v="9.3431052185651564E-2"/>
  </r>
  <r>
    <x v="14"/>
    <x v="1"/>
    <x v="1"/>
    <x v="1"/>
    <x v="3"/>
    <x v="1"/>
    <x v="0"/>
    <x v="1"/>
    <x v="1"/>
    <x v="0"/>
    <n v="1"/>
    <n v="1"/>
    <n v="0"/>
    <m/>
    <x v="1"/>
    <n v="5.4384122017597021E-2"/>
  </r>
  <r>
    <x v="12"/>
    <x v="0"/>
    <x v="1"/>
    <x v="1"/>
    <x v="2"/>
    <x v="0"/>
    <x v="0"/>
    <x v="1"/>
    <x v="1"/>
    <x v="6"/>
    <n v="1"/>
    <n v="1"/>
    <n v="0"/>
    <m/>
    <x v="1"/>
    <n v="1.4066294421662752E-2"/>
  </r>
  <r>
    <x v="0"/>
    <x v="0"/>
    <x v="1"/>
    <x v="2"/>
    <x v="0"/>
    <x v="0"/>
    <x v="1"/>
    <x v="1"/>
    <x v="2"/>
    <x v="2"/>
    <n v="1"/>
    <n v="1"/>
    <n v="0"/>
    <n v="1"/>
    <x v="0"/>
    <n v="4.3341131498994233E-2"/>
  </r>
  <r>
    <x v="17"/>
    <x v="0"/>
    <x v="0"/>
    <x v="1"/>
    <x v="2"/>
    <x v="0"/>
    <x v="0"/>
    <x v="1"/>
    <x v="2"/>
    <x v="1"/>
    <n v="1"/>
    <n v="2"/>
    <n v="0"/>
    <n v="1"/>
    <x v="0"/>
    <n v="0.1310975036068017"/>
  </r>
  <r>
    <x v="21"/>
    <x v="1"/>
    <x v="0"/>
    <x v="0"/>
    <x v="2"/>
    <x v="0"/>
    <x v="1"/>
    <x v="1"/>
    <x v="0"/>
    <x v="0"/>
    <n v="2"/>
    <n v="2"/>
    <n v="0"/>
    <m/>
    <x v="1"/>
    <n v="9.3402078399889468E-2"/>
  </r>
  <r>
    <x v="3"/>
    <x v="1"/>
    <x v="0"/>
    <x v="0"/>
    <x v="2"/>
    <x v="0"/>
    <x v="0"/>
    <x v="1"/>
    <x v="0"/>
    <x v="8"/>
    <n v="2"/>
    <n v="4"/>
    <n v="0"/>
    <m/>
    <x v="1"/>
    <n v="0.37531300962138026"/>
  </r>
  <r>
    <x v="4"/>
    <x v="1"/>
    <x v="1"/>
    <x v="0"/>
    <x v="1"/>
    <x v="1"/>
    <x v="0"/>
    <x v="1"/>
    <x v="2"/>
    <x v="9"/>
    <n v="1"/>
    <n v="1"/>
    <n v="0"/>
    <m/>
    <x v="1"/>
    <n v="0.24329361132019353"/>
  </r>
  <r>
    <x v="1"/>
    <x v="0"/>
    <x v="0"/>
    <x v="0"/>
    <x v="0"/>
    <x v="0"/>
    <x v="1"/>
    <x v="0"/>
    <x v="2"/>
    <x v="0"/>
    <n v="1"/>
    <n v="1"/>
    <n v="0"/>
    <n v="1"/>
    <x v="0"/>
    <n v="4.7244914771732829E-2"/>
  </r>
  <r>
    <x v="11"/>
    <x v="0"/>
    <x v="1"/>
    <x v="1"/>
    <x v="3"/>
    <x v="1"/>
    <x v="1"/>
    <x v="1"/>
    <x v="1"/>
    <x v="5"/>
    <n v="1"/>
    <n v="1"/>
    <n v="0"/>
    <m/>
    <x v="1"/>
    <n v="1.7678788746375976E-2"/>
  </r>
  <r>
    <x v="0"/>
    <x v="0"/>
    <x v="1"/>
    <x v="0"/>
    <x v="0"/>
    <x v="1"/>
    <x v="0"/>
    <x v="1"/>
    <x v="1"/>
    <x v="4"/>
    <n v="1"/>
    <n v="1"/>
    <n v="0"/>
    <n v="1"/>
    <x v="0"/>
    <n v="4.0267246343836334E-2"/>
  </r>
  <r>
    <x v="15"/>
    <x v="0"/>
    <x v="0"/>
    <x v="0"/>
    <x v="2"/>
    <x v="0"/>
    <x v="1"/>
    <x v="0"/>
    <x v="2"/>
    <x v="1"/>
    <n v="1"/>
    <n v="1"/>
    <n v="0"/>
    <n v="1"/>
    <x v="0"/>
    <n v="6.7830483934244123E-2"/>
  </r>
  <r>
    <x v="20"/>
    <x v="1"/>
    <x v="1"/>
    <x v="2"/>
    <x v="2"/>
    <x v="0"/>
    <x v="0"/>
    <x v="0"/>
    <x v="2"/>
    <x v="9"/>
    <n v="1"/>
    <n v="1"/>
    <n v="0"/>
    <n v="1"/>
    <x v="0"/>
    <n v="0.17522405795301016"/>
  </r>
  <r>
    <x v="8"/>
    <x v="1"/>
    <x v="1"/>
    <x v="0"/>
    <x v="2"/>
    <x v="0"/>
    <x v="1"/>
    <x v="1"/>
    <x v="0"/>
    <x v="4"/>
    <n v="1"/>
    <n v="2"/>
    <n v="0"/>
    <m/>
    <x v="1"/>
    <n v="6.5806557275802507E-2"/>
  </r>
  <r>
    <x v="1"/>
    <x v="1"/>
    <x v="0"/>
    <x v="1"/>
    <x v="1"/>
    <x v="1"/>
    <x v="0"/>
    <x v="1"/>
    <x v="0"/>
    <x v="8"/>
    <n v="1"/>
    <n v="1"/>
    <n v="0"/>
    <n v="1"/>
    <x v="0"/>
    <n v="8.593956647800631E-2"/>
  </r>
  <r>
    <x v="22"/>
    <x v="0"/>
    <x v="1"/>
    <x v="0"/>
    <x v="3"/>
    <x v="0"/>
    <x v="0"/>
    <x v="1"/>
    <x v="0"/>
    <x v="3"/>
    <n v="1"/>
    <n v="1"/>
    <n v="0"/>
    <n v="1"/>
    <x v="0"/>
    <n v="6.0528592439100186E-2"/>
  </r>
  <r>
    <x v="0"/>
    <x v="1"/>
    <x v="0"/>
    <x v="1"/>
    <x v="0"/>
    <x v="0"/>
    <x v="0"/>
    <x v="1"/>
    <x v="1"/>
    <x v="5"/>
    <n v="1"/>
    <n v="2"/>
    <n v="0"/>
    <n v="1"/>
    <x v="0"/>
    <n v="4.1454369734826219E-2"/>
  </r>
  <r>
    <x v="13"/>
    <x v="1"/>
    <x v="0"/>
    <x v="0"/>
    <x v="2"/>
    <x v="1"/>
    <x v="0"/>
    <x v="0"/>
    <x v="2"/>
    <x v="9"/>
    <n v="1"/>
    <n v="1"/>
    <n v="0"/>
    <m/>
    <x v="1"/>
    <n v="0.31398055376811668"/>
  </r>
  <r>
    <x v="9"/>
    <x v="0"/>
    <x v="1"/>
    <x v="2"/>
    <x v="3"/>
    <x v="1"/>
    <x v="0"/>
    <x v="1"/>
    <x v="2"/>
    <x v="9"/>
    <n v="1"/>
    <n v="1"/>
    <n v="0"/>
    <n v="1"/>
    <x v="0"/>
    <n v="0.27253844728178028"/>
  </r>
  <r>
    <x v="16"/>
    <x v="1"/>
    <x v="0"/>
    <x v="0"/>
    <x v="2"/>
    <x v="0"/>
    <x v="1"/>
    <x v="1"/>
    <x v="0"/>
    <x v="0"/>
    <n v="4"/>
    <n v="5"/>
    <n v="0"/>
    <m/>
    <x v="1"/>
    <n v="0.23350519599972364"/>
  </r>
  <r>
    <x v="16"/>
    <x v="1"/>
    <x v="0"/>
    <x v="1"/>
    <x v="1"/>
    <x v="0"/>
    <x v="0"/>
    <x v="1"/>
    <x v="2"/>
    <x v="8"/>
    <n v="1"/>
    <n v="1"/>
    <n v="0"/>
    <m/>
    <x v="1"/>
    <n v="9.6883413810830737E-2"/>
  </r>
  <r>
    <x v="14"/>
    <x v="0"/>
    <x v="0"/>
    <x v="1"/>
    <x v="0"/>
    <x v="0"/>
    <x v="0"/>
    <x v="1"/>
    <x v="0"/>
    <x v="5"/>
    <n v="1"/>
    <n v="1"/>
    <n v="0"/>
    <m/>
    <x v="1"/>
    <n v="2.0841983429204125E-2"/>
  </r>
  <r>
    <x v="19"/>
    <x v="0"/>
    <x v="1"/>
    <x v="2"/>
    <x v="0"/>
    <x v="0"/>
    <x v="0"/>
    <x v="1"/>
    <x v="1"/>
    <x v="7"/>
    <n v="2"/>
    <n v="4"/>
    <n v="0"/>
    <m/>
    <x v="1"/>
    <n v="0.10911136800135676"/>
  </r>
  <r>
    <x v="22"/>
    <x v="0"/>
    <x v="0"/>
    <x v="2"/>
    <x v="2"/>
    <x v="0"/>
    <x v="0"/>
    <x v="0"/>
    <x v="2"/>
    <x v="9"/>
    <n v="2"/>
    <n v="3"/>
    <n v="0"/>
    <n v="2"/>
    <x v="0"/>
    <n v="0.50483792608287215"/>
  </r>
  <r>
    <x v="7"/>
    <x v="1"/>
    <x v="0"/>
    <x v="0"/>
    <x v="2"/>
    <x v="0"/>
    <x v="0"/>
    <x v="0"/>
    <x v="0"/>
    <x v="8"/>
    <n v="1"/>
    <n v="1"/>
    <n v="0"/>
    <m/>
    <x v="1"/>
    <n v="9.3828252405345064E-2"/>
  </r>
  <r>
    <x v="0"/>
    <x v="1"/>
    <x v="0"/>
    <x v="0"/>
    <x v="0"/>
    <x v="0"/>
    <x v="1"/>
    <x v="1"/>
    <x v="2"/>
    <x v="1"/>
    <n v="4"/>
    <n v="4"/>
    <n v="1"/>
    <n v="4"/>
    <x v="0"/>
    <n v="0.27897726641771564"/>
  </r>
  <r>
    <x v="0"/>
    <x v="1"/>
    <x v="0"/>
    <x v="0"/>
    <x v="2"/>
    <x v="0"/>
    <x v="0"/>
    <x v="0"/>
    <x v="2"/>
    <x v="9"/>
    <n v="6"/>
    <n v="7"/>
    <n v="1"/>
    <n v="6"/>
    <x v="0"/>
    <n v="1.3206482690447456"/>
  </r>
  <r>
    <x v="15"/>
    <x v="1"/>
    <x v="0"/>
    <x v="1"/>
    <x v="1"/>
    <x v="0"/>
    <x v="0"/>
    <x v="1"/>
    <x v="0"/>
    <x v="0"/>
    <n v="1"/>
    <n v="3"/>
    <n v="0"/>
    <n v="1"/>
    <x v="0"/>
    <n v="0.13677171718722211"/>
  </r>
  <r>
    <x v="6"/>
    <x v="0"/>
    <x v="1"/>
    <x v="1"/>
    <x v="1"/>
    <x v="0"/>
    <x v="0"/>
    <x v="1"/>
    <x v="0"/>
    <x v="5"/>
    <n v="1"/>
    <n v="1"/>
    <n v="0"/>
    <m/>
    <x v="1"/>
    <n v="2.1471043341050454E-2"/>
  </r>
  <r>
    <x v="12"/>
    <x v="1"/>
    <x v="1"/>
    <x v="2"/>
    <x v="1"/>
    <x v="1"/>
    <x v="0"/>
    <x v="1"/>
    <x v="2"/>
    <x v="9"/>
    <n v="1"/>
    <n v="1"/>
    <n v="0"/>
    <m/>
    <x v="1"/>
    <n v="0.29724028639102335"/>
  </r>
  <r>
    <x v="2"/>
    <x v="0"/>
    <x v="0"/>
    <x v="0"/>
    <x v="3"/>
    <x v="1"/>
    <x v="0"/>
    <x v="0"/>
    <x v="2"/>
    <x v="9"/>
    <n v="2"/>
    <n v="4"/>
    <n v="0"/>
    <m/>
    <x v="1"/>
    <n v="1.163243134171414"/>
  </r>
  <r>
    <x v="22"/>
    <x v="1"/>
    <x v="1"/>
    <x v="2"/>
    <x v="0"/>
    <x v="0"/>
    <x v="0"/>
    <x v="0"/>
    <x v="2"/>
    <x v="9"/>
    <n v="1"/>
    <n v="1"/>
    <n v="0"/>
    <n v="1"/>
    <x v="0"/>
    <n v="0.12646792194996428"/>
  </r>
  <r>
    <x v="20"/>
    <x v="1"/>
    <x v="1"/>
    <x v="0"/>
    <x v="0"/>
    <x v="0"/>
    <x v="1"/>
    <x v="1"/>
    <x v="2"/>
    <x v="0"/>
    <n v="3"/>
    <n v="4"/>
    <n v="0"/>
    <n v="3"/>
    <x v="0"/>
    <n v="0.19796761117070399"/>
  </r>
  <r>
    <x v="6"/>
    <x v="0"/>
    <x v="1"/>
    <x v="2"/>
    <x v="3"/>
    <x v="1"/>
    <x v="1"/>
    <x v="1"/>
    <x v="2"/>
    <x v="9"/>
    <n v="1"/>
    <n v="1"/>
    <n v="0"/>
    <m/>
    <x v="1"/>
    <n v="0.15056446124868356"/>
  </r>
  <r>
    <x v="1"/>
    <x v="1"/>
    <x v="0"/>
    <x v="1"/>
    <x v="2"/>
    <x v="0"/>
    <x v="1"/>
    <x v="1"/>
    <x v="1"/>
    <x v="6"/>
    <n v="2"/>
    <n v="2"/>
    <n v="0"/>
    <n v="2"/>
    <x v="0"/>
    <n v="2.8964209015393722E-2"/>
  </r>
  <r>
    <x v="2"/>
    <x v="0"/>
    <x v="0"/>
    <x v="2"/>
    <x v="0"/>
    <x v="0"/>
    <x v="0"/>
    <x v="0"/>
    <x v="2"/>
    <x v="8"/>
    <n v="3"/>
    <n v="4"/>
    <n v="0"/>
    <m/>
    <x v="1"/>
    <n v="0.48468662481451541"/>
  </r>
  <r>
    <x v="7"/>
    <x v="0"/>
    <x v="0"/>
    <x v="0"/>
    <x v="2"/>
    <x v="0"/>
    <x v="0"/>
    <x v="1"/>
    <x v="2"/>
    <x v="9"/>
    <n v="6"/>
    <n v="11"/>
    <n v="0"/>
    <m/>
    <x v="1"/>
    <n v="1.4662834694827307"/>
  </r>
  <r>
    <x v="12"/>
    <x v="0"/>
    <x v="0"/>
    <x v="0"/>
    <x v="3"/>
    <x v="0"/>
    <x v="1"/>
    <x v="1"/>
    <x v="2"/>
    <x v="8"/>
    <n v="3"/>
    <n v="3"/>
    <n v="0"/>
    <m/>
    <x v="1"/>
    <n v="0.2691772132109515"/>
  </r>
  <r>
    <x v="4"/>
    <x v="1"/>
    <x v="1"/>
    <x v="0"/>
    <x v="2"/>
    <x v="0"/>
    <x v="0"/>
    <x v="1"/>
    <x v="0"/>
    <x v="1"/>
    <n v="1"/>
    <n v="1"/>
    <n v="0"/>
    <m/>
    <x v="1"/>
    <n v="6.7086671775585666E-2"/>
  </r>
  <r>
    <x v="2"/>
    <x v="0"/>
    <x v="1"/>
    <x v="1"/>
    <x v="0"/>
    <x v="0"/>
    <x v="1"/>
    <x v="1"/>
    <x v="1"/>
    <x v="6"/>
    <n v="4"/>
    <n v="4"/>
    <n v="0"/>
    <m/>
    <x v="1"/>
    <n v="1.8315422154747026E-2"/>
  </r>
  <r>
    <x v="14"/>
    <x v="0"/>
    <x v="0"/>
    <x v="1"/>
    <x v="1"/>
    <x v="1"/>
    <x v="0"/>
    <x v="1"/>
    <x v="1"/>
    <x v="4"/>
    <n v="5"/>
    <n v="5"/>
    <n v="0"/>
    <m/>
    <x v="1"/>
    <n v="0.19645586564428005"/>
  </r>
  <r>
    <x v="5"/>
    <x v="1"/>
    <x v="0"/>
    <x v="0"/>
    <x v="0"/>
    <x v="0"/>
    <x v="1"/>
    <x v="0"/>
    <x v="0"/>
    <x v="4"/>
    <n v="2"/>
    <n v="2"/>
    <n v="0"/>
    <n v="2"/>
    <x v="0"/>
    <n v="6.4611432767311794E-2"/>
  </r>
  <r>
    <x v="2"/>
    <x v="0"/>
    <x v="0"/>
    <x v="0"/>
    <x v="2"/>
    <x v="0"/>
    <x v="1"/>
    <x v="1"/>
    <x v="0"/>
    <x v="4"/>
    <n v="5"/>
    <n v="6"/>
    <n v="0"/>
    <m/>
    <x v="1"/>
    <n v="0.18830739004001773"/>
  </r>
  <r>
    <x v="14"/>
    <x v="0"/>
    <x v="0"/>
    <x v="0"/>
    <x v="2"/>
    <x v="0"/>
    <x v="0"/>
    <x v="0"/>
    <x v="1"/>
    <x v="2"/>
    <n v="3"/>
    <n v="6"/>
    <n v="1"/>
    <m/>
    <x v="1"/>
    <n v="0.25859849621444175"/>
  </r>
  <r>
    <x v="17"/>
    <x v="1"/>
    <x v="0"/>
    <x v="1"/>
    <x v="2"/>
    <x v="1"/>
    <x v="0"/>
    <x v="0"/>
    <x v="1"/>
    <x v="0"/>
    <n v="1"/>
    <n v="1"/>
    <n v="0"/>
    <n v="1"/>
    <x v="0"/>
    <n v="5.7610445646867868E-2"/>
  </r>
  <r>
    <x v="5"/>
    <x v="0"/>
    <x v="1"/>
    <x v="1"/>
    <x v="0"/>
    <x v="0"/>
    <x v="1"/>
    <x v="1"/>
    <x v="1"/>
    <x v="6"/>
    <n v="4"/>
    <n v="4"/>
    <n v="0"/>
    <n v="3"/>
    <x v="0"/>
    <n v="1.8315422154747026E-2"/>
  </r>
  <r>
    <x v="20"/>
    <x v="0"/>
    <x v="1"/>
    <x v="0"/>
    <x v="2"/>
    <x v="0"/>
    <x v="0"/>
    <x v="1"/>
    <x v="0"/>
    <x v="0"/>
    <n v="3"/>
    <n v="3"/>
    <n v="0"/>
    <n v="3"/>
    <x v="0"/>
    <n v="0.13620833165203847"/>
  </r>
  <r>
    <x v="4"/>
    <x v="1"/>
    <x v="0"/>
    <x v="0"/>
    <x v="0"/>
    <x v="0"/>
    <x v="0"/>
    <x v="1"/>
    <x v="0"/>
    <x v="1"/>
    <n v="2"/>
    <n v="4"/>
    <n v="0"/>
    <m/>
    <x v="1"/>
    <n v="0.26364243612641386"/>
  </r>
  <r>
    <x v="10"/>
    <x v="0"/>
    <x v="0"/>
    <x v="0"/>
    <x v="3"/>
    <x v="1"/>
    <x v="1"/>
    <x v="0"/>
    <x v="2"/>
    <x v="9"/>
    <n v="1"/>
    <n v="1"/>
    <n v="0"/>
    <m/>
    <x v="1"/>
    <n v="0.16248563228241489"/>
  </r>
  <r>
    <x v="15"/>
    <x v="0"/>
    <x v="0"/>
    <x v="1"/>
    <x v="3"/>
    <x v="1"/>
    <x v="1"/>
    <x v="1"/>
    <x v="0"/>
    <x v="4"/>
    <n v="1"/>
    <n v="2"/>
    <n v="0"/>
    <n v="1"/>
    <x v="0"/>
    <n v="7.5815196047234051E-2"/>
  </r>
  <r>
    <x v="17"/>
    <x v="1"/>
    <x v="0"/>
    <x v="1"/>
    <x v="0"/>
    <x v="0"/>
    <x v="1"/>
    <x v="0"/>
    <x v="1"/>
    <x v="6"/>
    <n v="5"/>
    <n v="5"/>
    <n v="0"/>
    <n v="4"/>
    <x v="0"/>
    <n v="4.9573948945448969E-2"/>
  </r>
  <r>
    <x v="8"/>
    <x v="1"/>
    <x v="0"/>
    <x v="0"/>
    <x v="3"/>
    <x v="0"/>
    <x v="1"/>
    <x v="1"/>
    <x v="2"/>
    <x v="9"/>
    <n v="1"/>
    <n v="4"/>
    <n v="0"/>
    <m/>
    <x v="1"/>
    <n v="0.51880673551844469"/>
  </r>
  <r>
    <x v="22"/>
    <x v="1"/>
    <x v="0"/>
    <x v="1"/>
    <x v="0"/>
    <x v="1"/>
    <x v="1"/>
    <x v="0"/>
    <x v="1"/>
    <x v="5"/>
    <n v="1"/>
    <n v="1"/>
    <n v="0"/>
    <n v="1"/>
    <x v="0"/>
    <n v="1.9329122577824528E-2"/>
  </r>
  <r>
    <x v="22"/>
    <x v="1"/>
    <x v="0"/>
    <x v="2"/>
    <x v="2"/>
    <x v="0"/>
    <x v="0"/>
    <x v="1"/>
    <x v="2"/>
    <x v="9"/>
    <n v="3"/>
    <n v="4"/>
    <n v="1"/>
    <n v="3"/>
    <x v="0"/>
    <n v="0.93698895724395781"/>
  </r>
  <r>
    <x v="6"/>
    <x v="0"/>
    <x v="0"/>
    <x v="0"/>
    <x v="3"/>
    <x v="1"/>
    <x v="0"/>
    <x v="0"/>
    <x v="2"/>
    <x v="9"/>
    <n v="2"/>
    <n v="2"/>
    <n v="0"/>
    <m/>
    <x v="1"/>
    <n v="0.58162156708570711"/>
  </r>
  <r>
    <x v="20"/>
    <x v="1"/>
    <x v="1"/>
    <x v="0"/>
    <x v="1"/>
    <x v="0"/>
    <x v="0"/>
    <x v="1"/>
    <x v="2"/>
    <x v="9"/>
    <n v="4"/>
    <n v="5"/>
    <n v="1"/>
    <n v="4"/>
    <x v="0"/>
    <n v="0.70207597860023607"/>
  </r>
  <r>
    <x v="21"/>
    <x v="0"/>
    <x v="0"/>
    <x v="2"/>
    <x v="1"/>
    <x v="1"/>
    <x v="0"/>
    <x v="1"/>
    <x v="0"/>
    <x v="9"/>
    <n v="1"/>
    <n v="4"/>
    <n v="0"/>
    <m/>
    <x v="1"/>
    <n v="0.60833634580759355"/>
  </r>
  <r>
    <x v="17"/>
    <x v="1"/>
    <x v="1"/>
    <x v="0"/>
    <x v="1"/>
    <x v="1"/>
    <x v="0"/>
    <x v="1"/>
    <x v="1"/>
    <x v="8"/>
    <n v="2"/>
    <n v="2"/>
    <n v="0"/>
    <n v="2"/>
    <x v="0"/>
    <n v="0.17210986570064671"/>
  </r>
  <r>
    <x v="22"/>
    <x v="1"/>
    <x v="1"/>
    <x v="0"/>
    <x v="2"/>
    <x v="1"/>
    <x v="1"/>
    <x v="1"/>
    <x v="1"/>
    <x v="2"/>
    <n v="1"/>
    <n v="1"/>
    <n v="0"/>
    <n v="1"/>
    <x v="0"/>
    <n v="4.2183923792892507E-2"/>
  </r>
  <r>
    <x v="15"/>
    <x v="1"/>
    <x v="0"/>
    <x v="2"/>
    <x v="2"/>
    <x v="1"/>
    <x v="0"/>
    <x v="1"/>
    <x v="1"/>
    <x v="9"/>
    <n v="1"/>
    <n v="1"/>
    <n v="0"/>
    <n v="1"/>
    <x v="0"/>
    <n v="0.14989547850382232"/>
  </r>
  <r>
    <x v="15"/>
    <x v="0"/>
    <x v="1"/>
    <x v="1"/>
    <x v="1"/>
    <x v="0"/>
    <x v="0"/>
    <x v="1"/>
    <x v="2"/>
    <x v="0"/>
    <n v="1"/>
    <n v="1"/>
    <n v="0"/>
    <n v="1"/>
    <x v="0"/>
    <n v="4.6962864711200251E-2"/>
  </r>
  <r>
    <x v="22"/>
    <x v="0"/>
    <x v="0"/>
    <x v="1"/>
    <x v="1"/>
    <x v="1"/>
    <x v="0"/>
    <x v="1"/>
    <x v="2"/>
    <x v="8"/>
    <n v="1"/>
    <n v="1"/>
    <n v="0"/>
    <n v="1"/>
    <x v="0"/>
    <n v="0.12254007280701143"/>
  </r>
  <r>
    <x v="20"/>
    <x v="0"/>
    <x v="0"/>
    <x v="2"/>
    <x v="3"/>
    <x v="1"/>
    <x v="1"/>
    <x v="1"/>
    <x v="2"/>
    <x v="9"/>
    <n v="1"/>
    <n v="1"/>
    <n v="1"/>
    <n v="0"/>
    <x v="0"/>
    <n v="0.2033289596940886"/>
  </r>
  <r>
    <x v="1"/>
    <x v="0"/>
    <x v="1"/>
    <x v="0"/>
    <x v="2"/>
    <x v="1"/>
    <x v="0"/>
    <x v="0"/>
    <x v="1"/>
    <x v="0"/>
    <n v="3"/>
    <n v="4"/>
    <n v="0"/>
    <n v="3"/>
    <x v="0"/>
    <n v="0.23199031270691034"/>
  </r>
  <r>
    <x v="11"/>
    <x v="0"/>
    <x v="1"/>
    <x v="0"/>
    <x v="2"/>
    <x v="0"/>
    <x v="0"/>
    <x v="0"/>
    <x v="2"/>
    <x v="8"/>
    <n v="2"/>
    <n v="2"/>
    <n v="0"/>
    <m/>
    <x v="1"/>
    <n v="0.19301139789125732"/>
  </r>
  <r>
    <x v="9"/>
    <x v="1"/>
    <x v="1"/>
    <x v="0"/>
    <x v="0"/>
    <x v="0"/>
    <x v="0"/>
    <x v="1"/>
    <x v="0"/>
    <x v="0"/>
    <n v="4"/>
    <n v="5"/>
    <n v="0"/>
    <n v="4"/>
    <x v="0"/>
    <n v="0.23357763046412891"/>
  </r>
  <r>
    <x v="10"/>
    <x v="1"/>
    <x v="1"/>
    <x v="2"/>
    <x v="0"/>
    <x v="0"/>
    <x v="0"/>
    <x v="1"/>
    <x v="1"/>
    <x v="4"/>
    <n v="1"/>
    <n v="1"/>
    <n v="0"/>
    <m/>
    <x v="1"/>
    <n v="4.0674290026531716E-2"/>
  </r>
  <r>
    <x v="8"/>
    <x v="1"/>
    <x v="0"/>
    <x v="0"/>
    <x v="3"/>
    <x v="0"/>
    <x v="0"/>
    <x v="1"/>
    <x v="0"/>
    <x v="8"/>
    <n v="2"/>
    <n v="2"/>
    <n v="0"/>
    <m/>
    <x v="1"/>
    <n v="0.24601606933333317"/>
  </r>
  <r>
    <x v="5"/>
    <x v="0"/>
    <x v="0"/>
    <x v="2"/>
    <x v="0"/>
    <x v="0"/>
    <x v="0"/>
    <x v="1"/>
    <x v="0"/>
    <x v="0"/>
    <n v="2"/>
    <n v="2"/>
    <n v="0"/>
    <n v="2"/>
    <x v="0"/>
    <n v="0.11568704600419652"/>
  </r>
  <r>
    <x v="15"/>
    <x v="1"/>
    <x v="0"/>
    <x v="0"/>
    <x v="3"/>
    <x v="0"/>
    <x v="0"/>
    <x v="1"/>
    <x v="1"/>
    <x v="8"/>
    <n v="3"/>
    <n v="3"/>
    <n v="1"/>
    <n v="3"/>
    <x v="0"/>
    <n v="0.25337026513770589"/>
  </r>
  <r>
    <x v="12"/>
    <x v="1"/>
    <x v="1"/>
    <x v="1"/>
    <x v="2"/>
    <x v="0"/>
    <x v="0"/>
    <x v="0"/>
    <x v="1"/>
    <x v="5"/>
    <n v="1"/>
    <n v="1"/>
    <n v="0"/>
    <m/>
    <x v="1"/>
    <n v="2.111525100948302E-2"/>
  </r>
  <r>
    <x v="17"/>
    <x v="1"/>
    <x v="0"/>
    <x v="0"/>
    <x v="0"/>
    <x v="1"/>
    <x v="1"/>
    <x v="1"/>
    <x v="0"/>
    <x v="3"/>
    <n v="1"/>
    <n v="1"/>
    <n v="0"/>
    <n v="1"/>
    <x v="0"/>
    <n v="6.1656780627368547E-2"/>
  </r>
  <r>
    <x v="10"/>
    <x v="0"/>
    <x v="0"/>
    <x v="0"/>
    <x v="3"/>
    <x v="1"/>
    <x v="1"/>
    <x v="1"/>
    <x v="1"/>
    <x v="0"/>
    <n v="1"/>
    <n v="1"/>
    <n v="0"/>
    <m/>
    <x v="1"/>
    <n v="5.3762004632525763E-2"/>
  </r>
  <r>
    <x v="19"/>
    <x v="0"/>
    <x v="1"/>
    <x v="2"/>
    <x v="2"/>
    <x v="0"/>
    <x v="0"/>
    <x v="1"/>
    <x v="2"/>
    <x v="8"/>
    <n v="1"/>
    <n v="2"/>
    <n v="0"/>
    <m/>
    <x v="1"/>
    <n v="0.24640740521321994"/>
  </r>
  <r>
    <x v="21"/>
    <x v="1"/>
    <x v="0"/>
    <x v="0"/>
    <x v="2"/>
    <x v="1"/>
    <x v="0"/>
    <x v="0"/>
    <x v="2"/>
    <x v="9"/>
    <n v="1"/>
    <n v="1"/>
    <n v="0"/>
    <m/>
    <x v="1"/>
    <n v="0.31398055376811668"/>
  </r>
  <r>
    <x v="8"/>
    <x v="1"/>
    <x v="0"/>
    <x v="0"/>
    <x v="0"/>
    <x v="0"/>
    <x v="0"/>
    <x v="1"/>
    <x v="2"/>
    <x v="9"/>
    <n v="2"/>
    <n v="6"/>
    <n v="0"/>
    <m/>
    <x v="1"/>
    <n v="0.82073068377998026"/>
  </r>
  <r>
    <x v="2"/>
    <x v="1"/>
    <x v="0"/>
    <x v="1"/>
    <x v="0"/>
    <x v="0"/>
    <x v="1"/>
    <x v="0"/>
    <x v="1"/>
    <x v="6"/>
    <n v="1"/>
    <n v="1"/>
    <n v="0"/>
    <m/>
    <x v="1"/>
    <n v="9.9147897890897955E-3"/>
  </r>
  <r>
    <x v="22"/>
    <x v="0"/>
    <x v="1"/>
    <x v="2"/>
    <x v="0"/>
    <x v="0"/>
    <x v="0"/>
    <x v="0"/>
    <x v="1"/>
    <x v="7"/>
    <n v="1"/>
    <n v="1"/>
    <n v="0"/>
    <n v="1"/>
    <x v="0"/>
    <n v="2.7277842000339191E-2"/>
  </r>
  <r>
    <x v="19"/>
    <x v="0"/>
    <x v="1"/>
    <x v="1"/>
    <x v="3"/>
    <x v="1"/>
    <x v="0"/>
    <x v="1"/>
    <x v="0"/>
    <x v="0"/>
    <n v="1"/>
    <n v="1"/>
    <n v="0"/>
    <m/>
    <x v="1"/>
    <n v="5.4674923517691404E-2"/>
  </r>
  <r>
    <x v="15"/>
    <x v="0"/>
    <x v="0"/>
    <x v="2"/>
    <x v="2"/>
    <x v="0"/>
    <x v="0"/>
    <x v="1"/>
    <x v="1"/>
    <x v="0"/>
    <n v="5"/>
    <n v="5"/>
    <n v="0"/>
    <n v="5"/>
    <x v="0"/>
    <n v="0.27968949435395019"/>
  </r>
  <r>
    <x v="2"/>
    <x v="1"/>
    <x v="0"/>
    <x v="0"/>
    <x v="0"/>
    <x v="0"/>
    <x v="0"/>
    <x v="1"/>
    <x v="2"/>
    <x v="9"/>
    <n v="5"/>
    <n v="7"/>
    <n v="0"/>
    <m/>
    <x v="1"/>
    <n v="0.95751913107664366"/>
  </r>
  <r>
    <x v="20"/>
    <x v="0"/>
    <x v="0"/>
    <x v="2"/>
    <x v="2"/>
    <x v="1"/>
    <x v="1"/>
    <x v="1"/>
    <x v="1"/>
    <x v="0"/>
    <n v="1"/>
    <n v="1"/>
    <n v="0"/>
    <n v="1"/>
    <x v="0"/>
    <n v="5.2291671314483069E-2"/>
  </r>
  <r>
    <x v="20"/>
    <x v="1"/>
    <x v="1"/>
    <x v="0"/>
    <x v="2"/>
    <x v="0"/>
    <x v="0"/>
    <x v="1"/>
    <x v="1"/>
    <x v="0"/>
    <n v="2"/>
    <n v="2"/>
    <n v="0"/>
    <n v="2"/>
    <x v="0"/>
    <n v="9.0317871897326291E-2"/>
  </r>
  <r>
    <x v="2"/>
    <x v="1"/>
    <x v="0"/>
    <x v="2"/>
    <x v="2"/>
    <x v="1"/>
    <x v="0"/>
    <x v="1"/>
    <x v="1"/>
    <x v="9"/>
    <n v="1"/>
    <n v="1"/>
    <n v="0"/>
    <m/>
    <x v="1"/>
    <n v="0.14989547850382232"/>
  </r>
  <r>
    <x v="11"/>
    <x v="0"/>
    <x v="1"/>
    <x v="1"/>
    <x v="0"/>
    <x v="0"/>
    <x v="0"/>
    <x v="0"/>
    <x v="1"/>
    <x v="6"/>
    <n v="2"/>
    <n v="2"/>
    <n v="0"/>
    <m/>
    <x v="1"/>
    <n v="1.9257670326452481E-2"/>
  </r>
  <r>
    <x v="14"/>
    <x v="1"/>
    <x v="0"/>
    <x v="2"/>
    <x v="2"/>
    <x v="0"/>
    <x v="1"/>
    <x v="1"/>
    <x v="2"/>
    <x v="9"/>
    <n v="2"/>
    <n v="3"/>
    <n v="0"/>
    <m/>
    <x v="1"/>
    <n v="0.37929594984188492"/>
  </r>
  <r>
    <x v="3"/>
    <x v="1"/>
    <x v="1"/>
    <x v="0"/>
    <x v="0"/>
    <x v="1"/>
    <x v="0"/>
    <x v="1"/>
    <x v="1"/>
    <x v="3"/>
    <n v="1"/>
    <n v="1"/>
    <n v="0"/>
    <m/>
    <x v="1"/>
    <n v="5.9651729761640827E-2"/>
  </r>
  <r>
    <x v="21"/>
    <x v="0"/>
    <x v="0"/>
    <x v="0"/>
    <x v="3"/>
    <x v="0"/>
    <x v="1"/>
    <x v="0"/>
    <x v="0"/>
    <x v="2"/>
    <n v="1"/>
    <n v="1"/>
    <n v="0"/>
    <m/>
    <x v="1"/>
    <n v="4.2045949270268397E-2"/>
  </r>
  <r>
    <x v="8"/>
    <x v="0"/>
    <x v="1"/>
    <x v="1"/>
    <x v="0"/>
    <x v="0"/>
    <x v="1"/>
    <x v="1"/>
    <x v="1"/>
    <x v="6"/>
    <n v="2"/>
    <n v="2"/>
    <n v="0"/>
    <m/>
    <x v="1"/>
    <n v="9.1577110773735128E-3"/>
  </r>
  <r>
    <x v="11"/>
    <x v="1"/>
    <x v="0"/>
    <x v="0"/>
    <x v="3"/>
    <x v="1"/>
    <x v="0"/>
    <x v="1"/>
    <x v="1"/>
    <x v="9"/>
    <n v="1"/>
    <n v="2"/>
    <n v="0"/>
    <m/>
    <x v="1"/>
    <n v="0.30733047533081592"/>
  </r>
  <r>
    <x v="4"/>
    <x v="0"/>
    <x v="1"/>
    <x v="0"/>
    <x v="3"/>
    <x v="1"/>
    <x v="0"/>
    <x v="0"/>
    <x v="1"/>
    <x v="1"/>
    <n v="3"/>
    <n v="3"/>
    <n v="0"/>
    <m/>
    <x v="1"/>
    <n v="0.23094284666121603"/>
  </r>
  <r>
    <x v="14"/>
    <x v="0"/>
    <x v="0"/>
    <x v="0"/>
    <x v="3"/>
    <x v="0"/>
    <x v="1"/>
    <x v="1"/>
    <x v="0"/>
    <x v="2"/>
    <n v="1"/>
    <n v="1"/>
    <n v="0"/>
    <m/>
    <x v="1"/>
    <n v="4.2045949270268397E-2"/>
  </r>
  <r>
    <x v="1"/>
    <x v="0"/>
    <x v="1"/>
    <x v="0"/>
    <x v="3"/>
    <x v="0"/>
    <x v="0"/>
    <x v="1"/>
    <x v="1"/>
    <x v="4"/>
    <n v="1"/>
    <n v="1"/>
    <n v="0"/>
    <n v="1"/>
    <x v="0"/>
    <n v="4.0651005805418881E-2"/>
  </r>
  <r>
    <x v="13"/>
    <x v="0"/>
    <x v="0"/>
    <x v="1"/>
    <x v="0"/>
    <x v="0"/>
    <x v="1"/>
    <x v="1"/>
    <x v="0"/>
    <x v="6"/>
    <n v="1"/>
    <n v="1"/>
    <n v="0"/>
    <m/>
    <x v="1"/>
    <n v="9.9703130635719027E-3"/>
  </r>
  <r>
    <x v="15"/>
    <x v="0"/>
    <x v="1"/>
    <x v="0"/>
    <x v="0"/>
    <x v="1"/>
    <x v="1"/>
    <x v="1"/>
    <x v="1"/>
    <x v="5"/>
    <n v="1"/>
    <n v="1"/>
    <n v="0"/>
    <n v="1"/>
    <x v="0"/>
    <n v="1.946432421526037E-2"/>
  </r>
  <r>
    <x v="0"/>
    <x v="0"/>
    <x v="0"/>
    <x v="1"/>
    <x v="0"/>
    <x v="0"/>
    <x v="1"/>
    <x v="0"/>
    <x v="0"/>
    <x v="6"/>
    <n v="1"/>
    <n v="1"/>
    <n v="0"/>
    <n v="1"/>
    <x v="0"/>
    <n v="9.9703130635719027E-3"/>
  </r>
  <r>
    <x v="1"/>
    <x v="0"/>
    <x v="0"/>
    <x v="2"/>
    <x v="0"/>
    <x v="0"/>
    <x v="1"/>
    <x v="1"/>
    <x v="1"/>
    <x v="5"/>
    <n v="5"/>
    <n v="6"/>
    <n v="1"/>
    <n v="4"/>
    <x v="0"/>
    <n v="0.11247511159304771"/>
  </r>
  <r>
    <x v="8"/>
    <x v="0"/>
    <x v="0"/>
    <x v="0"/>
    <x v="2"/>
    <x v="1"/>
    <x v="0"/>
    <x v="0"/>
    <x v="1"/>
    <x v="1"/>
    <n v="4"/>
    <n v="7"/>
    <n v="0"/>
    <m/>
    <x v="1"/>
    <n v="0.57002666563384841"/>
  </r>
  <r>
    <x v="1"/>
    <x v="0"/>
    <x v="0"/>
    <x v="2"/>
    <x v="3"/>
    <x v="0"/>
    <x v="0"/>
    <x v="1"/>
    <x v="0"/>
    <x v="8"/>
    <n v="1"/>
    <n v="1"/>
    <n v="0"/>
    <n v="1"/>
    <x v="0"/>
    <n v="0.10876628283524353"/>
  </r>
  <r>
    <x v="7"/>
    <x v="0"/>
    <x v="0"/>
    <x v="0"/>
    <x v="0"/>
    <x v="0"/>
    <x v="0"/>
    <x v="0"/>
    <x v="2"/>
    <x v="8"/>
    <n v="6"/>
    <n v="9"/>
    <n v="0"/>
    <m/>
    <x v="1"/>
    <n v="0.85379714755808811"/>
  </r>
  <r>
    <x v="22"/>
    <x v="1"/>
    <x v="0"/>
    <x v="0"/>
    <x v="0"/>
    <x v="1"/>
    <x v="1"/>
    <x v="0"/>
    <x v="1"/>
    <x v="4"/>
    <n v="1"/>
    <n v="1"/>
    <n v="0"/>
    <n v="1"/>
    <x v="0"/>
    <n v="4.1425033735772165E-2"/>
  </r>
  <r>
    <x v="19"/>
    <x v="1"/>
    <x v="0"/>
    <x v="0"/>
    <x v="0"/>
    <x v="0"/>
    <x v="1"/>
    <x v="0"/>
    <x v="2"/>
    <x v="1"/>
    <n v="2"/>
    <n v="2"/>
    <n v="0"/>
    <m/>
    <x v="1"/>
    <n v="0.13948863320885782"/>
  </r>
  <r>
    <x v="22"/>
    <x v="0"/>
    <x v="0"/>
    <x v="2"/>
    <x v="3"/>
    <x v="1"/>
    <x v="1"/>
    <x v="1"/>
    <x v="0"/>
    <x v="8"/>
    <n v="2"/>
    <n v="2"/>
    <n v="0"/>
    <n v="2"/>
    <x v="0"/>
    <n v="0.20409749470077854"/>
  </r>
  <r>
    <x v="0"/>
    <x v="0"/>
    <x v="0"/>
    <x v="2"/>
    <x v="2"/>
    <x v="1"/>
    <x v="0"/>
    <x v="1"/>
    <x v="2"/>
    <x v="9"/>
    <n v="1"/>
    <n v="1"/>
    <n v="1"/>
    <n v="1"/>
    <x v="0"/>
    <n v="0.28480875100254455"/>
  </r>
  <r>
    <x v="9"/>
    <x v="0"/>
    <x v="1"/>
    <x v="1"/>
    <x v="0"/>
    <x v="0"/>
    <x v="1"/>
    <x v="0"/>
    <x v="2"/>
    <x v="5"/>
    <n v="2"/>
    <n v="2"/>
    <n v="0"/>
    <n v="2"/>
    <x v="0"/>
    <n v="3.092852357530609E-2"/>
  </r>
  <r>
    <x v="4"/>
    <x v="1"/>
    <x v="0"/>
    <x v="1"/>
    <x v="0"/>
    <x v="1"/>
    <x v="0"/>
    <x v="0"/>
    <x v="1"/>
    <x v="4"/>
    <n v="1"/>
    <n v="1"/>
    <n v="0"/>
    <m/>
    <x v="1"/>
    <n v="3.9993438758136914E-2"/>
  </r>
  <r>
    <x v="17"/>
    <x v="0"/>
    <x v="1"/>
    <x v="0"/>
    <x v="2"/>
    <x v="0"/>
    <x v="0"/>
    <x v="0"/>
    <x v="0"/>
    <x v="0"/>
    <n v="2"/>
    <n v="3"/>
    <n v="0"/>
    <n v="2"/>
    <x v="0"/>
    <n v="0.13620833165203847"/>
  </r>
  <r>
    <x v="3"/>
    <x v="1"/>
    <x v="0"/>
    <x v="0"/>
    <x v="0"/>
    <x v="0"/>
    <x v="1"/>
    <x v="0"/>
    <x v="2"/>
    <x v="1"/>
    <n v="2"/>
    <n v="2"/>
    <n v="0"/>
    <m/>
    <x v="1"/>
    <n v="0.13948863320885782"/>
  </r>
  <r>
    <x v="19"/>
    <x v="1"/>
    <x v="0"/>
    <x v="2"/>
    <x v="2"/>
    <x v="0"/>
    <x v="0"/>
    <x v="0"/>
    <x v="0"/>
    <x v="8"/>
    <n v="2"/>
    <n v="2"/>
    <n v="0"/>
    <m/>
    <x v="1"/>
    <n v="0.23976766504814812"/>
  </r>
  <r>
    <x v="1"/>
    <x v="1"/>
    <x v="1"/>
    <x v="2"/>
    <x v="2"/>
    <x v="1"/>
    <x v="0"/>
    <x v="0"/>
    <x v="2"/>
    <x v="9"/>
    <n v="1"/>
    <n v="1"/>
    <n v="0"/>
    <n v="1"/>
    <x v="0"/>
    <n v="0.29485768452062661"/>
  </r>
  <r>
    <x v="8"/>
    <x v="0"/>
    <x v="1"/>
    <x v="0"/>
    <x v="1"/>
    <x v="1"/>
    <x v="0"/>
    <x v="1"/>
    <x v="0"/>
    <x v="8"/>
    <n v="4"/>
    <n v="4"/>
    <n v="0"/>
    <m/>
    <x v="1"/>
    <n v="0.34599837055808658"/>
  </r>
  <r>
    <x v="21"/>
    <x v="0"/>
    <x v="0"/>
    <x v="1"/>
    <x v="1"/>
    <x v="0"/>
    <x v="0"/>
    <x v="1"/>
    <x v="2"/>
    <x v="1"/>
    <n v="5"/>
    <n v="5"/>
    <n v="0"/>
    <m/>
    <x v="1"/>
    <n v="0.33126257087152278"/>
  </r>
  <r>
    <x v="2"/>
    <x v="0"/>
    <x v="1"/>
    <x v="2"/>
    <x v="0"/>
    <x v="0"/>
    <x v="1"/>
    <x v="0"/>
    <x v="1"/>
    <x v="6"/>
    <n v="1"/>
    <n v="1"/>
    <n v="0"/>
    <m/>
    <x v="1"/>
    <n v="1.3093969311862536E-2"/>
  </r>
  <r>
    <x v="3"/>
    <x v="1"/>
    <x v="1"/>
    <x v="0"/>
    <x v="1"/>
    <x v="1"/>
    <x v="0"/>
    <x v="1"/>
    <x v="2"/>
    <x v="9"/>
    <n v="1"/>
    <n v="3"/>
    <n v="0"/>
    <m/>
    <x v="1"/>
    <n v="0.72988083396058068"/>
  </r>
  <r>
    <x v="14"/>
    <x v="0"/>
    <x v="0"/>
    <x v="0"/>
    <x v="0"/>
    <x v="0"/>
    <x v="0"/>
    <x v="0"/>
    <x v="2"/>
    <x v="8"/>
    <n v="2"/>
    <n v="3"/>
    <n v="0"/>
    <m/>
    <x v="1"/>
    <n v="0.28459904918602935"/>
  </r>
  <r>
    <x v="21"/>
    <x v="0"/>
    <x v="0"/>
    <x v="1"/>
    <x v="2"/>
    <x v="0"/>
    <x v="0"/>
    <x v="1"/>
    <x v="2"/>
    <x v="1"/>
    <n v="1"/>
    <n v="2"/>
    <n v="0"/>
    <m/>
    <x v="1"/>
    <n v="0.1310975036068017"/>
  </r>
  <r>
    <x v="5"/>
    <x v="0"/>
    <x v="0"/>
    <x v="2"/>
    <x v="1"/>
    <x v="1"/>
    <x v="0"/>
    <x v="1"/>
    <x v="2"/>
    <x v="9"/>
    <n v="2"/>
    <n v="2"/>
    <n v="1"/>
    <n v="2"/>
    <x v="0"/>
    <n v="0.57428643650157385"/>
  </r>
  <r>
    <x v="21"/>
    <x v="0"/>
    <x v="0"/>
    <x v="0"/>
    <x v="0"/>
    <x v="1"/>
    <x v="0"/>
    <x v="0"/>
    <x v="0"/>
    <x v="1"/>
    <n v="4"/>
    <n v="5"/>
    <n v="0"/>
    <m/>
    <x v="1"/>
    <n v="0.42064561523056665"/>
  </r>
  <r>
    <x v="19"/>
    <x v="1"/>
    <x v="1"/>
    <x v="0"/>
    <x v="0"/>
    <x v="0"/>
    <x v="1"/>
    <x v="1"/>
    <x v="0"/>
    <x v="7"/>
    <n v="2"/>
    <n v="2"/>
    <n v="0"/>
    <m/>
    <x v="1"/>
    <n v="4.5319878411547367E-2"/>
  </r>
  <r>
    <x v="6"/>
    <x v="0"/>
    <x v="0"/>
    <x v="2"/>
    <x v="0"/>
    <x v="1"/>
    <x v="0"/>
    <x v="0"/>
    <x v="1"/>
    <x v="1"/>
    <n v="3"/>
    <n v="3"/>
    <n v="0"/>
    <m/>
    <x v="1"/>
    <n v="0.22086972513005651"/>
  </r>
  <r>
    <x v="0"/>
    <x v="0"/>
    <x v="1"/>
    <x v="0"/>
    <x v="2"/>
    <x v="0"/>
    <x v="0"/>
    <x v="1"/>
    <x v="1"/>
    <x v="7"/>
    <n v="5"/>
    <n v="5"/>
    <n v="0"/>
    <n v="5"/>
    <x v="0"/>
    <n v="0.15166065419930277"/>
  </r>
  <r>
    <x v="15"/>
    <x v="0"/>
    <x v="0"/>
    <x v="2"/>
    <x v="3"/>
    <x v="0"/>
    <x v="0"/>
    <x v="1"/>
    <x v="2"/>
    <x v="9"/>
    <n v="1"/>
    <n v="1"/>
    <n v="0"/>
    <n v="1"/>
    <x v="0"/>
    <n v="0.21511628420770765"/>
  </r>
  <r>
    <x v="4"/>
    <x v="0"/>
    <x v="0"/>
    <x v="0"/>
    <x v="3"/>
    <x v="1"/>
    <x v="0"/>
    <x v="0"/>
    <x v="2"/>
    <x v="9"/>
    <n v="1"/>
    <n v="6"/>
    <n v="0"/>
    <m/>
    <x v="1"/>
    <n v="1.7448647012571212"/>
  </r>
  <r>
    <x v="16"/>
    <x v="0"/>
    <x v="1"/>
    <x v="0"/>
    <x v="2"/>
    <x v="1"/>
    <x v="0"/>
    <x v="0"/>
    <x v="0"/>
    <x v="8"/>
    <n v="1"/>
    <n v="2"/>
    <n v="0"/>
    <m/>
    <x v="1"/>
    <n v="0.17120094765474353"/>
  </r>
  <r>
    <x v="21"/>
    <x v="1"/>
    <x v="0"/>
    <x v="2"/>
    <x v="2"/>
    <x v="0"/>
    <x v="1"/>
    <x v="1"/>
    <x v="0"/>
    <x v="3"/>
    <n v="1"/>
    <n v="1"/>
    <n v="0"/>
    <m/>
    <x v="1"/>
    <n v="6.0544035202992515E-2"/>
  </r>
  <r>
    <x v="0"/>
    <x v="0"/>
    <x v="1"/>
    <x v="1"/>
    <x v="3"/>
    <x v="1"/>
    <x v="0"/>
    <x v="1"/>
    <x v="2"/>
    <x v="8"/>
    <n v="1"/>
    <n v="1"/>
    <n v="0"/>
    <n v="1"/>
    <x v="0"/>
    <n v="0.11495729196366554"/>
  </r>
  <r>
    <x v="2"/>
    <x v="1"/>
    <x v="1"/>
    <x v="1"/>
    <x v="0"/>
    <x v="0"/>
    <x v="1"/>
    <x v="0"/>
    <x v="0"/>
    <x v="6"/>
    <n v="1"/>
    <n v="1"/>
    <n v="0"/>
    <m/>
    <x v="1"/>
    <n v="1.0463975714453297E-2"/>
  </r>
  <r>
    <x v="5"/>
    <x v="0"/>
    <x v="1"/>
    <x v="2"/>
    <x v="0"/>
    <x v="0"/>
    <x v="0"/>
    <x v="1"/>
    <x v="1"/>
    <x v="7"/>
    <n v="1"/>
    <n v="1"/>
    <n v="0"/>
    <n v="1"/>
    <x v="0"/>
    <n v="2.7277842000339191E-2"/>
  </r>
  <r>
    <x v="3"/>
    <x v="0"/>
    <x v="0"/>
    <x v="1"/>
    <x v="3"/>
    <x v="1"/>
    <x v="0"/>
    <x v="1"/>
    <x v="0"/>
    <x v="1"/>
    <n v="1"/>
    <n v="2"/>
    <n v="0"/>
    <m/>
    <x v="1"/>
    <n v="0.15375344795941501"/>
  </r>
  <r>
    <x v="9"/>
    <x v="1"/>
    <x v="1"/>
    <x v="0"/>
    <x v="2"/>
    <x v="0"/>
    <x v="0"/>
    <x v="1"/>
    <x v="0"/>
    <x v="1"/>
    <n v="1"/>
    <n v="1"/>
    <n v="0"/>
    <n v="1"/>
    <x v="0"/>
    <n v="6.7086671775585666E-2"/>
  </r>
  <r>
    <x v="11"/>
    <x v="0"/>
    <x v="1"/>
    <x v="1"/>
    <x v="0"/>
    <x v="0"/>
    <x v="1"/>
    <x v="1"/>
    <x v="0"/>
    <x v="6"/>
    <n v="1"/>
    <n v="1"/>
    <n v="0"/>
    <m/>
    <x v="1"/>
    <n v="6.9455315248842728E-3"/>
  </r>
  <r>
    <x v="21"/>
    <x v="1"/>
    <x v="1"/>
    <x v="0"/>
    <x v="2"/>
    <x v="0"/>
    <x v="0"/>
    <x v="0"/>
    <x v="1"/>
    <x v="0"/>
    <n v="1"/>
    <n v="1"/>
    <n v="0"/>
    <m/>
    <x v="1"/>
    <n v="4.5158935948663145E-2"/>
  </r>
  <r>
    <x v="16"/>
    <x v="0"/>
    <x v="1"/>
    <x v="0"/>
    <x v="0"/>
    <x v="0"/>
    <x v="0"/>
    <x v="0"/>
    <x v="2"/>
    <x v="1"/>
    <n v="1"/>
    <n v="4"/>
    <n v="0"/>
    <m/>
    <x v="1"/>
    <n v="0.2714042350863638"/>
  </r>
  <r>
    <x v="2"/>
    <x v="1"/>
    <x v="1"/>
    <x v="0"/>
    <x v="2"/>
    <x v="0"/>
    <x v="0"/>
    <x v="0"/>
    <x v="2"/>
    <x v="9"/>
    <n v="1"/>
    <n v="1"/>
    <n v="0"/>
    <m/>
    <x v="1"/>
    <n v="0.13904095240248723"/>
  </r>
  <r>
    <x v="12"/>
    <x v="1"/>
    <x v="1"/>
    <x v="0"/>
    <x v="2"/>
    <x v="0"/>
    <x v="1"/>
    <x v="1"/>
    <x v="1"/>
    <x v="7"/>
    <n v="1"/>
    <n v="1"/>
    <n v="0"/>
    <m/>
    <x v="1"/>
    <n v="2.1886493307591109E-2"/>
  </r>
  <r>
    <x v="16"/>
    <x v="0"/>
    <x v="0"/>
    <x v="0"/>
    <x v="1"/>
    <x v="1"/>
    <x v="0"/>
    <x v="1"/>
    <x v="2"/>
    <x v="9"/>
    <n v="4"/>
    <n v="11"/>
    <n v="0"/>
    <m/>
    <x v="1"/>
    <n v="2.5785958452179014"/>
  </r>
  <r>
    <x v="18"/>
    <x v="0"/>
    <x v="0"/>
    <x v="0"/>
    <x v="2"/>
    <x v="0"/>
    <x v="0"/>
    <x v="1"/>
    <x v="1"/>
    <x v="2"/>
    <n v="2"/>
    <n v="2"/>
    <n v="0"/>
    <m/>
    <x v="1"/>
    <n v="8.6199498738147251E-2"/>
  </r>
  <r>
    <x v="3"/>
    <x v="0"/>
    <x v="1"/>
    <x v="2"/>
    <x v="0"/>
    <x v="0"/>
    <x v="0"/>
    <x v="0"/>
    <x v="2"/>
    <x v="8"/>
    <n v="1"/>
    <n v="1"/>
    <n v="0"/>
    <m/>
    <x v="1"/>
    <n v="8.7388588178664475E-2"/>
  </r>
  <r>
    <x v="21"/>
    <x v="0"/>
    <x v="0"/>
    <x v="2"/>
    <x v="3"/>
    <x v="0"/>
    <x v="1"/>
    <x v="1"/>
    <x v="2"/>
    <x v="8"/>
    <n v="1"/>
    <n v="1"/>
    <n v="0"/>
    <m/>
    <x v="1"/>
    <n v="0.11478638274090987"/>
  </r>
  <r>
    <x v="22"/>
    <x v="1"/>
    <x v="0"/>
    <x v="2"/>
    <x v="2"/>
    <x v="1"/>
    <x v="0"/>
    <x v="1"/>
    <x v="1"/>
    <x v="9"/>
    <n v="1"/>
    <n v="1"/>
    <n v="0"/>
    <n v="1"/>
    <x v="0"/>
    <n v="0.14989547850382232"/>
  </r>
  <r>
    <x v="11"/>
    <x v="1"/>
    <x v="1"/>
    <x v="0"/>
    <x v="2"/>
    <x v="1"/>
    <x v="0"/>
    <x v="1"/>
    <x v="1"/>
    <x v="8"/>
    <n v="2"/>
    <n v="2"/>
    <n v="0"/>
    <m/>
    <x v="1"/>
    <n v="0.17032001033339855"/>
  </r>
  <r>
    <x v="20"/>
    <x v="0"/>
    <x v="1"/>
    <x v="1"/>
    <x v="3"/>
    <x v="1"/>
    <x v="0"/>
    <x v="1"/>
    <x v="1"/>
    <x v="4"/>
    <n v="1"/>
    <n v="1"/>
    <n v="0"/>
    <n v="1"/>
    <x v="0"/>
    <n v="3.6644699143444329E-2"/>
  </r>
  <r>
    <x v="21"/>
    <x v="0"/>
    <x v="0"/>
    <x v="1"/>
    <x v="0"/>
    <x v="0"/>
    <x v="0"/>
    <x v="0"/>
    <x v="0"/>
    <x v="5"/>
    <n v="1"/>
    <n v="1"/>
    <n v="0"/>
    <m/>
    <x v="1"/>
    <n v="2.0841983429204125E-2"/>
  </r>
  <r>
    <x v="6"/>
    <x v="1"/>
    <x v="0"/>
    <x v="2"/>
    <x v="2"/>
    <x v="0"/>
    <x v="0"/>
    <x v="1"/>
    <x v="2"/>
    <x v="9"/>
    <n v="1"/>
    <n v="2"/>
    <n v="0"/>
    <m/>
    <x v="1"/>
    <n v="0.4684944786219789"/>
  </r>
  <r>
    <x v="17"/>
    <x v="1"/>
    <x v="0"/>
    <x v="0"/>
    <x v="2"/>
    <x v="0"/>
    <x v="0"/>
    <x v="0"/>
    <x v="0"/>
    <x v="8"/>
    <n v="2"/>
    <n v="2"/>
    <n v="0"/>
    <n v="2"/>
    <x v="0"/>
    <n v="0.18765650481069013"/>
  </r>
  <r>
    <x v="9"/>
    <x v="1"/>
    <x v="1"/>
    <x v="0"/>
    <x v="2"/>
    <x v="0"/>
    <x v="1"/>
    <x v="0"/>
    <x v="1"/>
    <x v="7"/>
    <n v="3"/>
    <n v="3"/>
    <n v="0"/>
    <n v="3"/>
    <x v="0"/>
    <n v="6.5659479922773337E-2"/>
  </r>
  <r>
    <x v="3"/>
    <x v="1"/>
    <x v="1"/>
    <x v="2"/>
    <x v="1"/>
    <x v="0"/>
    <x v="0"/>
    <x v="1"/>
    <x v="0"/>
    <x v="8"/>
    <n v="3"/>
    <n v="6"/>
    <n v="0"/>
    <m/>
    <x v="1"/>
    <n v="0.52398871478106568"/>
  </r>
  <r>
    <x v="2"/>
    <x v="0"/>
    <x v="0"/>
    <x v="0"/>
    <x v="0"/>
    <x v="0"/>
    <x v="1"/>
    <x v="1"/>
    <x v="2"/>
    <x v="0"/>
    <n v="1"/>
    <n v="1"/>
    <n v="0"/>
    <m/>
    <x v="1"/>
    <n v="4.7244914771732829E-2"/>
  </r>
  <r>
    <x v="5"/>
    <x v="0"/>
    <x v="0"/>
    <x v="0"/>
    <x v="2"/>
    <x v="0"/>
    <x v="1"/>
    <x v="0"/>
    <x v="1"/>
    <x v="5"/>
    <n v="1"/>
    <n v="1"/>
    <n v="0"/>
    <n v="1"/>
    <x v="0"/>
    <n v="2.0865309424357978E-2"/>
  </r>
  <r>
    <x v="14"/>
    <x v="1"/>
    <x v="1"/>
    <x v="2"/>
    <x v="1"/>
    <x v="0"/>
    <x v="0"/>
    <x v="1"/>
    <x v="0"/>
    <x v="8"/>
    <n v="2"/>
    <n v="2"/>
    <n v="0"/>
    <m/>
    <x v="1"/>
    <n v="0.17466290492702188"/>
  </r>
  <r>
    <x v="9"/>
    <x v="1"/>
    <x v="1"/>
    <x v="0"/>
    <x v="0"/>
    <x v="1"/>
    <x v="0"/>
    <x v="0"/>
    <x v="1"/>
    <x v="3"/>
    <n v="2"/>
    <n v="2"/>
    <n v="0"/>
    <n v="2"/>
    <x v="0"/>
    <n v="0.11930345952328165"/>
  </r>
  <r>
    <x v="14"/>
    <x v="0"/>
    <x v="0"/>
    <x v="0"/>
    <x v="3"/>
    <x v="0"/>
    <x v="0"/>
    <x v="1"/>
    <x v="0"/>
    <x v="8"/>
    <n v="2"/>
    <n v="2"/>
    <n v="0"/>
    <m/>
    <x v="1"/>
    <n v="0.16978784771798305"/>
  </r>
  <r>
    <x v="16"/>
    <x v="0"/>
    <x v="0"/>
    <x v="1"/>
    <x v="2"/>
    <x v="0"/>
    <x v="0"/>
    <x v="1"/>
    <x v="1"/>
    <x v="5"/>
    <n v="1"/>
    <n v="1"/>
    <n v="0"/>
    <m/>
    <x v="1"/>
    <n v="2.0129311329445246E-2"/>
  </r>
  <r>
    <x v="1"/>
    <x v="0"/>
    <x v="1"/>
    <x v="1"/>
    <x v="0"/>
    <x v="0"/>
    <x v="1"/>
    <x v="1"/>
    <x v="0"/>
    <x v="6"/>
    <n v="1"/>
    <n v="1"/>
    <n v="0"/>
    <n v="1"/>
    <x v="0"/>
    <n v="6.9455315248842728E-3"/>
  </r>
  <r>
    <x v="8"/>
    <x v="0"/>
    <x v="0"/>
    <x v="1"/>
    <x v="1"/>
    <x v="1"/>
    <x v="0"/>
    <x v="1"/>
    <x v="1"/>
    <x v="4"/>
    <n v="5"/>
    <n v="6"/>
    <n v="0"/>
    <m/>
    <x v="1"/>
    <n v="0.23574703877313608"/>
  </r>
  <r>
    <x v="9"/>
    <x v="1"/>
    <x v="0"/>
    <x v="1"/>
    <x v="0"/>
    <x v="0"/>
    <x v="0"/>
    <x v="1"/>
    <x v="2"/>
    <x v="1"/>
    <n v="2"/>
    <n v="2"/>
    <n v="0"/>
    <n v="2"/>
    <x v="0"/>
    <n v="0.13480572126111875"/>
  </r>
  <r>
    <x v="3"/>
    <x v="1"/>
    <x v="0"/>
    <x v="1"/>
    <x v="2"/>
    <x v="0"/>
    <x v="1"/>
    <x v="1"/>
    <x v="0"/>
    <x v="7"/>
    <n v="1"/>
    <n v="1"/>
    <n v="0"/>
    <m/>
    <x v="1"/>
    <n v="2.1855094877283671E-2"/>
  </r>
  <r>
    <x v="15"/>
    <x v="0"/>
    <x v="0"/>
    <x v="1"/>
    <x v="2"/>
    <x v="0"/>
    <x v="0"/>
    <x v="1"/>
    <x v="1"/>
    <x v="5"/>
    <n v="1"/>
    <n v="1"/>
    <n v="0"/>
    <n v="1"/>
    <x v="0"/>
    <n v="2.0129311329445246E-2"/>
  </r>
  <r>
    <x v="6"/>
    <x v="1"/>
    <x v="0"/>
    <x v="0"/>
    <x v="2"/>
    <x v="0"/>
    <x v="0"/>
    <x v="0"/>
    <x v="0"/>
    <x v="8"/>
    <n v="1"/>
    <n v="1"/>
    <n v="0"/>
    <m/>
    <x v="1"/>
    <n v="9.3828252405345064E-2"/>
  </r>
  <r>
    <x v="7"/>
    <x v="0"/>
    <x v="0"/>
    <x v="1"/>
    <x v="2"/>
    <x v="0"/>
    <x v="0"/>
    <x v="1"/>
    <x v="2"/>
    <x v="1"/>
    <n v="1"/>
    <n v="1"/>
    <n v="0"/>
    <m/>
    <x v="1"/>
    <n v="6.5548751803400848E-2"/>
  </r>
  <r>
    <x v="7"/>
    <x v="0"/>
    <x v="0"/>
    <x v="1"/>
    <x v="3"/>
    <x v="1"/>
    <x v="0"/>
    <x v="0"/>
    <x v="2"/>
    <x v="9"/>
    <n v="1"/>
    <n v="1"/>
    <n v="0"/>
    <m/>
    <x v="1"/>
    <n v="0.15755800253898447"/>
  </r>
  <r>
    <x v="15"/>
    <x v="1"/>
    <x v="1"/>
    <x v="0"/>
    <x v="0"/>
    <x v="0"/>
    <x v="0"/>
    <x v="0"/>
    <x v="0"/>
    <x v="0"/>
    <n v="1"/>
    <n v="1"/>
    <n v="0"/>
    <n v="1"/>
    <x v="0"/>
    <n v="4.6715526092825782E-2"/>
  </r>
  <r>
    <x v="5"/>
    <x v="1"/>
    <x v="0"/>
    <x v="0"/>
    <x v="0"/>
    <x v="1"/>
    <x v="1"/>
    <x v="0"/>
    <x v="1"/>
    <x v="4"/>
    <n v="1"/>
    <n v="1"/>
    <n v="0"/>
    <n v="1"/>
    <x v="0"/>
    <n v="4.1425033735772165E-2"/>
  </r>
  <r>
    <x v="3"/>
    <x v="0"/>
    <x v="1"/>
    <x v="0"/>
    <x v="0"/>
    <x v="1"/>
    <x v="0"/>
    <x v="0"/>
    <x v="1"/>
    <x v="4"/>
    <n v="4"/>
    <n v="4"/>
    <n v="0"/>
    <m/>
    <x v="1"/>
    <n v="0.16106898537534534"/>
  </r>
  <r>
    <x v="19"/>
    <x v="1"/>
    <x v="0"/>
    <x v="0"/>
    <x v="2"/>
    <x v="0"/>
    <x v="0"/>
    <x v="0"/>
    <x v="1"/>
    <x v="3"/>
    <n v="1"/>
    <n v="2"/>
    <n v="0"/>
    <m/>
    <x v="1"/>
    <n v="0.12751440765872871"/>
  </r>
  <r>
    <x v="4"/>
    <x v="1"/>
    <x v="0"/>
    <x v="0"/>
    <x v="3"/>
    <x v="0"/>
    <x v="0"/>
    <x v="1"/>
    <x v="1"/>
    <x v="8"/>
    <n v="1"/>
    <n v="1"/>
    <n v="0"/>
    <m/>
    <x v="1"/>
    <n v="8.4456755045901957E-2"/>
  </r>
  <r>
    <x v="2"/>
    <x v="1"/>
    <x v="1"/>
    <x v="2"/>
    <x v="0"/>
    <x v="1"/>
    <x v="0"/>
    <x v="0"/>
    <x v="1"/>
    <x v="1"/>
    <n v="1"/>
    <n v="2"/>
    <n v="0"/>
    <m/>
    <x v="1"/>
    <n v="0.15404674317290865"/>
  </r>
  <r>
    <x v="20"/>
    <x v="0"/>
    <x v="1"/>
    <x v="0"/>
    <x v="0"/>
    <x v="0"/>
    <x v="0"/>
    <x v="0"/>
    <x v="0"/>
    <x v="4"/>
    <n v="4"/>
    <n v="4"/>
    <n v="0"/>
    <n v="4"/>
    <x v="0"/>
    <n v="0.12557782849501686"/>
  </r>
  <r>
    <x v="5"/>
    <x v="1"/>
    <x v="1"/>
    <x v="2"/>
    <x v="0"/>
    <x v="1"/>
    <x v="1"/>
    <x v="1"/>
    <x v="1"/>
    <x v="4"/>
    <n v="1"/>
    <n v="1"/>
    <n v="0"/>
    <n v="1"/>
    <x v="0"/>
    <n v="3.7982968009771363E-2"/>
  </r>
  <r>
    <x v="9"/>
    <x v="0"/>
    <x v="1"/>
    <x v="2"/>
    <x v="2"/>
    <x v="0"/>
    <x v="1"/>
    <x v="1"/>
    <x v="0"/>
    <x v="7"/>
    <n v="1"/>
    <n v="1"/>
    <n v="0"/>
    <n v="1"/>
    <x v="0"/>
    <n v="2.8751752763928138E-2"/>
  </r>
  <r>
    <x v="3"/>
    <x v="1"/>
    <x v="0"/>
    <x v="2"/>
    <x v="3"/>
    <x v="1"/>
    <x v="0"/>
    <x v="1"/>
    <x v="2"/>
    <x v="9"/>
    <n v="1"/>
    <n v="2"/>
    <n v="0"/>
    <m/>
    <x v="1"/>
    <n v="0.89843734259705377"/>
  </r>
  <r>
    <x v="7"/>
    <x v="0"/>
    <x v="1"/>
    <x v="0"/>
    <x v="0"/>
    <x v="0"/>
    <x v="0"/>
    <x v="0"/>
    <x v="2"/>
    <x v="1"/>
    <n v="2"/>
    <n v="2"/>
    <n v="0"/>
    <m/>
    <x v="1"/>
    <n v="0.1357021175431819"/>
  </r>
  <r>
    <x v="17"/>
    <x v="1"/>
    <x v="0"/>
    <x v="0"/>
    <x v="3"/>
    <x v="1"/>
    <x v="1"/>
    <x v="1"/>
    <x v="2"/>
    <x v="9"/>
    <n v="1"/>
    <n v="3"/>
    <n v="0"/>
    <n v="1"/>
    <x v="0"/>
    <n v="0.68040507607243506"/>
  </r>
  <r>
    <x v="16"/>
    <x v="1"/>
    <x v="0"/>
    <x v="2"/>
    <x v="0"/>
    <x v="0"/>
    <x v="1"/>
    <x v="1"/>
    <x v="0"/>
    <x v="2"/>
    <n v="1"/>
    <n v="1"/>
    <n v="0"/>
    <m/>
    <x v="1"/>
    <n v="4.2069997453546046E-2"/>
  </r>
  <r>
    <x v="20"/>
    <x v="0"/>
    <x v="1"/>
    <x v="1"/>
    <x v="2"/>
    <x v="0"/>
    <x v="1"/>
    <x v="1"/>
    <x v="1"/>
    <x v="6"/>
    <n v="1"/>
    <n v="3"/>
    <n v="0"/>
    <n v="1"/>
    <x v="0"/>
    <n v="2.0114345439492583E-2"/>
  </r>
  <r>
    <x v="0"/>
    <x v="0"/>
    <x v="1"/>
    <x v="0"/>
    <x v="2"/>
    <x v="1"/>
    <x v="0"/>
    <x v="0"/>
    <x v="0"/>
    <x v="8"/>
    <n v="2"/>
    <n v="2"/>
    <n v="0"/>
    <n v="2"/>
    <x v="0"/>
    <n v="0.17120094765474353"/>
  </r>
  <r>
    <x v="9"/>
    <x v="0"/>
    <x v="1"/>
    <x v="0"/>
    <x v="2"/>
    <x v="1"/>
    <x v="0"/>
    <x v="0"/>
    <x v="0"/>
    <x v="8"/>
    <n v="2"/>
    <n v="2"/>
    <n v="0"/>
    <n v="2"/>
    <x v="0"/>
    <n v="0.17120094765474353"/>
  </r>
  <r>
    <x v="14"/>
    <x v="0"/>
    <x v="0"/>
    <x v="0"/>
    <x v="2"/>
    <x v="0"/>
    <x v="1"/>
    <x v="0"/>
    <x v="0"/>
    <x v="4"/>
    <n v="1"/>
    <n v="1"/>
    <n v="0"/>
    <m/>
    <x v="1"/>
    <n v="3.1384565006669626E-2"/>
  </r>
  <r>
    <x v="16"/>
    <x v="1"/>
    <x v="0"/>
    <x v="1"/>
    <x v="1"/>
    <x v="0"/>
    <x v="0"/>
    <x v="1"/>
    <x v="0"/>
    <x v="0"/>
    <n v="2"/>
    <n v="2"/>
    <n v="0"/>
    <m/>
    <x v="1"/>
    <n v="9.1181144791481414E-2"/>
  </r>
  <r>
    <x v="13"/>
    <x v="1"/>
    <x v="0"/>
    <x v="2"/>
    <x v="0"/>
    <x v="0"/>
    <x v="0"/>
    <x v="0"/>
    <x v="1"/>
    <x v="0"/>
    <n v="1"/>
    <n v="1"/>
    <n v="0"/>
    <m/>
    <x v="1"/>
    <n v="5.7536894305784736E-2"/>
  </r>
  <r>
    <x v="9"/>
    <x v="1"/>
    <x v="1"/>
    <x v="2"/>
    <x v="2"/>
    <x v="0"/>
    <x v="0"/>
    <x v="0"/>
    <x v="2"/>
    <x v="9"/>
    <n v="1"/>
    <n v="1"/>
    <n v="1"/>
    <n v="1"/>
    <x v="0"/>
    <n v="0.17522405795301016"/>
  </r>
  <r>
    <x v="1"/>
    <x v="0"/>
    <x v="0"/>
    <x v="1"/>
    <x v="2"/>
    <x v="0"/>
    <x v="0"/>
    <x v="1"/>
    <x v="1"/>
    <x v="5"/>
    <n v="4"/>
    <n v="4"/>
    <n v="0"/>
    <n v="4"/>
    <x v="0"/>
    <n v="8.0517245317780983E-2"/>
  </r>
  <r>
    <x v="20"/>
    <x v="1"/>
    <x v="1"/>
    <x v="2"/>
    <x v="2"/>
    <x v="0"/>
    <x v="1"/>
    <x v="1"/>
    <x v="0"/>
    <x v="2"/>
    <n v="1"/>
    <n v="1"/>
    <n v="0"/>
    <n v="1"/>
    <x v="0"/>
    <n v="4.2840174936451855E-2"/>
  </r>
  <r>
    <x v="4"/>
    <x v="1"/>
    <x v="0"/>
    <x v="1"/>
    <x v="0"/>
    <x v="0"/>
    <x v="0"/>
    <x v="0"/>
    <x v="0"/>
    <x v="4"/>
    <n v="1"/>
    <n v="1"/>
    <n v="0"/>
    <m/>
    <x v="1"/>
    <n v="3.1179022325415869E-2"/>
  </r>
  <r>
    <x v="11"/>
    <x v="0"/>
    <x v="1"/>
    <x v="2"/>
    <x v="1"/>
    <x v="1"/>
    <x v="0"/>
    <x v="1"/>
    <x v="1"/>
    <x v="1"/>
    <n v="2"/>
    <n v="3"/>
    <n v="0"/>
    <m/>
    <x v="1"/>
    <n v="0.22716649774048389"/>
  </r>
  <r>
    <x v="21"/>
    <x v="0"/>
    <x v="0"/>
    <x v="0"/>
    <x v="0"/>
    <x v="1"/>
    <x v="1"/>
    <x v="1"/>
    <x v="1"/>
    <x v="7"/>
    <n v="1"/>
    <n v="1"/>
    <n v="0"/>
    <m/>
    <x v="1"/>
    <n v="2.7788483854578296E-2"/>
  </r>
  <r>
    <x v="10"/>
    <x v="0"/>
    <x v="0"/>
    <x v="1"/>
    <x v="1"/>
    <x v="1"/>
    <x v="0"/>
    <x v="1"/>
    <x v="0"/>
    <x v="0"/>
    <n v="1"/>
    <n v="1"/>
    <n v="0"/>
    <m/>
    <x v="1"/>
    <n v="5.8544404469129376E-2"/>
  </r>
  <r>
    <x v="7"/>
    <x v="0"/>
    <x v="1"/>
    <x v="1"/>
    <x v="2"/>
    <x v="1"/>
    <x v="0"/>
    <x v="0"/>
    <x v="2"/>
    <x v="8"/>
    <n v="1"/>
    <n v="1"/>
    <n v="0"/>
    <m/>
    <x v="1"/>
    <n v="8.7496757188836941E-2"/>
  </r>
  <r>
    <x v="9"/>
    <x v="1"/>
    <x v="0"/>
    <x v="0"/>
    <x v="2"/>
    <x v="1"/>
    <x v="0"/>
    <x v="1"/>
    <x v="2"/>
    <x v="9"/>
    <n v="1"/>
    <n v="1"/>
    <n v="0"/>
    <n v="0"/>
    <x v="0"/>
    <n v="0.31398055376811668"/>
  </r>
  <r>
    <x v="15"/>
    <x v="0"/>
    <x v="1"/>
    <x v="0"/>
    <x v="2"/>
    <x v="1"/>
    <x v="0"/>
    <x v="1"/>
    <x v="0"/>
    <x v="8"/>
    <n v="1"/>
    <n v="1"/>
    <n v="0"/>
    <n v="1"/>
    <x v="0"/>
    <n v="8.5600473827371765E-2"/>
  </r>
  <r>
    <x v="0"/>
    <x v="1"/>
    <x v="0"/>
    <x v="0"/>
    <x v="3"/>
    <x v="1"/>
    <x v="0"/>
    <x v="1"/>
    <x v="1"/>
    <x v="9"/>
    <n v="1"/>
    <n v="1"/>
    <n v="0"/>
    <n v="1"/>
    <x v="0"/>
    <n v="0.15366523766540796"/>
  </r>
  <r>
    <x v="3"/>
    <x v="1"/>
    <x v="1"/>
    <x v="2"/>
    <x v="2"/>
    <x v="1"/>
    <x v="1"/>
    <x v="1"/>
    <x v="0"/>
    <x v="1"/>
    <n v="1"/>
    <n v="1"/>
    <n v="0"/>
    <m/>
    <x v="1"/>
    <n v="8.0961475529188184E-2"/>
  </r>
  <r>
    <x v="8"/>
    <x v="1"/>
    <x v="1"/>
    <x v="1"/>
    <x v="1"/>
    <x v="0"/>
    <x v="0"/>
    <x v="1"/>
    <x v="0"/>
    <x v="4"/>
    <n v="1"/>
    <n v="1"/>
    <n v="0"/>
    <m/>
    <x v="1"/>
    <n v="3.2109846912100462E-2"/>
  </r>
  <r>
    <x v="6"/>
    <x v="1"/>
    <x v="1"/>
    <x v="0"/>
    <x v="1"/>
    <x v="1"/>
    <x v="0"/>
    <x v="0"/>
    <x v="0"/>
    <x v="9"/>
    <n v="1"/>
    <n v="1"/>
    <n v="0"/>
    <m/>
    <x v="1"/>
    <n v="0.12523593124339735"/>
  </r>
  <r>
    <x v="3"/>
    <x v="0"/>
    <x v="1"/>
    <x v="1"/>
    <x v="2"/>
    <x v="1"/>
    <x v="0"/>
    <x v="1"/>
    <x v="1"/>
    <x v="7"/>
    <n v="1"/>
    <n v="1"/>
    <n v="0"/>
    <m/>
    <x v="1"/>
    <n v="2.7313833211787753E-2"/>
  </r>
  <r>
    <x v="0"/>
    <x v="0"/>
    <x v="0"/>
    <x v="1"/>
    <x v="1"/>
    <x v="0"/>
    <x v="0"/>
    <x v="1"/>
    <x v="2"/>
    <x v="1"/>
    <n v="1"/>
    <n v="2"/>
    <n v="0"/>
    <n v="1"/>
    <x v="0"/>
    <n v="0.13250502834860911"/>
  </r>
  <r>
    <x v="14"/>
    <x v="0"/>
    <x v="0"/>
    <x v="2"/>
    <x v="0"/>
    <x v="0"/>
    <x v="1"/>
    <x v="1"/>
    <x v="0"/>
    <x v="7"/>
    <n v="1"/>
    <n v="1"/>
    <n v="0"/>
    <m/>
    <x v="1"/>
    <n v="2.8227386446598338E-2"/>
  </r>
  <r>
    <x v="21"/>
    <x v="0"/>
    <x v="1"/>
    <x v="0"/>
    <x v="2"/>
    <x v="0"/>
    <x v="1"/>
    <x v="1"/>
    <x v="2"/>
    <x v="0"/>
    <n v="1"/>
    <n v="1"/>
    <n v="0"/>
    <m/>
    <x v="1"/>
    <n v="4.8105072216363585E-2"/>
  </r>
  <r>
    <x v="1"/>
    <x v="0"/>
    <x v="0"/>
    <x v="1"/>
    <x v="0"/>
    <x v="1"/>
    <x v="1"/>
    <x v="0"/>
    <x v="1"/>
    <x v="6"/>
    <n v="2"/>
    <n v="2"/>
    <n v="0"/>
    <n v="2"/>
    <x v="0"/>
    <n v="2.5737190059625072E-2"/>
  </r>
  <r>
    <x v="21"/>
    <x v="0"/>
    <x v="0"/>
    <x v="0"/>
    <x v="3"/>
    <x v="1"/>
    <x v="0"/>
    <x v="1"/>
    <x v="0"/>
    <x v="9"/>
    <n v="1"/>
    <n v="1"/>
    <n v="0"/>
    <m/>
    <x v="1"/>
    <n v="0.15440023172603565"/>
  </r>
  <r>
    <x v="5"/>
    <x v="0"/>
    <x v="1"/>
    <x v="0"/>
    <x v="2"/>
    <x v="0"/>
    <x v="0"/>
    <x v="0"/>
    <x v="1"/>
    <x v="7"/>
    <n v="2"/>
    <n v="2"/>
    <n v="0"/>
    <n v="2"/>
    <x v="0"/>
    <n v="6.066426167972111E-2"/>
  </r>
  <r>
    <x v="12"/>
    <x v="1"/>
    <x v="0"/>
    <x v="0"/>
    <x v="3"/>
    <x v="0"/>
    <x v="0"/>
    <x v="0"/>
    <x v="1"/>
    <x v="8"/>
    <n v="1"/>
    <n v="1"/>
    <n v="0"/>
    <m/>
    <x v="1"/>
    <n v="8.4456755045901957E-2"/>
  </r>
  <r>
    <x v="19"/>
    <x v="1"/>
    <x v="1"/>
    <x v="0"/>
    <x v="2"/>
    <x v="1"/>
    <x v="1"/>
    <x v="1"/>
    <x v="1"/>
    <x v="2"/>
    <n v="1"/>
    <n v="1"/>
    <n v="0"/>
    <m/>
    <x v="1"/>
    <n v="4.2183923792892507E-2"/>
  </r>
  <r>
    <x v="5"/>
    <x v="0"/>
    <x v="1"/>
    <x v="0"/>
    <x v="3"/>
    <x v="1"/>
    <x v="0"/>
    <x v="0"/>
    <x v="0"/>
    <x v="8"/>
    <n v="1"/>
    <n v="1"/>
    <n v="1"/>
    <n v="1"/>
    <x v="0"/>
    <n v="0.11253926602183867"/>
  </r>
  <r>
    <x v="20"/>
    <x v="0"/>
    <x v="1"/>
    <x v="1"/>
    <x v="2"/>
    <x v="0"/>
    <x v="0"/>
    <x v="1"/>
    <x v="2"/>
    <x v="0"/>
    <n v="2"/>
    <n v="2"/>
    <n v="1"/>
    <n v="2"/>
    <x v="0"/>
    <n v="9.2907622615736166E-2"/>
  </r>
  <r>
    <x v="2"/>
    <x v="0"/>
    <x v="1"/>
    <x v="2"/>
    <x v="1"/>
    <x v="0"/>
    <x v="0"/>
    <x v="1"/>
    <x v="0"/>
    <x v="3"/>
    <n v="2"/>
    <n v="5"/>
    <n v="0"/>
    <m/>
    <x v="1"/>
    <n v="0.29760743995658923"/>
  </r>
  <r>
    <x v="15"/>
    <x v="0"/>
    <x v="0"/>
    <x v="1"/>
    <x v="0"/>
    <x v="0"/>
    <x v="1"/>
    <x v="0"/>
    <x v="0"/>
    <x v="6"/>
    <n v="1"/>
    <n v="1"/>
    <n v="0"/>
    <n v="1"/>
    <x v="0"/>
    <n v="9.9703130635719027E-3"/>
  </r>
  <r>
    <x v="6"/>
    <x v="1"/>
    <x v="1"/>
    <x v="0"/>
    <x v="2"/>
    <x v="0"/>
    <x v="0"/>
    <x v="1"/>
    <x v="2"/>
    <x v="9"/>
    <n v="1"/>
    <n v="1"/>
    <n v="0"/>
    <m/>
    <x v="1"/>
    <n v="0.13904095240248723"/>
  </r>
  <r>
    <x v="10"/>
    <x v="0"/>
    <x v="0"/>
    <x v="0"/>
    <x v="2"/>
    <x v="1"/>
    <x v="0"/>
    <x v="0"/>
    <x v="0"/>
    <x v="8"/>
    <n v="1"/>
    <n v="3"/>
    <n v="0"/>
    <m/>
    <x v="1"/>
    <n v="0.35634676875446636"/>
  </r>
  <r>
    <x v="8"/>
    <x v="1"/>
    <x v="0"/>
    <x v="1"/>
    <x v="0"/>
    <x v="0"/>
    <x v="0"/>
    <x v="0"/>
    <x v="1"/>
    <x v="5"/>
    <n v="2"/>
    <n v="3"/>
    <n v="0"/>
    <m/>
    <x v="1"/>
    <n v="6.2181554602239335E-2"/>
  </r>
  <r>
    <x v="6"/>
    <x v="1"/>
    <x v="0"/>
    <x v="1"/>
    <x v="1"/>
    <x v="0"/>
    <x v="0"/>
    <x v="1"/>
    <x v="0"/>
    <x v="0"/>
    <n v="1"/>
    <n v="2"/>
    <n v="0"/>
    <m/>
    <x v="1"/>
    <n v="9.1181144791481414E-2"/>
  </r>
  <r>
    <x v="10"/>
    <x v="1"/>
    <x v="0"/>
    <x v="0"/>
    <x v="2"/>
    <x v="1"/>
    <x v="0"/>
    <x v="1"/>
    <x v="0"/>
    <x v="9"/>
    <n v="1"/>
    <n v="1"/>
    <n v="0"/>
    <m/>
    <x v="1"/>
    <n v="0.1692962067399281"/>
  </r>
  <r>
    <x v="16"/>
    <x v="0"/>
    <x v="1"/>
    <x v="0"/>
    <x v="3"/>
    <x v="0"/>
    <x v="1"/>
    <x v="1"/>
    <x v="0"/>
    <x v="7"/>
    <n v="1"/>
    <n v="1"/>
    <n v="0"/>
    <m/>
    <x v="1"/>
    <n v="2.9580852115696006E-2"/>
  </r>
  <r>
    <x v="17"/>
    <x v="0"/>
    <x v="0"/>
    <x v="0"/>
    <x v="3"/>
    <x v="0"/>
    <x v="1"/>
    <x v="0"/>
    <x v="2"/>
    <x v="8"/>
    <n v="1"/>
    <n v="1"/>
    <n v="0"/>
    <n v="1"/>
    <x v="0"/>
    <n v="8.9725737736983821E-2"/>
  </r>
  <r>
    <x v="2"/>
    <x v="0"/>
    <x v="0"/>
    <x v="1"/>
    <x v="2"/>
    <x v="0"/>
    <x v="1"/>
    <x v="0"/>
    <x v="1"/>
    <x v="6"/>
    <n v="1"/>
    <n v="1"/>
    <n v="0"/>
    <m/>
    <x v="1"/>
    <n v="9.6257330475760985E-3"/>
  </r>
  <r>
    <x v="5"/>
    <x v="0"/>
    <x v="0"/>
    <x v="1"/>
    <x v="2"/>
    <x v="0"/>
    <x v="1"/>
    <x v="1"/>
    <x v="1"/>
    <x v="6"/>
    <n v="1"/>
    <n v="1"/>
    <n v="0"/>
    <n v="1"/>
    <x v="0"/>
    <n v="9.6257330475760985E-3"/>
  </r>
  <r>
    <x v="22"/>
    <x v="1"/>
    <x v="0"/>
    <x v="1"/>
    <x v="2"/>
    <x v="0"/>
    <x v="0"/>
    <x v="1"/>
    <x v="1"/>
    <x v="7"/>
    <n v="1"/>
    <n v="1"/>
    <n v="0"/>
    <n v="1"/>
    <x v="0"/>
    <n v="3.012375921220177E-2"/>
  </r>
  <r>
    <x v="15"/>
    <x v="1"/>
    <x v="0"/>
    <x v="2"/>
    <x v="3"/>
    <x v="1"/>
    <x v="0"/>
    <x v="1"/>
    <x v="0"/>
    <x v="9"/>
    <n v="1"/>
    <n v="2"/>
    <n v="0"/>
    <n v="1"/>
    <x v="0"/>
    <n v="0.53283456137155227"/>
  </r>
  <r>
    <x v="4"/>
    <x v="1"/>
    <x v="0"/>
    <x v="0"/>
    <x v="2"/>
    <x v="1"/>
    <x v="0"/>
    <x v="0"/>
    <x v="2"/>
    <x v="9"/>
    <n v="2"/>
    <n v="2"/>
    <n v="0"/>
    <m/>
    <x v="1"/>
    <n v="0.62796110753623335"/>
  </r>
  <r>
    <x v="10"/>
    <x v="0"/>
    <x v="0"/>
    <x v="1"/>
    <x v="2"/>
    <x v="1"/>
    <x v="0"/>
    <x v="0"/>
    <x v="0"/>
    <x v="0"/>
    <n v="1"/>
    <n v="1"/>
    <n v="0"/>
    <m/>
    <x v="1"/>
    <n v="5.7917442228855184E-2"/>
  </r>
  <r>
    <x v="18"/>
    <x v="0"/>
    <x v="0"/>
    <x v="0"/>
    <x v="2"/>
    <x v="0"/>
    <x v="1"/>
    <x v="1"/>
    <x v="0"/>
    <x v="4"/>
    <n v="1"/>
    <n v="1"/>
    <n v="0"/>
    <m/>
    <x v="1"/>
    <n v="3.1384565006669626E-2"/>
  </r>
  <r>
    <x v="9"/>
    <x v="1"/>
    <x v="0"/>
    <x v="0"/>
    <x v="3"/>
    <x v="1"/>
    <x v="0"/>
    <x v="0"/>
    <x v="2"/>
    <x v="9"/>
    <n v="1"/>
    <n v="1"/>
    <n v="0"/>
    <n v="1"/>
    <x v="0"/>
    <n v="0.38271027807477309"/>
  </r>
  <r>
    <x v="8"/>
    <x v="1"/>
    <x v="1"/>
    <x v="0"/>
    <x v="0"/>
    <x v="0"/>
    <x v="1"/>
    <x v="0"/>
    <x v="0"/>
    <x v="7"/>
    <n v="1"/>
    <n v="1"/>
    <n v="0"/>
    <m/>
    <x v="1"/>
    <n v="2.2659939205773683E-2"/>
  </r>
  <r>
    <x v="21"/>
    <x v="1"/>
    <x v="1"/>
    <x v="2"/>
    <x v="0"/>
    <x v="0"/>
    <x v="0"/>
    <x v="0"/>
    <x v="1"/>
    <x v="4"/>
    <n v="1"/>
    <n v="1"/>
    <n v="0"/>
    <m/>
    <x v="1"/>
    <n v="4.0674290026531716E-2"/>
  </r>
  <r>
    <x v="19"/>
    <x v="0"/>
    <x v="1"/>
    <x v="0"/>
    <x v="2"/>
    <x v="1"/>
    <x v="0"/>
    <x v="1"/>
    <x v="0"/>
    <x v="8"/>
    <n v="1"/>
    <n v="2"/>
    <n v="0"/>
    <m/>
    <x v="1"/>
    <n v="0.17120094765474353"/>
  </r>
  <r>
    <x v="15"/>
    <x v="0"/>
    <x v="1"/>
    <x v="0"/>
    <x v="1"/>
    <x v="1"/>
    <x v="0"/>
    <x v="1"/>
    <x v="0"/>
    <x v="8"/>
    <n v="1"/>
    <n v="1"/>
    <n v="0"/>
    <n v="1"/>
    <x v="0"/>
    <n v="8.6499592639521644E-2"/>
  </r>
  <r>
    <x v="17"/>
    <x v="0"/>
    <x v="0"/>
    <x v="2"/>
    <x v="2"/>
    <x v="0"/>
    <x v="0"/>
    <x v="1"/>
    <x v="1"/>
    <x v="0"/>
    <n v="1"/>
    <n v="1"/>
    <n v="0"/>
    <n v="1"/>
    <x v="0"/>
    <n v="5.5937898870790044E-2"/>
  </r>
  <r>
    <x v="17"/>
    <x v="0"/>
    <x v="0"/>
    <x v="2"/>
    <x v="2"/>
    <x v="1"/>
    <x v="1"/>
    <x v="1"/>
    <x v="1"/>
    <x v="0"/>
    <n v="1"/>
    <n v="1"/>
    <n v="0"/>
    <n v="1"/>
    <x v="0"/>
    <n v="5.2291671314483069E-2"/>
  </r>
  <r>
    <x v="20"/>
    <x v="0"/>
    <x v="1"/>
    <x v="1"/>
    <x v="0"/>
    <x v="0"/>
    <x v="1"/>
    <x v="0"/>
    <x v="2"/>
    <x v="5"/>
    <n v="1"/>
    <n v="1"/>
    <n v="0"/>
    <n v="1"/>
    <x v="0"/>
    <n v="1.5464261787653045E-2"/>
  </r>
  <r>
    <x v="6"/>
    <x v="1"/>
    <x v="1"/>
    <x v="2"/>
    <x v="1"/>
    <x v="0"/>
    <x v="0"/>
    <x v="1"/>
    <x v="2"/>
    <x v="9"/>
    <n v="1"/>
    <n v="1"/>
    <n v="0"/>
    <m/>
    <x v="1"/>
    <n v="0.17688245213181047"/>
  </r>
  <r>
    <x v="15"/>
    <x v="0"/>
    <x v="0"/>
    <x v="1"/>
    <x v="0"/>
    <x v="0"/>
    <x v="0"/>
    <x v="0"/>
    <x v="0"/>
    <x v="5"/>
    <n v="2"/>
    <n v="2"/>
    <n v="0"/>
    <n v="2"/>
    <x v="0"/>
    <n v="4.168396685840825E-2"/>
  </r>
  <r>
    <x v="17"/>
    <x v="0"/>
    <x v="1"/>
    <x v="1"/>
    <x v="0"/>
    <x v="1"/>
    <x v="0"/>
    <x v="0"/>
    <x v="1"/>
    <x v="5"/>
    <n v="1"/>
    <n v="1"/>
    <n v="0"/>
    <n v="1"/>
    <x v="0"/>
    <n v="1.8776796462310515E-2"/>
  </r>
  <r>
    <x v="9"/>
    <x v="1"/>
    <x v="0"/>
    <x v="0"/>
    <x v="2"/>
    <x v="0"/>
    <x v="1"/>
    <x v="0"/>
    <x v="0"/>
    <x v="0"/>
    <n v="1"/>
    <n v="1"/>
    <n v="0"/>
    <n v="1"/>
    <x v="0"/>
    <n v="4.6701039199944734E-2"/>
  </r>
  <r>
    <x v="8"/>
    <x v="1"/>
    <x v="1"/>
    <x v="2"/>
    <x v="1"/>
    <x v="0"/>
    <x v="0"/>
    <x v="1"/>
    <x v="2"/>
    <x v="9"/>
    <n v="1"/>
    <n v="2"/>
    <n v="0"/>
    <m/>
    <x v="1"/>
    <n v="0.35376490426362095"/>
  </r>
  <r>
    <x v="19"/>
    <x v="1"/>
    <x v="0"/>
    <x v="0"/>
    <x v="0"/>
    <x v="1"/>
    <x v="0"/>
    <x v="1"/>
    <x v="1"/>
    <x v="1"/>
    <n v="1"/>
    <n v="1"/>
    <n v="0"/>
    <m/>
    <x v="1"/>
    <n v="8.3695532436182302E-2"/>
  </r>
  <r>
    <x v="11"/>
    <x v="1"/>
    <x v="0"/>
    <x v="2"/>
    <x v="0"/>
    <x v="0"/>
    <x v="0"/>
    <x v="0"/>
    <x v="2"/>
    <x v="9"/>
    <n v="1"/>
    <n v="2"/>
    <n v="0"/>
    <m/>
    <x v="1"/>
    <n v="0.34500564574730752"/>
  </r>
  <r>
    <x v="3"/>
    <x v="0"/>
    <x v="0"/>
    <x v="0"/>
    <x v="3"/>
    <x v="0"/>
    <x v="0"/>
    <x v="1"/>
    <x v="2"/>
    <x v="9"/>
    <n v="2"/>
    <n v="2"/>
    <n v="0"/>
    <m/>
    <x v="1"/>
    <n v="0.34483527205385262"/>
  </r>
  <r>
    <x v="16"/>
    <x v="1"/>
    <x v="1"/>
    <x v="2"/>
    <x v="2"/>
    <x v="1"/>
    <x v="0"/>
    <x v="1"/>
    <x v="0"/>
    <x v="9"/>
    <n v="1"/>
    <n v="1"/>
    <n v="0"/>
    <m/>
    <x v="1"/>
    <n v="0.15696901095540433"/>
  </r>
  <r>
    <x v="8"/>
    <x v="1"/>
    <x v="1"/>
    <x v="2"/>
    <x v="0"/>
    <x v="1"/>
    <x v="0"/>
    <x v="0"/>
    <x v="1"/>
    <x v="1"/>
    <n v="1"/>
    <n v="1"/>
    <n v="0"/>
    <m/>
    <x v="1"/>
    <n v="7.7023371586454323E-2"/>
  </r>
  <r>
    <x v="10"/>
    <x v="0"/>
    <x v="0"/>
    <x v="1"/>
    <x v="1"/>
    <x v="0"/>
    <x v="0"/>
    <x v="1"/>
    <x v="2"/>
    <x v="1"/>
    <n v="1"/>
    <n v="1"/>
    <n v="0"/>
    <m/>
    <x v="1"/>
    <n v="6.6252514174304555E-2"/>
  </r>
  <r>
    <x v="1"/>
    <x v="0"/>
    <x v="0"/>
    <x v="0"/>
    <x v="0"/>
    <x v="1"/>
    <x v="0"/>
    <x v="1"/>
    <x v="2"/>
    <x v="9"/>
    <n v="1"/>
    <n v="1"/>
    <n v="0"/>
    <n v="1"/>
    <x v="0"/>
    <n v="0.1710116934768498"/>
  </r>
  <r>
    <x v="0"/>
    <x v="1"/>
    <x v="0"/>
    <x v="0"/>
    <x v="3"/>
    <x v="1"/>
    <x v="0"/>
    <x v="1"/>
    <x v="0"/>
    <x v="9"/>
    <n v="2"/>
    <n v="2"/>
    <n v="0"/>
    <n v="2"/>
    <x v="0"/>
    <n v="0.43268518706094106"/>
  </r>
  <r>
    <x v="20"/>
    <x v="1"/>
    <x v="1"/>
    <x v="2"/>
    <x v="1"/>
    <x v="0"/>
    <x v="0"/>
    <x v="1"/>
    <x v="2"/>
    <x v="9"/>
    <n v="2"/>
    <n v="2"/>
    <n v="1"/>
    <n v="2"/>
    <x v="0"/>
    <n v="0.35376490426362095"/>
  </r>
  <r>
    <x v="18"/>
    <x v="0"/>
    <x v="0"/>
    <x v="0"/>
    <x v="1"/>
    <x v="1"/>
    <x v="0"/>
    <x v="1"/>
    <x v="2"/>
    <x v="9"/>
    <n v="2"/>
    <n v="3"/>
    <n v="0"/>
    <m/>
    <x v="1"/>
    <n v="0.70325341233215499"/>
  </r>
  <r>
    <x v="1"/>
    <x v="0"/>
    <x v="1"/>
    <x v="1"/>
    <x v="3"/>
    <x v="1"/>
    <x v="1"/>
    <x v="1"/>
    <x v="2"/>
    <x v="0"/>
    <n v="1"/>
    <n v="1"/>
    <n v="0"/>
    <n v="1"/>
    <x v="0"/>
    <n v="5.7895610645053275E-2"/>
  </r>
  <r>
    <x v="0"/>
    <x v="1"/>
    <x v="1"/>
    <x v="2"/>
    <x v="2"/>
    <x v="1"/>
    <x v="0"/>
    <x v="0"/>
    <x v="1"/>
    <x v="8"/>
    <n v="1"/>
    <n v="1"/>
    <n v="0"/>
    <n v="1"/>
    <x v="0"/>
    <n v="0.10909826649368773"/>
  </r>
  <r>
    <x v="17"/>
    <x v="1"/>
    <x v="1"/>
    <x v="1"/>
    <x v="2"/>
    <x v="1"/>
    <x v="0"/>
    <x v="1"/>
    <x v="1"/>
    <x v="4"/>
    <n v="1"/>
    <n v="1"/>
    <n v="0"/>
    <m/>
    <x v="0"/>
    <n v="4.0727216848803351E-2"/>
  </r>
  <r>
    <x v="19"/>
    <x v="0"/>
    <x v="1"/>
    <x v="1"/>
    <x v="0"/>
    <x v="0"/>
    <x v="0"/>
    <x v="0"/>
    <x v="1"/>
    <x v="6"/>
    <n v="2"/>
    <n v="2"/>
    <n v="0"/>
    <m/>
    <x v="1"/>
    <n v="1.9257670326452481E-2"/>
  </r>
  <r>
    <x v="11"/>
    <x v="1"/>
    <x v="0"/>
    <x v="2"/>
    <x v="3"/>
    <x v="1"/>
    <x v="0"/>
    <x v="1"/>
    <x v="0"/>
    <x v="9"/>
    <n v="1"/>
    <n v="1"/>
    <n v="0"/>
    <m/>
    <x v="1"/>
    <n v="0.26641728068577614"/>
  </r>
  <r>
    <x v="11"/>
    <x v="0"/>
    <x v="0"/>
    <x v="2"/>
    <x v="3"/>
    <x v="0"/>
    <x v="0"/>
    <x v="0"/>
    <x v="2"/>
    <x v="9"/>
    <n v="1"/>
    <n v="1"/>
    <n v="0"/>
    <m/>
    <x v="1"/>
    <n v="0.21511628420770765"/>
  </r>
  <r>
    <x v="12"/>
    <x v="1"/>
    <x v="1"/>
    <x v="1"/>
    <x v="0"/>
    <x v="0"/>
    <x v="0"/>
    <x v="0"/>
    <x v="1"/>
    <x v="6"/>
    <n v="1"/>
    <n v="1"/>
    <n v="0"/>
    <m/>
    <x v="1"/>
    <n v="1.4486748808385878E-2"/>
  </r>
  <r>
    <x v="10"/>
    <x v="1"/>
    <x v="1"/>
    <x v="2"/>
    <x v="0"/>
    <x v="0"/>
    <x v="1"/>
    <x v="1"/>
    <x v="1"/>
    <x v="5"/>
    <n v="2"/>
    <n v="2"/>
    <n v="0"/>
    <m/>
    <x v="1"/>
    <n v="3.9330778607370831E-2"/>
  </r>
  <r>
    <x v="9"/>
    <x v="0"/>
    <x v="1"/>
    <x v="1"/>
    <x v="2"/>
    <x v="1"/>
    <x v="1"/>
    <x v="1"/>
    <x v="2"/>
    <x v="2"/>
    <n v="1"/>
    <n v="1"/>
    <n v="0"/>
    <n v="1"/>
    <x v="0"/>
    <n v="4.339737152735889E-2"/>
  </r>
  <r>
    <x v="9"/>
    <x v="1"/>
    <x v="0"/>
    <x v="0"/>
    <x v="3"/>
    <x v="1"/>
    <x v="0"/>
    <x v="1"/>
    <x v="1"/>
    <x v="9"/>
    <n v="1"/>
    <n v="1"/>
    <n v="0"/>
    <n v="1"/>
    <x v="0"/>
    <n v="0.15366523766540796"/>
  </r>
  <r>
    <x v="13"/>
    <x v="0"/>
    <x v="0"/>
    <x v="2"/>
    <x v="2"/>
    <x v="0"/>
    <x v="0"/>
    <x v="1"/>
    <x v="2"/>
    <x v="9"/>
    <n v="2"/>
    <n v="2"/>
    <n v="0"/>
    <m/>
    <x v="1"/>
    <n v="0.33655861738858139"/>
  </r>
  <r>
    <x v="8"/>
    <x v="1"/>
    <x v="0"/>
    <x v="0"/>
    <x v="0"/>
    <x v="1"/>
    <x v="1"/>
    <x v="0"/>
    <x v="1"/>
    <x v="4"/>
    <n v="2"/>
    <n v="3"/>
    <n v="0"/>
    <m/>
    <x v="1"/>
    <n v="0.12427510120731648"/>
  </r>
  <r>
    <x v="9"/>
    <x v="0"/>
    <x v="0"/>
    <x v="1"/>
    <x v="2"/>
    <x v="0"/>
    <x v="1"/>
    <x v="1"/>
    <x v="0"/>
    <x v="5"/>
    <n v="1"/>
    <n v="1"/>
    <n v="0"/>
    <n v="1"/>
    <x v="0"/>
    <n v="1.4562828746708278E-2"/>
  </r>
  <r>
    <x v="20"/>
    <x v="0"/>
    <x v="0"/>
    <x v="1"/>
    <x v="0"/>
    <x v="0"/>
    <x v="0"/>
    <x v="1"/>
    <x v="0"/>
    <x v="5"/>
    <n v="1"/>
    <n v="1"/>
    <n v="0"/>
    <n v="1"/>
    <x v="0"/>
    <n v="2.0841983429204125E-2"/>
  </r>
  <r>
    <x v="14"/>
    <x v="0"/>
    <x v="1"/>
    <x v="2"/>
    <x v="2"/>
    <x v="0"/>
    <x v="0"/>
    <x v="0"/>
    <x v="2"/>
    <x v="8"/>
    <n v="1"/>
    <n v="1"/>
    <n v="0"/>
    <m/>
    <x v="1"/>
    <n v="0.12320370260660997"/>
  </r>
  <r>
    <x v="1"/>
    <x v="1"/>
    <x v="0"/>
    <x v="0"/>
    <x v="2"/>
    <x v="0"/>
    <x v="1"/>
    <x v="0"/>
    <x v="1"/>
    <x v="4"/>
    <n v="1"/>
    <n v="1"/>
    <n v="0"/>
    <n v="1"/>
    <x v="0"/>
    <n v="3.1213548562346576E-2"/>
  </r>
  <r>
    <x v="4"/>
    <x v="1"/>
    <x v="0"/>
    <x v="2"/>
    <x v="3"/>
    <x v="0"/>
    <x v="0"/>
    <x v="1"/>
    <x v="2"/>
    <x v="9"/>
    <n v="1"/>
    <n v="1"/>
    <n v="0"/>
    <m/>
    <x v="1"/>
    <n v="0.2929773242473675"/>
  </r>
  <r>
    <x v="12"/>
    <x v="1"/>
    <x v="0"/>
    <x v="0"/>
    <x v="3"/>
    <x v="0"/>
    <x v="0"/>
    <x v="1"/>
    <x v="2"/>
    <x v="9"/>
    <n v="1"/>
    <n v="2"/>
    <n v="0"/>
    <m/>
    <x v="1"/>
    <n v="0.47908124645836453"/>
  </r>
  <r>
    <x v="20"/>
    <x v="0"/>
    <x v="0"/>
    <x v="2"/>
    <x v="2"/>
    <x v="1"/>
    <x v="0"/>
    <x v="0"/>
    <x v="2"/>
    <x v="9"/>
    <n v="1"/>
    <n v="1"/>
    <n v="0"/>
    <n v="1"/>
    <x v="0"/>
    <n v="0.28480875100254455"/>
  </r>
  <r>
    <x v="21"/>
    <x v="0"/>
    <x v="0"/>
    <x v="0"/>
    <x v="3"/>
    <x v="1"/>
    <x v="1"/>
    <x v="1"/>
    <x v="2"/>
    <x v="9"/>
    <n v="1"/>
    <n v="2"/>
    <n v="0"/>
    <m/>
    <x v="1"/>
    <n v="0.32497126456482978"/>
  </r>
  <r>
    <x v="6"/>
    <x v="0"/>
    <x v="0"/>
    <x v="0"/>
    <x v="0"/>
    <x v="0"/>
    <x v="0"/>
    <x v="1"/>
    <x v="2"/>
    <x v="8"/>
    <n v="1"/>
    <n v="1"/>
    <n v="0"/>
    <m/>
    <x v="1"/>
    <n v="9.4866349728676455E-2"/>
  </r>
  <r>
    <x v="1"/>
    <x v="1"/>
    <x v="0"/>
    <x v="1"/>
    <x v="3"/>
    <x v="1"/>
    <x v="0"/>
    <x v="1"/>
    <x v="1"/>
    <x v="1"/>
    <n v="1"/>
    <n v="1"/>
    <n v="0"/>
    <n v="1"/>
    <x v="0"/>
    <n v="7.6477390150305455E-2"/>
  </r>
  <r>
    <x v="3"/>
    <x v="0"/>
    <x v="1"/>
    <x v="0"/>
    <x v="2"/>
    <x v="1"/>
    <x v="0"/>
    <x v="0"/>
    <x v="2"/>
    <x v="9"/>
    <n v="1"/>
    <n v="1"/>
    <n v="0"/>
    <m/>
    <x v="1"/>
    <n v="0.17371434400069519"/>
  </r>
  <r>
    <x v="8"/>
    <x v="0"/>
    <x v="1"/>
    <x v="0"/>
    <x v="2"/>
    <x v="0"/>
    <x v="1"/>
    <x v="1"/>
    <x v="2"/>
    <x v="0"/>
    <n v="1"/>
    <n v="1"/>
    <n v="0"/>
    <m/>
    <x v="1"/>
    <n v="4.8105072216363585E-2"/>
  </r>
  <r>
    <x v="16"/>
    <x v="1"/>
    <x v="1"/>
    <x v="1"/>
    <x v="0"/>
    <x v="0"/>
    <x v="1"/>
    <x v="0"/>
    <x v="1"/>
    <x v="6"/>
    <n v="1"/>
    <n v="1"/>
    <n v="0"/>
    <m/>
    <x v="1"/>
    <n v="6.9067353216518941E-3"/>
  </r>
  <r>
    <x v="12"/>
    <x v="0"/>
    <x v="1"/>
    <x v="2"/>
    <x v="1"/>
    <x v="0"/>
    <x v="0"/>
    <x v="1"/>
    <x v="2"/>
    <x v="8"/>
    <n v="1"/>
    <n v="1"/>
    <n v="0"/>
    <m/>
    <x v="1"/>
    <n v="0.12444404000559624"/>
  </r>
  <r>
    <x v="6"/>
    <x v="0"/>
    <x v="1"/>
    <x v="0"/>
    <x v="2"/>
    <x v="0"/>
    <x v="0"/>
    <x v="1"/>
    <x v="1"/>
    <x v="7"/>
    <n v="1"/>
    <n v="1"/>
    <n v="0"/>
    <m/>
    <x v="1"/>
    <n v="3.0332130839860555E-2"/>
  </r>
  <r>
    <x v="8"/>
    <x v="1"/>
    <x v="0"/>
    <x v="0"/>
    <x v="2"/>
    <x v="0"/>
    <x v="0"/>
    <x v="0"/>
    <x v="2"/>
    <x v="9"/>
    <n v="1"/>
    <n v="3"/>
    <n v="0"/>
    <m/>
    <x v="1"/>
    <n v="0.56599211530489102"/>
  </r>
  <r>
    <x v="7"/>
    <x v="0"/>
    <x v="0"/>
    <x v="2"/>
    <x v="3"/>
    <x v="0"/>
    <x v="0"/>
    <x v="1"/>
    <x v="2"/>
    <x v="9"/>
    <n v="1"/>
    <n v="1"/>
    <n v="0"/>
    <m/>
    <x v="1"/>
    <n v="0.21511628420770765"/>
  </r>
  <r>
    <x v="1"/>
    <x v="1"/>
    <x v="1"/>
    <x v="1"/>
    <x v="0"/>
    <x v="0"/>
    <x v="0"/>
    <x v="1"/>
    <x v="2"/>
    <x v="0"/>
    <n v="1"/>
    <n v="1"/>
    <n v="0"/>
    <n v="1"/>
    <x v="0"/>
    <n v="4.7795427621466401E-2"/>
  </r>
  <r>
    <x v="20"/>
    <x v="0"/>
    <x v="0"/>
    <x v="0"/>
    <x v="0"/>
    <x v="0"/>
    <x v="0"/>
    <x v="1"/>
    <x v="2"/>
    <x v="8"/>
    <n v="1"/>
    <n v="1"/>
    <n v="0"/>
    <n v="1"/>
    <x v="0"/>
    <n v="9.4866349728676455E-2"/>
  </r>
  <r>
    <x v="14"/>
    <x v="0"/>
    <x v="1"/>
    <x v="1"/>
    <x v="3"/>
    <x v="0"/>
    <x v="1"/>
    <x v="1"/>
    <x v="2"/>
    <x v="7"/>
    <n v="1"/>
    <n v="1"/>
    <n v="0"/>
    <m/>
    <x v="1"/>
    <n v="3.0277239538130045E-2"/>
  </r>
  <r>
    <x v="16"/>
    <x v="0"/>
    <x v="1"/>
    <x v="2"/>
    <x v="0"/>
    <x v="1"/>
    <x v="0"/>
    <x v="0"/>
    <x v="1"/>
    <x v="0"/>
    <n v="1"/>
    <n v="1"/>
    <n v="0"/>
    <m/>
    <x v="1"/>
    <n v="5.2307797290685736E-2"/>
  </r>
  <r>
    <x v="1"/>
    <x v="0"/>
    <x v="1"/>
    <x v="0"/>
    <x v="0"/>
    <x v="1"/>
    <x v="0"/>
    <x v="0"/>
    <x v="0"/>
    <x v="3"/>
    <n v="1"/>
    <n v="1"/>
    <n v="0"/>
    <n v="1"/>
    <x v="0"/>
    <n v="5.9968911810879433E-2"/>
  </r>
  <r>
    <x v="20"/>
    <x v="0"/>
    <x v="0"/>
    <x v="2"/>
    <x v="2"/>
    <x v="0"/>
    <x v="0"/>
    <x v="0"/>
    <x v="1"/>
    <x v="0"/>
    <n v="1"/>
    <n v="1"/>
    <n v="0"/>
    <n v="1"/>
    <x v="0"/>
    <n v="5.5937898870790044E-2"/>
  </r>
  <r>
    <x v="2"/>
    <x v="0"/>
    <x v="1"/>
    <x v="0"/>
    <x v="0"/>
    <x v="0"/>
    <x v="1"/>
    <x v="0"/>
    <x v="2"/>
    <x v="4"/>
    <n v="1"/>
    <n v="2"/>
    <n v="0"/>
    <m/>
    <x v="1"/>
    <n v="6.6584157148819642E-2"/>
  </r>
  <r>
    <x v="15"/>
    <x v="0"/>
    <x v="1"/>
    <x v="1"/>
    <x v="2"/>
    <x v="1"/>
    <x v="1"/>
    <x v="1"/>
    <x v="0"/>
    <x v="5"/>
    <n v="1"/>
    <n v="1"/>
    <n v="0"/>
    <n v="1"/>
    <x v="0"/>
    <n v="1.9800718313777412E-2"/>
  </r>
  <r>
    <x v="19"/>
    <x v="0"/>
    <x v="0"/>
    <x v="2"/>
    <x v="1"/>
    <x v="1"/>
    <x v="0"/>
    <x v="1"/>
    <x v="2"/>
    <x v="9"/>
    <n v="2"/>
    <n v="6"/>
    <n v="0"/>
    <m/>
    <x v="1"/>
    <n v="1.7228593095047215"/>
  </r>
  <r>
    <x v="2"/>
    <x v="1"/>
    <x v="0"/>
    <x v="1"/>
    <x v="0"/>
    <x v="0"/>
    <x v="1"/>
    <x v="1"/>
    <x v="1"/>
    <x v="6"/>
    <n v="1"/>
    <n v="1"/>
    <n v="0"/>
    <m/>
    <x v="1"/>
    <n v="9.9147897890897955E-3"/>
  </r>
  <r>
    <x v="10"/>
    <x v="0"/>
    <x v="1"/>
    <x v="0"/>
    <x v="2"/>
    <x v="0"/>
    <x v="0"/>
    <x v="0"/>
    <x v="1"/>
    <x v="7"/>
    <n v="1"/>
    <n v="1"/>
    <n v="0"/>
    <m/>
    <x v="1"/>
    <n v="3.0332130839860555E-2"/>
  </r>
  <r>
    <x v="8"/>
    <x v="1"/>
    <x v="0"/>
    <x v="1"/>
    <x v="0"/>
    <x v="0"/>
    <x v="0"/>
    <x v="0"/>
    <x v="0"/>
    <x v="4"/>
    <n v="1"/>
    <n v="1"/>
    <n v="0"/>
    <m/>
    <x v="1"/>
    <n v="3.1179022325415869E-2"/>
  </r>
  <r>
    <x v="16"/>
    <x v="0"/>
    <x v="1"/>
    <x v="2"/>
    <x v="0"/>
    <x v="0"/>
    <x v="1"/>
    <x v="1"/>
    <x v="1"/>
    <x v="6"/>
    <n v="1"/>
    <n v="1"/>
    <n v="0"/>
    <m/>
    <x v="1"/>
    <n v="1.3093969311862536E-2"/>
  </r>
  <r>
    <x v="15"/>
    <x v="1"/>
    <x v="0"/>
    <x v="2"/>
    <x v="2"/>
    <x v="1"/>
    <x v="1"/>
    <x v="1"/>
    <x v="1"/>
    <x v="1"/>
    <n v="1"/>
    <n v="1"/>
    <n v="0"/>
    <n v="1"/>
    <x v="0"/>
    <n v="7.7000245135165221E-2"/>
  </r>
  <r>
    <x v="1"/>
    <x v="1"/>
    <x v="1"/>
    <x v="0"/>
    <x v="2"/>
    <x v="1"/>
    <x v="1"/>
    <x v="1"/>
    <x v="1"/>
    <x v="2"/>
    <n v="1"/>
    <n v="2"/>
    <n v="0"/>
    <n v="1"/>
    <x v="0"/>
    <n v="8.4367847585785014E-2"/>
  </r>
  <r>
    <x v="2"/>
    <x v="1"/>
    <x v="1"/>
    <x v="2"/>
    <x v="0"/>
    <x v="0"/>
    <x v="0"/>
    <x v="1"/>
    <x v="1"/>
    <x v="4"/>
    <n v="1"/>
    <n v="1"/>
    <n v="0"/>
    <m/>
    <x v="1"/>
    <n v="4.0674290026531716E-2"/>
  </r>
  <r>
    <x v="20"/>
    <x v="0"/>
    <x v="1"/>
    <x v="2"/>
    <x v="0"/>
    <x v="1"/>
    <x v="0"/>
    <x v="1"/>
    <x v="1"/>
    <x v="0"/>
    <n v="1"/>
    <n v="2"/>
    <n v="0"/>
    <n v="1"/>
    <x v="0"/>
    <n v="0.10461559458137147"/>
  </r>
  <r>
    <x v="16"/>
    <x v="1"/>
    <x v="1"/>
    <x v="1"/>
    <x v="1"/>
    <x v="1"/>
    <x v="0"/>
    <x v="1"/>
    <x v="0"/>
    <x v="3"/>
    <n v="1"/>
    <n v="1"/>
    <n v="0"/>
    <m/>
    <x v="1"/>
    <n v="6.1294227515489554E-2"/>
  </r>
  <r>
    <x v="19"/>
    <x v="0"/>
    <x v="0"/>
    <x v="1"/>
    <x v="2"/>
    <x v="1"/>
    <x v="0"/>
    <x v="1"/>
    <x v="0"/>
    <x v="0"/>
    <n v="1"/>
    <n v="1"/>
    <n v="0"/>
    <m/>
    <x v="1"/>
    <n v="5.7917442228855184E-2"/>
  </r>
  <r>
    <x v="7"/>
    <x v="1"/>
    <x v="0"/>
    <x v="0"/>
    <x v="3"/>
    <x v="1"/>
    <x v="0"/>
    <x v="1"/>
    <x v="1"/>
    <x v="9"/>
    <n v="1"/>
    <n v="1"/>
    <n v="0"/>
    <m/>
    <x v="1"/>
    <n v="0.15366523766540796"/>
  </r>
  <r>
    <x v="19"/>
    <x v="1"/>
    <x v="0"/>
    <x v="0"/>
    <x v="3"/>
    <x v="0"/>
    <x v="0"/>
    <x v="1"/>
    <x v="0"/>
    <x v="8"/>
    <n v="1"/>
    <n v="2"/>
    <n v="0"/>
    <m/>
    <x v="1"/>
    <n v="0.24601606933333317"/>
  </r>
  <r>
    <x v="14"/>
    <x v="1"/>
    <x v="1"/>
    <x v="0"/>
    <x v="2"/>
    <x v="0"/>
    <x v="0"/>
    <x v="0"/>
    <x v="0"/>
    <x v="1"/>
    <n v="1"/>
    <n v="1"/>
    <n v="0"/>
    <m/>
    <x v="1"/>
    <n v="6.7086671775585666E-2"/>
  </r>
  <r>
    <x v="3"/>
    <x v="0"/>
    <x v="1"/>
    <x v="2"/>
    <x v="1"/>
    <x v="0"/>
    <x v="0"/>
    <x v="1"/>
    <x v="2"/>
    <x v="8"/>
    <n v="1"/>
    <n v="2"/>
    <n v="0"/>
    <m/>
    <x v="1"/>
    <n v="0.24888808001119248"/>
  </r>
  <r>
    <x v="8"/>
    <x v="0"/>
    <x v="1"/>
    <x v="0"/>
    <x v="2"/>
    <x v="0"/>
    <x v="0"/>
    <x v="0"/>
    <x v="1"/>
    <x v="7"/>
    <n v="1"/>
    <n v="1"/>
    <n v="0"/>
    <m/>
    <x v="1"/>
    <n v="3.0332130839860555E-2"/>
  </r>
  <r>
    <x v="12"/>
    <x v="0"/>
    <x v="0"/>
    <x v="2"/>
    <x v="0"/>
    <x v="0"/>
    <x v="1"/>
    <x v="1"/>
    <x v="0"/>
    <x v="7"/>
    <n v="1"/>
    <n v="1"/>
    <n v="0"/>
    <m/>
    <x v="1"/>
    <n v="2.8227386446598338E-2"/>
  </r>
  <r>
    <x v="15"/>
    <x v="1"/>
    <x v="1"/>
    <x v="0"/>
    <x v="0"/>
    <x v="0"/>
    <x v="0"/>
    <x v="1"/>
    <x v="2"/>
    <x v="8"/>
    <n v="1"/>
    <n v="1"/>
    <n v="0"/>
    <n v="1"/>
    <x v="0"/>
    <n v="9.9142550923112027E-2"/>
  </r>
  <r>
    <x v="0"/>
    <x v="1"/>
    <x v="0"/>
    <x v="0"/>
    <x v="3"/>
    <x v="1"/>
    <x v="1"/>
    <x v="1"/>
    <x v="2"/>
    <x v="9"/>
    <n v="1"/>
    <n v="1"/>
    <n v="0"/>
    <n v="1"/>
    <x v="0"/>
    <n v="0.22680169202414502"/>
  </r>
  <r>
    <x v="13"/>
    <x v="1"/>
    <x v="0"/>
    <x v="1"/>
    <x v="2"/>
    <x v="1"/>
    <x v="0"/>
    <x v="1"/>
    <x v="1"/>
    <x v="0"/>
    <n v="1"/>
    <n v="1"/>
    <n v="0"/>
    <m/>
    <x v="1"/>
    <n v="5.7610445646867868E-2"/>
  </r>
  <r>
    <x v="4"/>
    <x v="0"/>
    <x v="1"/>
    <x v="0"/>
    <x v="3"/>
    <x v="1"/>
    <x v="0"/>
    <x v="1"/>
    <x v="0"/>
    <x v="8"/>
    <n v="1"/>
    <n v="1"/>
    <n v="0"/>
    <m/>
    <x v="1"/>
    <n v="0.11253926602183867"/>
  </r>
  <r>
    <x v="18"/>
    <x v="1"/>
    <x v="0"/>
    <x v="0"/>
    <x v="2"/>
    <x v="0"/>
    <x v="1"/>
    <x v="1"/>
    <x v="2"/>
    <x v="8"/>
    <n v="1"/>
    <n v="1"/>
    <n v="0"/>
    <m/>
    <x v="1"/>
    <n v="9.9113496312796978E-2"/>
  </r>
  <r>
    <x v="13"/>
    <x v="0"/>
    <x v="1"/>
    <x v="0"/>
    <x v="0"/>
    <x v="0"/>
    <x v="0"/>
    <x v="0"/>
    <x v="0"/>
    <x v="4"/>
    <n v="1"/>
    <n v="1"/>
    <n v="0"/>
    <m/>
    <x v="1"/>
    <n v="3.1394457123754216E-2"/>
  </r>
  <r>
    <x v="5"/>
    <x v="0"/>
    <x v="0"/>
    <x v="2"/>
    <x v="0"/>
    <x v="1"/>
    <x v="0"/>
    <x v="0"/>
    <x v="1"/>
    <x v="1"/>
    <n v="1"/>
    <n v="1"/>
    <n v="0"/>
    <n v="0"/>
    <x v="0"/>
    <n v="7.3623241710018827E-2"/>
  </r>
  <r>
    <x v="4"/>
    <x v="1"/>
    <x v="1"/>
    <x v="1"/>
    <x v="2"/>
    <x v="1"/>
    <x v="1"/>
    <x v="1"/>
    <x v="1"/>
    <x v="5"/>
    <n v="1"/>
    <n v="1"/>
    <n v="0"/>
    <m/>
    <x v="1"/>
    <n v="1.9691539744554062E-2"/>
  </r>
  <r>
    <x v="10"/>
    <x v="1"/>
    <x v="0"/>
    <x v="2"/>
    <x v="3"/>
    <x v="0"/>
    <x v="0"/>
    <x v="1"/>
    <x v="2"/>
    <x v="9"/>
    <n v="1"/>
    <n v="3"/>
    <n v="0"/>
    <m/>
    <x v="1"/>
    <n v="0.87893197274210255"/>
  </r>
  <r>
    <x v="11"/>
    <x v="0"/>
    <x v="1"/>
    <x v="0"/>
    <x v="2"/>
    <x v="0"/>
    <x v="0"/>
    <x v="1"/>
    <x v="1"/>
    <x v="7"/>
    <n v="1"/>
    <n v="1"/>
    <n v="0"/>
    <m/>
    <x v="1"/>
    <n v="3.0332130839860555E-2"/>
  </r>
  <r>
    <x v="9"/>
    <x v="0"/>
    <x v="1"/>
    <x v="1"/>
    <x v="2"/>
    <x v="1"/>
    <x v="0"/>
    <x v="1"/>
    <x v="0"/>
    <x v="4"/>
    <n v="1"/>
    <n v="1"/>
    <n v="0"/>
    <n v="1"/>
    <x v="0"/>
    <n v="4.0948154717703626E-2"/>
  </r>
  <r>
    <x v="18"/>
    <x v="0"/>
    <x v="1"/>
    <x v="0"/>
    <x v="1"/>
    <x v="0"/>
    <x v="0"/>
    <x v="1"/>
    <x v="0"/>
    <x v="0"/>
    <n v="1"/>
    <n v="4"/>
    <n v="0"/>
    <m/>
    <x v="1"/>
    <n v="0.18360347009689454"/>
  </r>
  <r>
    <x v="21"/>
    <x v="0"/>
    <x v="1"/>
    <x v="0"/>
    <x v="1"/>
    <x v="1"/>
    <x v="1"/>
    <x v="1"/>
    <x v="1"/>
    <x v="7"/>
    <n v="1"/>
    <n v="1"/>
    <n v="0"/>
    <m/>
    <x v="1"/>
    <n v="2.8621076959146192E-2"/>
  </r>
  <r>
    <x v="8"/>
    <x v="0"/>
    <x v="0"/>
    <x v="0"/>
    <x v="2"/>
    <x v="0"/>
    <x v="1"/>
    <x v="0"/>
    <x v="0"/>
    <x v="4"/>
    <n v="1"/>
    <n v="1"/>
    <n v="0"/>
    <m/>
    <x v="1"/>
    <n v="3.1384565006669626E-2"/>
  </r>
  <r>
    <x v="11"/>
    <x v="1"/>
    <x v="0"/>
    <x v="1"/>
    <x v="3"/>
    <x v="0"/>
    <x v="0"/>
    <x v="1"/>
    <x v="1"/>
    <x v="4"/>
    <n v="1"/>
    <n v="1"/>
    <n v="0"/>
    <m/>
    <x v="1"/>
    <n v="4.0374698524789331E-2"/>
  </r>
  <r>
    <x v="3"/>
    <x v="1"/>
    <x v="1"/>
    <x v="0"/>
    <x v="0"/>
    <x v="0"/>
    <x v="1"/>
    <x v="0"/>
    <x v="1"/>
    <x v="5"/>
    <n v="2"/>
    <n v="3"/>
    <n v="0"/>
    <m/>
    <x v="1"/>
    <n v="4.5058792320559406E-2"/>
  </r>
  <r>
    <x v="4"/>
    <x v="0"/>
    <x v="1"/>
    <x v="2"/>
    <x v="2"/>
    <x v="1"/>
    <x v="0"/>
    <x v="0"/>
    <x v="0"/>
    <x v="8"/>
    <n v="1"/>
    <n v="1"/>
    <n v="0"/>
    <m/>
    <x v="1"/>
    <n v="0.10964771003463976"/>
  </r>
  <r>
    <x v="8"/>
    <x v="0"/>
    <x v="1"/>
    <x v="1"/>
    <x v="2"/>
    <x v="0"/>
    <x v="1"/>
    <x v="1"/>
    <x v="0"/>
    <x v="6"/>
    <n v="1"/>
    <n v="1"/>
    <n v="0"/>
    <m/>
    <x v="1"/>
    <n v="1.0159072239262455E-2"/>
  </r>
  <r>
    <x v="4"/>
    <x v="1"/>
    <x v="0"/>
    <x v="0"/>
    <x v="2"/>
    <x v="0"/>
    <x v="0"/>
    <x v="0"/>
    <x v="2"/>
    <x v="9"/>
    <n v="1"/>
    <n v="3"/>
    <n v="0"/>
    <m/>
    <x v="1"/>
    <n v="0.56599211530489102"/>
  </r>
  <r>
    <x v="17"/>
    <x v="0"/>
    <x v="0"/>
    <x v="2"/>
    <x v="2"/>
    <x v="1"/>
    <x v="0"/>
    <x v="0"/>
    <x v="1"/>
    <x v="8"/>
    <n v="2"/>
    <n v="2"/>
    <n v="0"/>
    <n v="2"/>
    <x v="0"/>
    <n v="0.20888488220949553"/>
  </r>
  <r>
    <x v="22"/>
    <x v="1"/>
    <x v="1"/>
    <x v="0"/>
    <x v="2"/>
    <x v="0"/>
    <x v="1"/>
    <x v="1"/>
    <x v="1"/>
    <x v="7"/>
    <n v="1"/>
    <n v="1"/>
    <n v="0"/>
    <n v="1"/>
    <x v="0"/>
    <n v="2.1886493307591109E-2"/>
  </r>
  <r>
    <x v="4"/>
    <x v="1"/>
    <x v="1"/>
    <x v="0"/>
    <x v="2"/>
    <x v="0"/>
    <x v="1"/>
    <x v="1"/>
    <x v="2"/>
    <x v="1"/>
    <n v="1"/>
    <n v="1"/>
    <n v="0"/>
    <m/>
    <x v="1"/>
    <n v="7.0983587013537311E-2"/>
  </r>
  <r>
    <x v="14"/>
    <x v="0"/>
    <x v="0"/>
    <x v="0"/>
    <x v="3"/>
    <x v="0"/>
    <x v="0"/>
    <x v="0"/>
    <x v="2"/>
    <x v="9"/>
    <n v="1"/>
    <n v="1"/>
    <n v="0"/>
    <m/>
    <x v="1"/>
    <n v="0.17241763602692631"/>
  </r>
  <r>
    <x v="15"/>
    <x v="0"/>
    <x v="1"/>
    <x v="1"/>
    <x v="3"/>
    <x v="1"/>
    <x v="0"/>
    <x v="1"/>
    <x v="2"/>
    <x v="8"/>
    <n v="1"/>
    <n v="1"/>
    <n v="0"/>
    <n v="1"/>
    <x v="0"/>
    <n v="0.11495729196366554"/>
  </r>
  <r>
    <x v="5"/>
    <x v="0"/>
    <x v="1"/>
    <x v="2"/>
    <x v="2"/>
    <x v="1"/>
    <x v="1"/>
    <x v="1"/>
    <x v="1"/>
    <x v="4"/>
    <n v="1"/>
    <n v="1"/>
    <n v="0"/>
    <n v="1"/>
    <x v="0"/>
    <n v="3.6906111670654135E-2"/>
  </r>
  <r>
    <x v="12"/>
    <x v="0"/>
    <x v="0"/>
    <x v="0"/>
    <x v="3"/>
    <x v="1"/>
    <x v="0"/>
    <x v="0"/>
    <x v="0"/>
    <x v="9"/>
    <n v="1"/>
    <n v="1"/>
    <n v="0"/>
    <m/>
    <x v="1"/>
    <n v="0.15440023172603565"/>
  </r>
  <r>
    <x v="15"/>
    <x v="0"/>
    <x v="0"/>
    <x v="0"/>
    <x v="3"/>
    <x v="0"/>
    <x v="0"/>
    <x v="1"/>
    <x v="0"/>
    <x v="8"/>
    <n v="1"/>
    <n v="1"/>
    <n v="0"/>
    <n v="1"/>
    <x v="0"/>
    <n v="8.4893923858991527E-2"/>
  </r>
  <r>
    <x v="15"/>
    <x v="1"/>
    <x v="0"/>
    <x v="0"/>
    <x v="0"/>
    <x v="1"/>
    <x v="1"/>
    <x v="0"/>
    <x v="2"/>
    <x v="9"/>
    <n v="1"/>
    <n v="1"/>
    <n v="0"/>
    <n v="1"/>
    <x v="0"/>
    <n v="0.12858993764061805"/>
  </r>
  <r>
    <x v="22"/>
    <x v="0"/>
    <x v="0"/>
    <x v="0"/>
    <x v="3"/>
    <x v="0"/>
    <x v="1"/>
    <x v="0"/>
    <x v="0"/>
    <x v="2"/>
    <n v="1"/>
    <n v="1"/>
    <n v="0"/>
    <n v="1"/>
    <x v="0"/>
    <n v="4.2045949270268397E-2"/>
  </r>
  <r>
    <x v="2"/>
    <x v="1"/>
    <x v="1"/>
    <x v="0"/>
    <x v="2"/>
    <x v="0"/>
    <x v="1"/>
    <x v="1"/>
    <x v="0"/>
    <x v="4"/>
    <n v="1"/>
    <n v="1"/>
    <n v="0"/>
    <m/>
    <x v="1"/>
    <n v="3.2903278637901254E-2"/>
  </r>
  <r>
    <x v="8"/>
    <x v="1"/>
    <x v="1"/>
    <x v="2"/>
    <x v="0"/>
    <x v="1"/>
    <x v="0"/>
    <x v="0"/>
    <x v="0"/>
    <x v="8"/>
    <n v="1"/>
    <n v="1"/>
    <n v="0"/>
    <m/>
    <x v="1"/>
    <n v="0.11259889376603023"/>
  </r>
  <r>
    <x v="22"/>
    <x v="0"/>
    <x v="1"/>
    <x v="0"/>
    <x v="2"/>
    <x v="0"/>
    <x v="0"/>
    <x v="0"/>
    <x v="2"/>
    <x v="8"/>
    <n v="1"/>
    <n v="1"/>
    <n v="0"/>
    <n v="1"/>
    <x v="0"/>
    <n v="9.650569894562866E-2"/>
  </r>
  <r>
    <x v="10"/>
    <x v="0"/>
    <x v="1"/>
    <x v="1"/>
    <x v="0"/>
    <x v="0"/>
    <x v="1"/>
    <x v="0"/>
    <x v="0"/>
    <x v="6"/>
    <n v="1"/>
    <n v="1"/>
    <n v="0"/>
    <m/>
    <x v="1"/>
    <n v="6.9455315248842728E-3"/>
  </r>
  <r>
    <x v="17"/>
    <x v="1"/>
    <x v="0"/>
    <x v="0"/>
    <x v="0"/>
    <x v="0"/>
    <x v="1"/>
    <x v="1"/>
    <x v="2"/>
    <x v="1"/>
    <n v="2"/>
    <n v="2"/>
    <n v="0"/>
    <n v="2"/>
    <x v="0"/>
    <n v="0.13948863320885782"/>
  </r>
  <r>
    <x v="4"/>
    <x v="1"/>
    <x v="1"/>
    <x v="0"/>
    <x v="2"/>
    <x v="1"/>
    <x v="0"/>
    <x v="1"/>
    <x v="2"/>
    <x v="9"/>
    <n v="1"/>
    <n v="2"/>
    <n v="0"/>
    <m/>
    <x v="1"/>
    <n v="0.48239003966099514"/>
  </r>
  <r>
    <x v="14"/>
    <x v="1"/>
    <x v="0"/>
    <x v="2"/>
    <x v="2"/>
    <x v="0"/>
    <x v="0"/>
    <x v="0"/>
    <x v="2"/>
    <x v="9"/>
    <n v="1"/>
    <n v="1"/>
    <n v="0"/>
    <m/>
    <x v="1"/>
    <n v="0.23424723931098945"/>
  </r>
  <r>
    <x v="11"/>
    <x v="0"/>
    <x v="0"/>
    <x v="2"/>
    <x v="0"/>
    <x v="0"/>
    <x v="1"/>
    <x v="0"/>
    <x v="1"/>
    <x v="5"/>
    <n v="1"/>
    <n v="1"/>
    <n v="0"/>
    <m/>
    <x v="1"/>
    <n v="1.874585193217462E-2"/>
  </r>
  <r>
    <x v="4"/>
    <x v="0"/>
    <x v="1"/>
    <x v="1"/>
    <x v="0"/>
    <x v="1"/>
    <x v="1"/>
    <x v="1"/>
    <x v="1"/>
    <x v="6"/>
    <n v="1"/>
    <n v="1"/>
    <n v="0"/>
    <m/>
    <x v="1"/>
    <n v="8.972504978647905E-3"/>
  </r>
  <r>
    <x v="4"/>
    <x v="0"/>
    <x v="0"/>
    <x v="2"/>
    <x v="2"/>
    <x v="1"/>
    <x v="0"/>
    <x v="0"/>
    <x v="0"/>
    <x v="9"/>
    <n v="0"/>
    <n v="1"/>
    <n v="0"/>
    <m/>
    <x v="1"/>
    <n v="0.15061565033412677"/>
  </r>
  <r>
    <x v="15"/>
    <x v="1"/>
    <x v="0"/>
    <x v="1"/>
    <x v="0"/>
    <x v="1"/>
    <x v="0"/>
    <x v="0"/>
    <x v="2"/>
    <x v="8"/>
    <n v="0"/>
    <n v="1"/>
    <n v="0"/>
    <m/>
    <x v="0"/>
    <n v="0.12453739418688635"/>
  </r>
  <r>
    <x v="7"/>
    <x v="0"/>
    <x v="0"/>
    <x v="0"/>
    <x v="3"/>
    <x v="1"/>
    <x v="0"/>
    <x v="0"/>
    <x v="0"/>
    <x v="9"/>
    <n v="0"/>
    <n v="3"/>
    <n v="0"/>
    <m/>
    <x v="1"/>
    <n v="0.46320069517810697"/>
  </r>
  <r>
    <x v="10"/>
    <x v="0"/>
    <x v="0"/>
    <x v="0"/>
    <x v="3"/>
    <x v="1"/>
    <x v="0"/>
    <x v="1"/>
    <x v="2"/>
    <x v="9"/>
    <n v="0"/>
    <n v="4"/>
    <n v="0"/>
    <m/>
    <x v="1"/>
    <n v="1.163243134171414"/>
  </r>
  <r>
    <x v="21"/>
    <x v="1"/>
    <x v="0"/>
    <x v="2"/>
    <x v="1"/>
    <x v="1"/>
    <x v="0"/>
    <x v="1"/>
    <x v="2"/>
    <x v="9"/>
    <n v="0"/>
    <n v="3"/>
    <n v="0"/>
    <m/>
    <x v="1"/>
    <n v="1.1355068635565528"/>
  </r>
  <r>
    <x v="11"/>
    <x v="1"/>
    <x v="0"/>
    <x v="0"/>
    <x v="1"/>
    <x v="1"/>
    <x v="0"/>
    <x v="1"/>
    <x v="2"/>
    <x v="9"/>
    <n v="0"/>
    <n v="10"/>
    <n v="0"/>
    <m/>
    <x v="1"/>
    <n v="3.16448332792159"/>
  </r>
  <r>
    <x v="14"/>
    <x v="1"/>
    <x v="1"/>
    <x v="0"/>
    <x v="3"/>
    <x v="0"/>
    <x v="0"/>
    <x v="1"/>
    <x v="2"/>
    <x v="9"/>
    <n v="0"/>
    <n v="1"/>
    <n v="0"/>
    <m/>
    <x v="1"/>
    <n v="0.17949631292439386"/>
  </r>
  <r>
    <x v="8"/>
    <x v="1"/>
    <x v="0"/>
    <x v="2"/>
    <x v="3"/>
    <x v="1"/>
    <x v="0"/>
    <x v="1"/>
    <x v="0"/>
    <x v="9"/>
    <n v="0"/>
    <n v="1"/>
    <n v="0"/>
    <m/>
    <x v="1"/>
    <n v="0.26641728068577614"/>
  </r>
  <r>
    <x v="19"/>
    <x v="1"/>
    <x v="1"/>
    <x v="0"/>
    <x v="2"/>
    <x v="0"/>
    <x v="0"/>
    <x v="1"/>
    <x v="2"/>
    <x v="9"/>
    <n v="0"/>
    <n v="3"/>
    <n v="0"/>
    <m/>
    <x v="1"/>
    <n v="0.41712285720746167"/>
  </r>
  <r>
    <x v="14"/>
    <x v="0"/>
    <x v="1"/>
    <x v="2"/>
    <x v="3"/>
    <x v="1"/>
    <x v="0"/>
    <x v="1"/>
    <x v="2"/>
    <x v="9"/>
    <n v="0"/>
    <n v="2"/>
    <n v="0"/>
    <m/>
    <x v="1"/>
    <n v="0.54507689456356057"/>
  </r>
  <r>
    <x v="1"/>
    <x v="0"/>
    <x v="1"/>
    <x v="0"/>
    <x v="0"/>
    <x v="0"/>
    <x v="0"/>
    <x v="1"/>
    <x v="2"/>
    <x v="1"/>
    <n v="0"/>
    <n v="1"/>
    <n v="0"/>
    <m/>
    <x v="0"/>
    <n v="6.785105877159095E-2"/>
  </r>
  <r>
    <x v="16"/>
    <x v="1"/>
    <x v="0"/>
    <x v="1"/>
    <x v="0"/>
    <x v="0"/>
    <x v="1"/>
    <x v="1"/>
    <x v="0"/>
    <x v="5"/>
    <n v="0"/>
    <n v="1"/>
    <n v="0"/>
    <m/>
    <x v="1"/>
    <n v="1.4997899225310888E-2"/>
  </r>
  <r>
    <x v="5"/>
    <x v="1"/>
    <x v="0"/>
    <x v="0"/>
    <x v="3"/>
    <x v="0"/>
    <x v="1"/>
    <x v="1"/>
    <x v="2"/>
    <x v="9"/>
    <n v="0"/>
    <n v="1"/>
    <n v="0"/>
    <m/>
    <x v="0"/>
    <n v="0.12970168387961117"/>
  </r>
  <r>
    <x v="8"/>
    <x v="1"/>
    <x v="0"/>
    <x v="1"/>
    <x v="0"/>
    <x v="0"/>
    <x v="1"/>
    <x v="0"/>
    <x v="2"/>
    <x v="4"/>
    <n v="0"/>
    <n v="1"/>
    <n v="0"/>
    <m/>
    <x v="1"/>
    <n v="3.306406644322489E-2"/>
  </r>
  <r>
    <x v="11"/>
    <x v="0"/>
    <x v="0"/>
    <x v="0"/>
    <x v="0"/>
    <x v="0"/>
    <x v="1"/>
    <x v="1"/>
    <x v="0"/>
    <x v="7"/>
    <n v="0"/>
    <n v="2"/>
    <n v="0"/>
    <m/>
    <x v="1"/>
    <n v="4.3206929616634408E-2"/>
  </r>
  <r>
    <x v="5"/>
    <x v="1"/>
    <x v="1"/>
    <x v="0"/>
    <x v="2"/>
    <x v="1"/>
    <x v="0"/>
    <x v="0"/>
    <x v="0"/>
    <x v="8"/>
    <n v="0"/>
    <n v="1"/>
    <n v="0"/>
    <m/>
    <x v="0"/>
    <n v="0.12398881875313826"/>
  </r>
  <r>
    <x v="0"/>
    <x v="1"/>
    <x v="0"/>
    <x v="0"/>
    <x v="3"/>
    <x v="1"/>
    <x v="0"/>
    <x v="0"/>
    <x v="2"/>
    <x v="9"/>
    <n v="0"/>
    <n v="1"/>
    <n v="0"/>
    <m/>
    <x v="0"/>
    <n v="0.38271027807477309"/>
  </r>
  <r>
    <x v="12"/>
    <x v="1"/>
    <x v="0"/>
    <x v="0"/>
    <x v="0"/>
    <x v="0"/>
    <x v="1"/>
    <x v="1"/>
    <x v="2"/>
    <x v="1"/>
    <n v="0"/>
    <n v="2"/>
    <n v="0"/>
    <m/>
    <x v="1"/>
    <n v="0.13948863320885782"/>
  </r>
  <r>
    <x v="0"/>
    <x v="1"/>
    <x v="1"/>
    <x v="0"/>
    <x v="1"/>
    <x v="1"/>
    <x v="0"/>
    <x v="1"/>
    <x v="0"/>
    <x v="9"/>
    <n v="0"/>
    <n v="1"/>
    <n v="0"/>
    <m/>
    <x v="0"/>
    <n v="0.12523593124339735"/>
  </r>
  <r>
    <x v="14"/>
    <x v="0"/>
    <x v="0"/>
    <x v="2"/>
    <x v="3"/>
    <x v="1"/>
    <x v="1"/>
    <x v="1"/>
    <x v="1"/>
    <x v="1"/>
    <n v="0"/>
    <n v="1"/>
    <n v="0"/>
    <m/>
    <x v="1"/>
    <n v="6.9545304453454915E-2"/>
  </r>
  <r>
    <x v="1"/>
    <x v="0"/>
    <x v="1"/>
    <x v="0"/>
    <x v="0"/>
    <x v="1"/>
    <x v="0"/>
    <x v="1"/>
    <x v="2"/>
    <x v="9"/>
    <n v="0"/>
    <n v="1"/>
    <n v="0"/>
    <m/>
    <x v="0"/>
    <n v="0.12531446059028126"/>
  </r>
  <r>
    <x v="21"/>
    <x v="0"/>
    <x v="1"/>
    <x v="0"/>
    <x v="0"/>
    <x v="0"/>
    <x v="0"/>
    <x v="1"/>
    <x v="2"/>
    <x v="1"/>
    <n v="0"/>
    <n v="2"/>
    <n v="0"/>
    <m/>
    <x v="1"/>
    <n v="0.1357021175431819"/>
  </r>
  <r>
    <x v="6"/>
    <x v="0"/>
    <x v="0"/>
    <x v="0"/>
    <x v="3"/>
    <x v="1"/>
    <x v="1"/>
    <x v="1"/>
    <x v="2"/>
    <x v="9"/>
    <n v="0"/>
    <n v="2"/>
    <n v="0"/>
    <m/>
    <x v="1"/>
    <n v="0.32497126456482978"/>
  </r>
  <r>
    <x v="14"/>
    <x v="1"/>
    <x v="0"/>
    <x v="0"/>
    <x v="3"/>
    <x v="1"/>
    <x v="0"/>
    <x v="0"/>
    <x v="2"/>
    <x v="9"/>
    <n v="0"/>
    <n v="1"/>
    <n v="0"/>
    <m/>
    <x v="1"/>
    <n v="0.38271027807477309"/>
  </r>
  <r>
    <x v="7"/>
    <x v="0"/>
    <x v="1"/>
    <x v="0"/>
    <x v="3"/>
    <x v="0"/>
    <x v="1"/>
    <x v="1"/>
    <x v="2"/>
    <x v="3"/>
    <n v="0"/>
    <n v="1"/>
    <n v="0"/>
    <m/>
    <x v="1"/>
    <n v="6.407072599452876E-2"/>
  </r>
  <r>
    <x v="4"/>
    <x v="1"/>
    <x v="0"/>
    <x v="2"/>
    <x v="2"/>
    <x v="0"/>
    <x v="1"/>
    <x v="1"/>
    <x v="2"/>
    <x v="9"/>
    <n v="0"/>
    <n v="1"/>
    <n v="0"/>
    <m/>
    <x v="1"/>
    <n v="0.1264319832806283"/>
  </r>
  <r>
    <x v="3"/>
    <x v="0"/>
    <x v="0"/>
    <x v="2"/>
    <x v="0"/>
    <x v="1"/>
    <x v="0"/>
    <x v="0"/>
    <x v="2"/>
    <x v="9"/>
    <n v="0"/>
    <n v="1"/>
    <n v="0"/>
    <m/>
    <x v="1"/>
    <n v="0.21345196731745306"/>
  </r>
  <r>
    <x v="1"/>
    <x v="0"/>
    <x v="1"/>
    <x v="0"/>
    <x v="3"/>
    <x v="1"/>
    <x v="1"/>
    <x v="1"/>
    <x v="1"/>
    <x v="4"/>
    <n v="0"/>
    <n v="1"/>
    <n v="0"/>
    <m/>
    <x v="0"/>
    <n v="3.796116348571927E-2"/>
  </r>
  <r>
    <x v="8"/>
    <x v="0"/>
    <x v="1"/>
    <x v="0"/>
    <x v="2"/>
    <x v="1"/>
    <x v="1"/>
    <x v="1"/>
    <x v="1"/>
    <x v="7"/>
    <n v="0"/>
    <n v="3"/>
    <n v="0"/>
    <m/>
    <x v="1"/>
    <n v="8.4914803125449814E-2"/>
  </r>
  <r>
    <x v="4"/>
    <x v="1"/>
    <x v="1"/>
    <x v="2"/>
    <x v="0"/>
    <x v="0"/>
    <x v="0"/>
    <x v="1"/>
    <x v="2"/>
    <x v="9"/>
    <n v="0"/>
    <n v="1"/>
    <n v="0"/>
    <m/>
    <x v="1"/>
    <n v="0.12646792194996428"/>
  </r>
  <r>
    <x v="1"/>
    <x v="1"/>
    <x v="0"/>
    <x v="2"/>
    <x v="0"/>
    <x v="1"/>
    <x v="0"/>
    <x v="1"/>
    <x v="1"/>
    <x v="8"/>
    <n v="0"/>
    <n v="2"/>
    <n v="0"/>
    <m/>
    <x v="0"/>
    <n v="0.21454080743188383"/>
  </r>
  <r>
    <x v="19"/>
    <x v="0"/>
    <x v="1"/>
    <x v="0"/>
    <x v="3"/>
    <x v="1"/>
    <x v="0"/>
    <x v="1"/>
    <x v="0"/>
    <x v="8"/>
    <n v="0"/>
    <n v="1"/>
    <n v="0"/>
    <m/>
    <x v="1"/>
    <n v="0.11253926602183867"/>
  </r>
  <r>
    <x v="3"/>
    <x v="0"/>
    <x v="1"/>
    <x v="1"/>
    <x v="3"/>
    <x v="1"/>
    <x v="0"/>
    <x v="1"/>
    <x v="2"/>
    <x v="8"/>
    <n v="0"/>
    <n v="1"/>
    <n v="0"/>
    <m/>
    <x v="1"/>
    <n v="0.11495729196366554"/>
  </r>
  <r>
    <x v="2"/>
    <x v="1"/>
    <x v="0"/>
    <x v="0"/>
    <x v="2"/>
    <x v="1"/>
    <x v="0"/>
    <x v="0"/>
    <x v="2"/>
    <x v="9"/>
    <n v="0"/>
    <n v="1"/>
    <n v="0"/>
    <m/>
    <x v="1"/>
    <n v="0.31398055376811668"/>
  </r>
  <r>
    <x v="14"/>
    <x v="0"/>
    <x v="1"/>
    <x v="2"/>
    <x v="2"/>
    <x v="0"/>
    <x v="0"/>
    <x v="0"/>
    <x v="0"/>
    <x v="3"/>
    <n v="0"/>
    <n v="1"/>
    <n v="0"/>
    <m/>
    <x v="1"/>
    <n v="5.8884716464189815E-2"/>
  </r>
  <r>
    <x v="7"/>
    <x v="0"/>
    <x v="0"/>
    <x v="0"/>
    <x v="2"/>
    <x v="1"/>
    <x v="0"/>
    <x v="1"/>
    <x v="0"/>
    <x v="8"/>
    <n v="0"/>
    <n v="2"/>
    <n v="0"/>
    <m/>
    <x v="1"/>
    <n v="0.23756451250297758"/>
  </r>
  <r>
    <x v="9"/>
    <x v="0"/>
    <x v="1"/>
    <x v="0"/>
    <x v="3"/>
    <x v="1"/>
    <x v="0"/>
    <x v="0"/>
    <x v="1"/>
    <x v="1"/>
    <n v="0"/>
    <n v="1"/>
    <n v="0"/>
    <m/>
    <x v="0"/>
    <n v="7.6980948887072007E-2"/>
  </r>
  <r>
    <x v="5"/>
    <x v="0"/>
    <x v="0"/>
    <x v="0"/>
    <x v="2"/>
    <x v="1"/>
    <x v="1"/>
    <x v="0"/>
    <x v="2"/>
    <x v="9"/>
    <n v="0"/>
    <n v="1"/>
    <n v="0"/>
    <m/>
    <x v="0"/>
    <n v="0.12527880269335515"/>
  </r>
  <r>
    <x v="16"/>
    <x v="1"/>
    <x v="0"/>
    <x v="0"/>
    <x v="3"/>
    <x v="1"/>
    <x v="1"/>
    <x v="1"/>
    <x v="0"/>
    <x v="8"/>
    <n v="0"/>
    <n v="1"/>
    <n v="0"/>
    <m/>
    <x v="1"/>
    <n v="0.11552492690011482"/>
  </r>
  <r>
    <x v="17"/>
    <x v="1"/>
    <x v="1"/>
    <x v="2"/>
    <x v="1"/>
    <x v="0"/>
    <x v="0"/>
    <x v="1"/>
    <x v="2"/>
    <x v="9"/>
    <n v="0"/>
    <n v="1"/>
    <n v="0"/>
    <m/>
    <x v="0"/>
    <n v="0.17688245213181047"/>
  </r>
  <r>
    <x v="21"/>
    <x v="1"/>
    <x v="0"/>
    <x v="2"/>
    <x v="2"/>
    <x v="1"/>
    <x v="0"/>
    <x v="1"/>
    <x v="2"/>
    <x v="9"/>
    <n v="0"/>
    <n v="1"/>
    <n v="0"/>
    <m/>
    <x v="1"/>
    <n v="0.37581664832801498"/>
  </r>
  <r>
    <x v="20"/>
    <x v="1"/>
    <x v="1"/>
    <x v="0"/>
    <x v="2"/>
    <x v="0"/>
    <x v="0"/>
    <x v="1"/>
    <x v="2"/>
    <x v="9"/>
    <n v="0"/>
    <n v="1"/>
    <n v="0"/>
    <m/>
    <x v="0"/>
    <n v="0.13904095240248723"/>
  </r>
  <r>
    <x v="22"/>
    <x v="1"/>
    <x v="0"/>
    <x v="1"/>
    <x v="0"/>
    <x v="0"/>
    <x v="1"/>
    <x v="1"/>
    <x v="0"/>
    <x v="5"/>
    <n v="0"/>
    <n v="1"/>
    <n v="0"/>
    <m/>
    <x v="0"/>
    <n v="1.4997899225310888E-2"/>
  </r>
  <r>
    <x v="11"/>
    <x v="1"/>
    <x v="0"/>
    <x v="2"/>
    <x v="0"/>
    <x v="0"/>
    <x v="1"/>
    <x v="0"/>
    <x v="0"/>
    <x v="2"/>
    <n v="0"/>
    <n v="1"/>
    <n v="0"/>
    <m/>
    <x v="1"/>
    <n v="4.2069997453546046E-2"/>
  </r>
  <r>
    <x v="13"/>
    <x v="0"/>
    <x v="0"/>
    <x v="0"/>
    <x v="3"/>
    <x v="1"/>
    <x v="1"/>
    <x v="1"/>
    <x v="0"/>
    <x v="1"/>
    <n v="0"/>
    <n v="1"/>
    <n v="0"/>
    <m/>
    <x v="1"/>
    <n v="7.951922355711924E-2"/>
  </r>
  <r>
    <x v="14"/>
    <x v="1"/>
    <x v="0"/>
    <x v="1"/>
    <x v="1"/>
    <x v="1"/>
    <x v="0"/>
    <x v="1"/>
    <x v="2"/>
    <x v="9"/>
    <n v="0"/>
    <n v="1"/>
    <n v="0"/>
    <m/>
    <x v="1"/>
    <n v="0.17433593735276651"/>
  </r>
  <r>
    <x v="12"/>
    <x v="0"/>
    <x v="0"/>
    <x v="1"/>
    <x v="2"/>
    <x v="1"/>
    <x v="0"/>
    <x v="0"/>
    <x v="1"/>
    <x v="4"/>
    <n v="0"/>
    <n v="1"/>
    <n v="0"/>
    <m/>
    <x v="1"/>
    <n v="3.8861886041588509E-2"/>
  </r>
  <r>
    <x v="10"/>
    <x v="1"/>
    <x v="0"/>
    <x v="1"/>
    <x v="3"/>
    <x v="0"/>
    <x v="1"/>
    <x v="1"/>
    <x v="2"/>
    <x v="3"/>
    <n v="1"/>
    <n v="1"/>
    <n v="0"/>
    <m/>
    <x v="1"/>
    <n v="6.3645794272210038E-2"/>
  </r>
  <r>
    <x v="19"/>
    <x v="1"/>
    <x v="0"/>
    <x v="1"/>
    <x v="0"/>
    <x v="0"/>
    <x v="0"/>
    <x v="0"/>
    <x v="2"/>
    <x v="1"/>
    <n v="0"/>
    <n v="1"/>
    <n v="0"/>
    <m/>
    <x v="1"/>
    <n v="6.7402860630559377E-2"/>
  </r>
  <r>
    <x v="11"/>
    <x v="1"/>
    <x v="0"/>
    <x v="2"/>
    <x v="3"/>
    <x v="1"/>
    <x v="1"/>
    <x v="1"/>
    <x v="1"/>
    <x v="8"/>
    <n v="0"/>
    <n v="1"/>
    <n v="0"/>
    <m/>
    <x v="1"/>
    <n v="0.10153303979783772"/>
  </r>
  <r>
    <x v="15"/>
    <x v="1"/>
    <x v="1"/>
    <x v="2"/>
    <x v="3"/>
    <x v="1"/>
    <x v="1"/>
    <x v="0"/>
    <x v="1"/>
    <x v="1"/>
    <n v="0"/>
    <n v="1"/>
    <n v="0"/>
    <m/>
    <x v="0"/>
    <n v="7.277189802795718E-2"/>
  </r>
  <r>
    <x v="15"/>
    <x v="1"/>
    <x v="0"/>
    <x v="2"/>
    <x v="3"/>
    <x v="1"/>
    <x v="0"/>
    <x v="1"/>
    <x v="1"/>
    <x v="9"/>
    <n v="0"/>
    <n v="1"/>
    <n v="0"/>
    <m/>
    <x v="0"/>
    <n v="0.19280182250464545"/>
  </r>
  <r>
    <x v="10"/>
    <x v="0"/>
    <x v="0"/>
    <x v="0"/>
    <x v="3"/>
    <x v="0"/>
    <x v="1"/>
    <x v="1"/>
    <x v="2"/>
    <x v="8"/>
    <n v="0"/>
    <n v="1"/>
    <n v="0"/>
    <m/>
    <x v="1"/>
    <n v="8.9725737736983821E-2"/>
  </r>
  <r>
    <x v="7"/>
    <x v="1"/>
    <x v="1"/>
    <x v="0"/>
    <x v="3"/>
    <x v="0"/>
    <x v="0"/>
    <x v="1"/>
    <x v="0"/>
    <x v="8"/>
    <n v="0"/>
    <n v="1"/>
    <n v="0"/>
    <m/>
    <x v="1"/>
    <n v="8.8764690714321179E-2"/>
  </r>
  <r>
    <x v="2"/>
    <x v="0"/>
    <x v="1"/>
    <x v="2"/>
    <x v="0"/>
    <x v="0"/>
    <x v="1"/>
    <x v="1"/>
    <x v="0"/>
    <x v="5"/>
    <n v="0"/>
    <n v="1"/>
    <n v="0"/>
    <m/>
    <x v="1"/>
    <n v="1.9774425808023691E-2"/>
  </r>
  <r>
    <x v="3"/>
    <x v="1"/>
    <x v="0"/>
    <x v="0"/>
    <x v="2"/>
    <x v="0"/>
    <x v="1"/>
    <x v="0"/>
    <x v="0"/>
    <x v="0"/>
    <n v="0"/>
    <n v="1"/>
    <n v="0"/>
    <m/>
    <x v="1"/>
    <n v="4.6701039199944734E-2"/>
  </r>
  <r>
    <x v="3"/>
    <x v="1"/>
    <x v="0"/>
    <x v="1"/>
    <x v="0"/>
    <x v="0"/>
    <x v="0"/>
    <x v="1"/>
    <x v="2"/>
    <x v="1"/>
    <n v="0"/>
    <n v="1"/>
    <n v="0"/>
    <m/>
    <x v="1"/>
    <n v="6.7402860630559377E-2"/>
  </r>
  <r>
    <x v="19"/>
    <x v="1"/>
    <x v="0"/>
    <x v="2"/>
    <x v="0"/>
    <x v="1"/>
    <x v="0"/>
    <x v="0"/>
    <x v="1"/>
    <x v="8"/>
    <n v="0"/>
    <n v="2"/>
    <n v="0"/>
    <m/>
    <x v="1"/>
    <n v="0.21454080743188383"/>
  </r>
  <r>
    <x v="7"/>
    <x v="0"/>
    <x v="1"/>
    <x v="1"/>
    <x v="2"/>
    <x v="0"/>
    <x v="0"/>
    <x v="1"/>
    <x v="1"/>
    <x v="6"/>
    <n v="0"/>
    <n v="1"/>
    <n v="0"/>
    <m/>
    <x v="1"/>
    <n v="1.4066294421662752E-2"/>
  </r>
  <r>
    <x v="20"/>
    <x v="1"/>
    <x v="0"/>
    <x v="2"/>
    <x v="3"/>
    <x v="1"/>
    <x v="0"/>
    <x v="1"/>
    <x v="2"/>
    <x v="9"/>
    <n v="0"/>
    <n v="1"/>
    <n v="0"/>
    <m/>
    <x v="0"/>
    <n v="0.44921867129852688"/>
  </r>
  <r>
    <x v="1"/>
    <x v="0"/>
    <x v="1"/>
    <x v="0"/>
    <x v="2"/>
    <x v="1"/>
    <x v="0"/>
    <x v="1"/>
    <x v="2"/>
    <x v="9"/>
    <n v="0"/>
    <n v="1"/>
    <n v="0"/>
    <m/>
    <x v="0"/>
    <n v="0.17371434400069519"/>
  </r>
  <r>
    <x v="3"/>
    <x v="1"/>
    <x v="0"/>
    <x v="1"/>
    <x v="0"/>
    <x v="0"/>
    <x v="1"/>
    <x v="1"/>
    <x v="2"/>
    <x v="4"/>
    <n v="0"/>
    <n v="1"/>
    <n v="0"/>
    <m/>
    <x v="1"/>
    <n v="3.306406644322489E-2"/>
  </r>
  <r>
    <x v="17"/>
    <x v="1"/>
    <x v="1"/>
    <x v="0"/>
    <x v="2"/>
    <x v="0"/>
    <x v="1"/>
    <x v="0"/>
    <x v="1"/>
    <x v="7"/>
    <n v="0"/>
    <n v="1"/>
    <n v="0"/>
    <m/>
    <x v="0"/>
    <n v="2.1886493307591109E-2"/>
  </r>
  <r>
    <x v="19"/>
    <x v="1"/>
    <x v="1"/>
    <x v="2"/>
    <x v="0"/>
    <x v="0"/>
    <x v="0"/>
    <x v="1"/>
    <x v="1"/>
    <x v="4"/>
    <n v="0"/>
    <n v="1"/>
    <n v="0"/>
    <m/>
    <x v="1"/>
    <n v="4.0674290026531716E-2"/>
  </r>
  <r>
    <x v="3"/>
    <x v="1"/>
    <x v="1"/>
    <x v="2"/>
    <x v="3"/>
    <x v="0"/>
    <x v="0"/>
    <x v="1"/>
    <x v="1"/>
    <x v="1"/>
    <n v="0"/>
    <n v="1"/>
    <n v="0"/>
    <m/>
    <x v="1"/>
    <n v="7.7729057731603199E-2"/>
  </r>
  <r>
    <x v="16"/>
    <x v="0"/>
    <x v="1"/>
    <x v="2"/>
    <x v="1"/>
    <x v="1"/>
    <x v="0"/>
    <x v="1"/>
    <x v="2"/>
    <x v="9"/>
    <n v="0"/>
    <n v="1"/>
    <n v="0"/>
    <m/>
    <x v="1"/>
    <n v="0.21859660432790401"/>
  </r>
  <r>
    <x v="12"/>
    <x v="0"/>
    <x v="0"/>
    <x v="1"/>
    <x v="2"/>
    <x v="0"/>
    <x v="0"/>
    <x v="1"/>
    <x v="2"/>
    <x v="1"/>
    <n v="0"/>
    <n v="1"/>
    <n v="0"/>
    <m/>
    <x v="1"/>
    <n v="6.5548751803400848E-2"/>
  </r>
  <r>
    <x v="11"/>
    <x v="1"/>
    <x v="0"/>
    <x v="0"/>
    <x v="3"/>
    <x v="1"/>
    <x v="1"/>
    <x v="1"/>
    <x v="2"/>
    <x v="9"/>
    <n v="0"/>
    <n v="1"/>
    <n v="0"/>
    <m/>
    <x v="1"/>
    <n v="0.22680169202414502"/>
  </r>
  <r>
    <x v="11"/>
    <x v="1"/>
    <x v="0"/>
    <x v="0"/>
    <x v="0"/>
    <x v="0"/>
    <x v="1"/>
    <x v="0"/>
    <x v="2"/>
    <x v="1"/>
    <n v="0"/>
    <n v="1"/>
    <n v="0"/>
    <m/>
    <x v="1"/>
    <n v="6.974431660442891E-2"/>
  </r>
  <r>
    <x v="7"/>
    <x v="0"/>
    <x v="0"/>
    <x v="0"/>
    <x v="3"/>
    <x v="0"/>
    <x v="0"/>
    <x v="1"/>
    <x v="2"/>
    <x v="9"/>
    <n v="0"/>
    <n v="2"/>
    <n v="0"/>
    <m/>
    <x v="1"/>
    <n v="0.34483527205385262"/>
  </r>
  <r>
    <x v="16"/>
    <x v="0"/>
    <x v="1"/>
    <x v="1"/>
    <x v="3"/>
    <x v="1"/>
    <x v="1"/>
    <x v="1"/>
    <x v="1"/>
    <x v="5"/>
    <n v="0"/>
    <n v="1"/>
    <n v="0"/>
    <m/>
    <x v="1"/>
    <n v="1.7678788746375976E-2"/>
  </r>
  <r>
    <x v="11"/>
    <x v="1"/>
    <x v="1"/>
    <x v="2"/>
    <x v="1"/>
    <x v="1"/>
    <x v="0"/>
    <x v="1"/>
    <x v="2"/>
    <x v="9"/>
    <n v="0"/>
    <n v="1"/>
    <n v="0"/>
    <m/>
    <x v="1"/>
    <n v="0.29724028639102335"/>
  </r>
  <r>
    <x v="6"/>
    <x v="1"/>
    <x v="0"/>
    <x v="1"/>
    <x v="1"/>
    <x v="0"/>
    <x v="0"/>
    <x v="1"/>
    <x v="2"/>
    <x v="8"/>
    <n v="0"/>
    <n v="1"/>
    <n v="0"/>
    <m/>
    <x v="1"/>
    <n v="9.6883413810830737E-2"/>
  </r>
  <r>
    <x v="7"/>
    <x v="1"/>
    <x v="0"/>
    <x v="2"/>
    <x v="3"/>
    <x v="1"/>
    <x v="0"/>
    <x v="1"/>
    <x v="2"/>
    <x v="9"/>
    <n v="0"/>
    <n v="2"/>
    <n v="0"/>
    <m/>
    <x v="1"/>
    <n v="0.89843734259705377"/>
  </r>
  <r>
    <x v="20"/>
    <x v="0"/>
    <x v="0"/>
    <x v="2"/>
    <x v="3"/>
    <x v="0"/>
    <x v="0"/>
    <x v="1"/>
    <x v="1"/>
    <x v="1"/>
    <n v="0"/>
    <n v="1"/>
    <n v="0"/>
    <m/>
    <x v="0"/>
    <n v="7.4300283703463171E-2"/>
  </r>
  <r>
    <x v="4"/>
    <x v="1"/>
    <x v="0"/>
    <x v="1"/>
    <x v="2"/>
    <x v="0"/>
    <x v="0"/>
    <x v="1"/>
    <x v="2"/>
    <x v="8"/>
    <n v="0"/>
    <n v="1"/>
    <n v="0"/>
    <m/>
    <x v="1"/>
    <n v="9.5887690107650039E-2"/>
  </r>
  <r>
    <x v="22"/>
    <x v="0"/>
    <x v="0"/>
    <x v="1"/>
    <x v="0"/>
    <x v="0"/>
    <x v="0"/>
    <x v="1"/>
    <x v="1"/>
    <x v="6"/>
    <n v="0"/>
    <n v="1"/>
    <n v="0"/>
    <m/>
    <x v="0"/>
    <n v="1.3805950233332991E-2"/>
  </r>
  <r>
    <x v="18"/>
    <x v="0"/>
    <x v="0"/>
    <x v="0"/>
    <x v="0"/>
    <x v="0"/>
    <x v="1"/>
    <x v="1"/>
    <x v="0"/>
    <x v="7"/>
    <n v="0"/>
    <n v="1"/>
    <n v="0"/>
    <m/>
    <x v="1"/>
    <n v="2.1603464808317204E-2"/>
  </r>
  <r>
    <x v="22"/>
    <x v="0"/>
    <x v="1"/>
    <x v="0"/>
    <x v="2"/>
    <x v="0"/>
    <x v="1"/>
    <x v="1"/>
    <x v="0"/>
    <x v="7"/>
    <n v="0"/>
    <n v="1"/>
    <n v="0"/>
    <m/>
    <x v="0"/>
    <n v="2.2007568458762099E-2"/>
  </r>
  <r>
    <x v="19"/>
    <x v="0"/>
    <x v="0"/>
    <x v="2"/>
    <x v="0"/>
    <x v="0"/>
    <x v="0"/>
    <x v="1"/>
    <x v="2"/>
    <x v="8"/>
    <n v="0"/>
    <n v="1"/>
    <n v="0"/>
    <m/>
    <x v="1"/>
    <n v="0.12117165620362885"/>
  </r>
  <r>
    <x v="21"/>
    <x v="0"/>
    <x v="1"/>
    <x v="2"/>
    <x v="2"/>
    <x v="0"/>
    <x v="0"/>
    <x v="0"/>
    <x v="2"/>
    <x v="8"/>
    <n v="0"/>
    <n v="1"/>
    <n v="0"/>
    <m/>
    <x v="1"/>
    <n v="0.12320370260660997"/>
  </r>
  <r>
    <x v="7"/>
    <x v="1"/>
    <x v="1"/>
    <x v="2"/>
    <x v="2"/>
    <x v="1"/>
    <x v="0"/>
    <x v="1"/>
    <x v="1"/>
    <x v="8"/>
    <n v="0"/>
    <n v="1"/>
    <n v="0"/>
    <m/>
    <x v="1"/>
    <n v="0.10909826649368773"/>
  </r>
  <r>
    <x v="7"/>
    <x v="0"/>
    <x v="1"/>
    <x v="0"/>
    <x v="2"/>
    <x v="0"/>
    <x v="1"/>
    <x v="1"/>
    <x v="1"/>
    <x v="5"/>
    <n v="0"/>
    <n v="1"/>
    <n v="0"/>
    <m/>
    <x v="1"/>
    <n v="1.458390684269004E-2"/>
  </r>
  <r>
    <x v="12"/>
    <x v="1"/>
    <x v="0"/>
    <x v="0"/>
    <x v="2"/>
    <x v="0"/>
    <x v="1"/>
    <x v="0"/>
    <x v="0"/>
    <x v="0"/>
    <n v="0"/>
    <n v="1"/>
    <n v="0"/>
    <m/>
    <x v="1"/>
    <n v="4.6701039199944734E-2"/>
  </r>
  <r>
    <x v="4"/>
    <x v="1"/>
    <x v="0"/>
    <x v="2"/>
    <x v="2"/>
    <x v="1"/>
    <x v="0"/>
    <x v="1"/>
    <x v="2"/>
    <x v="9"/>
    <n v="0"/>
    <n v="1"/>
    <n v="0"/>
    <m/>
    <x v="1"/>
    <n v="0.37581664832801498"/>
  </r>
  <r>
    <x v="3"/>
    <x v="0"/>
    <x v="1"/>
    <x v="0"/>
    <x v="3"/>
    <x v="1"/>
    <x v="0"/>
    <x v="1"/>
    <x v="0"/>
    <x v="8"/>
    <n v="0"/>
    <n v="1"/>
    <n v="0"/>
    <m/>
    <x v="1"/>
    <n v="0.11253926602183867"/>
  </r>
  <r>
    <x v="2"/>
    <x v="1"/>
    <x v="0"/>
    <x v="1"/>
    <x v="1"/>
    <x v="1"/>
    <x v="0"/>
    <x v="1"/>
    <x v="2"/>
    <x v="9"/>
    <n v="0"/>
    <n v="1"/>
    <n v="0"/>
    <m/>
    <x v="1"/>
    <n v="0.17433593735276651"/>
  </r>
  <r>
    <x v="0"/>
    <x v="0"/>
    <x v="1"/>
    <x v="1"/>
    <x v="2"/>
    <x v="0"/>
    <x v="1"/>
    <x v="1"/>
    <x v="0"/>
    <x v="6"/>
    <n v="0"/>
    <n v="1"/>
    <n v="0"/>
    <m/>
    <x v="0"/>
    <n v="1.0159072239262455E-2"/>
  </r>
  <r>
    <x v="19"/>
    <x v="0"/>
    <x v="0"/>
    <x v="1"/>
    <x v="3"/>
    <x v="0"/>
    <x v="0"/>
    <x v="1"/>
    <x v="0"/>
    <x v="4"/>
    <n v="0"/>
    <n v="1"/>
    <n v="0"/>
    <m/>
    <x v="1"/>
    <n v="4.0593804970199057E-2"/>
  </r>
  <r>
    <x v="13"/>
    <x v="1"/>
    <x v="0"/>
    <x v="2"/>
    <x v="2"/>
    <x v="1"/>
    <x v="0"/>
    <x v="0"/>
    <x v="0"/>
    <x v="9"/>
    <n v="0"/>
    <n v="1"/>
    <n v="0"/>
    <m/>
    <x v="1"/>
    <n v="0.21141932175066067"/>
  </r>
  <r>
    <x v="21"/>
    <x v="1"/>
    <x v="1"/>
    <x v="2"/>
    <x v="0"/>
    <x v="0"/>
    <x v="0"/>
    <x v="0"/>
    <x v="2"/>
    <x v="9"/>
    <n v="0"/>
    <n v="1"/>
    <n v="0"/>
    <m/>
    <x v="1"/>
    <n v="0.12646792194996428"/>
  </r>
  <r>
    <x v="22"/>
    <x v="1"/>
    <x v="0"/>
    <x v="2"/>
    <x v="2"/>
    <x v="0"/>
    <x v="0"/>
    <x v="0"/>
    <x v="1"/>
    <x v="1"/>
    <n v="0"/>
    <n v="1"/>
    <n v="0"/>
    <m/>
    <x v="0"/>
    <n v="8.221989569595807E-2"/>
  </r>
  <r>
    <x v="14"/>
    <x v="0"/>
    <x v="0"/>
    <x v="2"/>
    <x v="2"/>
    <x v="1"/>
    <x v="0"/>
    <x v="0"/>
    <x v="1"/>
    <x v="8"/>
    <n v="0"/>
    <n v="1"/>
    <n v="0"/>
    <m/>
    <x v="1"/>
    <n v="0.10444244110474776"/>
  </r>
  <r>
    <x v="15"/>
    <x v="1"/>
    <x v="0"/>
    <x v="2"/>
    <x v="3"/>
    <x v="0"/>
    <x v="1"/>
    <x v="1"/>
    <x v="2"/>
    <x v="9"/>
    <n v="0"/>
    <n v="1"/>
    <n v="0"/>
    <m/>
    <x v="0"/>
    <n v="0.16391711892382171"/>
  </r>
  <r>
    <x v="16"/>
    <x v="0"/>
    <x v="0"/>
    <x v="2"/>
    <x v="0"/>
    <x v="1"/>
    <x v="0"/>
    <x v="0"/>
    <x v="2"/>
    <x v="9"/>
    <n v="0"/>
    <n v="1"/>
    <n v="0"/>
    <m/>
    <x v="1"/>
    <n v="0.21345196731745306"/>
  </r>
  <r>
    <x v="8"/>
    <x v="1"/>
    <x v="0"/>
    <x v="0"/>
    <x v="0"/>
    <x v="1"/>
    <x v="0"/>
    <x v="0"/>
    <x v="0"/>
    <x v="8"/>
    <n v="0"/>
    <n v="1"/>
    <n v="0"/>
    <m/>
    <x v="1"/>
    <n v="0.12194562411528299"/>
  </r>
  <r>
    <x v="5"/>
    <x v="0"/>
    <x v="0"/>
    <x v="0"/>
    <x v="0"/>
    <x v="1"/>
    <x v="0"/>
    <x v="0"/>
    <x v="0"/>
    <x v="1"/>
    <n v="0"/>
    <n v="1"/>
    <n v="0"/>
    <m/>
    <x v="0"/>
    <n v="8.4129123046113322E-2"/>
  </r>
  <r>
    <x v="7"/>
    <x v="1"/>
    <x v="0"/>
    <x v="2"/>
    <x v="3"/>
    <x v="0"/>
    <x v="1"/>
    <x v="1"/>
    <x v="2"/>
    <x v="9"/>
    <n v="0"/>
    <n v="1"/>
    <n v="0"/>
    <m/>
    <x v="1"/>
    <n v="0.16391711892382171"/>
  </r>
  <r>
    <x v="10"/>
    <x v="1"/>
    <x v="1"/>
    <x v="0"/>
    <x v="2"/>
    <x v="1"/>
    <x v="1"/>
    <x v="1"/>
    <x v="0"/>
    <x v="3"/>
    <n v="0"/>
    <n v="1"/>
    <n v="0"/>
    <m/>
    <x v="1"/>
    <n v="6.2762040961245935E-2"/>
  </r>
  <r>
    <x v="13"/>
    <x v="0"/>
    <x v="0"/>
    <x v="2"/>
    <x v="2"/>
    <x v="0"/>
    <x v="1"/>
    <x v="1"/>
    <x v="1"/>
    <x v="7"/>
    <n v="0"/>
    <n v="1"/>
    <n v="0"/>
    <m/>
    <x v="1"/>
    <n v="2.7269210474849294E-2"/>
  </r>
  <r>
    <x v="19"/>
    <x v="1"/>
    <x v="1"/>
    <x v="1"/>
    <x v="0"/>
    <x v="0"/>
    <x v="1"/>
    <x v="1"/>
    <x v="2"/>
    <x v="7"/>
    <n v="0"/>
    <n v="1"/>
    <n v="0"/>
    <m/>
    <x v="1"/>
    <n v="2.3197290433253883E-2"/>
  </r>
  <r>
    <x v="7"/>
    <x v="0"/>
    <x v="1"/>
    <x v="0"/>
    <x v="3"/>
    <x v="1"/>
    <x v="0"/>
    <x v="1"/>
    <x v="2"/>
    <x v="9"/>
    <n v="0"/>
    <n v="1"/>
    <n v="0"/>
    <m/>
    <x v="1"/>
    <n v="0.22166089127555452"/>
  </r>
  <r>
    <x v="0"/>
    <x v="0"/>
    <x v="1"/>
    <x v="0"/>
    <x v="1"/>
    <x v="0"/>
    <x v="0"/>
    <x v="1"/>
    <x v="1"/>
    <x v="4"/>
    <n v="26"/>
    <n v="27"/>
    <n v="0"/>
    <n v="26"/>
    <x v="0"/>
    <n v="0.82809542312897799"/>
  </r>
  <r>
    <x v="0"/>
    <x v="1"/>
    <x v="1"/>
    <x v="0"/>
    <x v="0"/>
    <x v="0"/>
    <x v="0"/>
    <x v="0"/>
    <x v="1"/>
    <x v="4"/>
    <n v="15"/>
    <n v="16"/>
    <n v="0"/>
    <n v="15"/>
    <x v="0"/>
    <n v="0.49957421622768089"/>
  </r>
  <r>
    <x v="5"/>
    <x v="1"/>
    <x v="1"/>
    <x v="0"/>
    <x v="0"/>
    <x v="0"/>
    <x v="0"/>
    <x v="0"/>
    <x v="0"/>
    <x v="0"/>
    <n v="3"/>
    <n v="5"/>
    <n v="0"/>
    <n v="3"/>
    <x v="0"/>
    <n v="0.23357763046412891"/>
  </r>
  <r>
    <x v="18"/>
    <x v="1"/>
    <x v="0"/>
    <x v="2"/>
    <x v="0"/>
    <x v="0"/>
    <x v="0"/>
    <x v="1"/>
    <x v="0"/>
    <x v="8"/>
    <n v="2"/>
    <n v="2"/>
    <n v="0"/>
    <m/>
    <x v="1"/>
    <n v="0.1698806119097156"/>
  </r>
  <r>
    <x v="4"/>
    <x v="0"/>
    <x v="0"/>
    <x v="0"/>
    <x v="1"/>
    <x v="0"/>
    <x v="0"/>
    <x v="1"/>
    <x v="1"/>
    <x v="2"/>
    <n v="68"/>
    <n v="88"/>
    <n v="0"/>
    <m/>
    <x v="1"/>
    <n v="3.8344880304176217"/>
  </r>
  <r>
    <x v="5"/>
    <x v="0"/>
    <x v="0"/>
    <x v="0"/>
    <x v="2"/>
    <x v="0"/>
    <x v="0"/>
    <x v="1"/>
    <x v="0"/>
    <x v="3"/>
    <n v="9"/>
    <n v="10"/>
    <n v="1"/>
    <n v="9"/>
    <x v="0"/>
    <n v="0.64094727704312648"/>
  </r>
  <r>
    <x v="21"/>
    <x v="0"/>
    <x v="0"/>
    <x v="0"/>
    <x v="0"/>
    <x v="1"/>
    <x v="0"/>
    <x v="0"/>
    <x v="1"/>
    <x v="0"/>
    <n v="3"/>
    <n v="4"/>
    <n v="0"/>
    <m/>
    <x v="1"/>
    <n v="0.22788448568326095"/>
  </r>
  <r>
    <x v="4"/>
    <x v="0"/>
    <x v="0"/>
    <x v="0"/>
    <x v="1"/>
    <x v="0"/>
    <x v="0"/>
    <x v="1"/>
    <x v="0"/>
    <x v="1"/>
    <n v="22"/>
    <n v="33"/>
    <n v="0"/>
    <m/>
    <x v="1"/>
    <n v="2.1378707221254736"/>
  </r>
  <r>
    <x v="19"/>
    <x v="0"/>
    <x v="1"/>
    <x v="0"/>
    <x v="0"/>
    <x v="1"/>
    <x v="0"/>
    <x v="1"/>
    <x v="1"/>
    <x v="4"/>
    <n v="1"/>
    <n v="1"/>
    <n v="0"/>
    <m/>
    <x v="1"/>
    <n v="4.0267246343836334E-2"/>
  </r>
  <r>
    <x v="16"/>
    <x v="0"/>
    <x v="1"/>
    <x v="0"/>
    <x v="1"/>
    <x v="0"/>
    <x v="0"/>
    <x v="1"/>
    <x v="1"/>
    <x v="4"/>
    <n v="20"/>
    <n v="30"/>
    <n v="0"/>
    <m/>
    <x v="1"/>
    <n v="0.92010602569886446"/>
  </r>
  <r>
    <x v="12"/>
    <x v="1"/>
    <x v="0"/>
    <x v="2"/>
    <x v="1"/>
    <x v="0"/>
    <x v="0"/>
    <x v="1"/>
    <x v="1"/>
    <x v="1"/>
    <n v="29"/>
    <n v="34"/>
    <n v="1"/>
    <m/>
    <x v="1"/>
    <n v="2.8249489054469334"/>
  </r>
  <r>
    <x v="5"/>
    <x v="0"/>
    <x v="1"/>
    <x v="0"/>
    <x v="1"/>
    <x v="0"/>
    <x v="0"/>
    <x v="1"/>
    <x v="0"/>
    <x v="0"/>
    <n v="9"/>
    <n v="11"/>
    <n v="1"/>
    <n v="9"/>
    <x v="0"/>
    <n v="0.50490954276646005"/>
  </r>
  <r>
    <x v="12"/>
    <x v="0"/>
    <x v="0"/>
    <x v="0"/>
    <x v="0"/>
    <x v="0"/>
    <x v="0"/>
    <x v="0"/>
    <x v="1"/>
    <x v="7"/>
    <n v="40"/>
    <n v="46"/>
    <n v="0"/>
    <m/>
    <x v="1"/>
    <n v="1.3698719855485224"/>
  </r>
  <r>
    <x v="2"/>
    <x v="1"/>
    <x v="1"/>
    <x v="0"/>
    <x v="0"/>
    <x v="0"/>
    <x v="1"/>
    <x v="1"/>
    <x v="1"/>
    <x v="5"/>
    <n v="6"/>
    <n v="6"/>
    <n v="0"/>
    <m/>
    <x v="1"/>
    <n v="9.0117584641118811E-2"/>
  </r>
  <r>
    <x v="14"/>
    <x v="0"/>
    <x v="1"/>
    <x v="0"/>
    <x v="1"/>
    <x v="0"/>
    <x v="0"/>
    <x v="1"/>
    <x v="1"/>
    <x v="4"/>
    <n v="37"/>
    <n v="42"/>
    <n v="1"/>
    <m/>
    <x v="1"/>
    <n v="1.2881484359784101"/>
  </r>
  <r>
    <x v="12"/>
    <x v="0"/>
    <x v="0"/>
    <x v="0"/>
    <x v="1"/>
    <x v="0"/>
    <x v="0"/>
    <x v="1"/>
    <x v="1"/>
    <x v="2"/>
    <n v="78"/>
    <n v="91"/>
    <n v="0"/>
    <m/>
    <x v="1"/>
    <n v="3.9652092132727681"/>
  </r>
  <r>
    <x v="2"/>
    <x v="0"/>
    <x v="1"/>
    <x v="2"/>
    <x v="1"/>
    <x v="0"/>
    <x v="0"/>
    <x v="1"/>
    <x v="1"/>
    <x v="4"/>
    <n v="10"/>
    <n v="11"/>
    <n v="0"/>
    <m/>
    <x v="1"/>
    <n v="0.43956623285500623"/>
  </r>
  <r>
    <x v="0"/>
    <x v="0"/>
    <x v="1"/>
    <x v="0"/>
    <x v="2"/>
    <x v="1"/>
    <x v="1"/>
    <x v="1"/>
    <x v="1"/>
    <x v="7"/>
    <n v="2"/>
    <n v="2"/>
    <n v="0"/>
    <n v="2"/>
    <x v="0"/>
    <n v="5.6609868750299878E-2"/>
  </r>
  <r>
    <x v="9"/>
    <x v="0"/>
    <x v="1"/>
    <x v="2"/>
    <x v="0"/>
    <x v="0"/>
    <x v="0"/>
    <x v="0"/>
    <x v="1"/>
    <x v="7"/>
    <n v="4"/>
    <n v="4"/>
    <n v="1"/>
    <n v="4"/>
    <x v="0"/>
    <n v="0.10911136800135676"/>
  </r>
  <r>
    <x v="1"/>
    <x v="0"/>
    <x v="0"/>
    <x v="0"/>
    <x v="0"/>
    <x v="0"/>
    <x v="1"/>
    <x v="1"/>
    <x v="1"/>
    <x v="6"/>
    <n v="25"/>
    <n v="28"/>
    <n v="0"/>
    <n v="24"/>
    <x v="0"/>
    <n v="0.40079540423928628"/>
  </r>
  <r>
    <x v="6"/>
    <x v="1"/>
    <x v="0"/>
    <x v="0"/>
    <x v="0"/>
    <x v="0"/>
    <x v="0"/>
    <x v="1"/>
    <x v="1"/>
    <x v="0"/>
    <n v="28"/>
    <n v="31"/>
    <n v="0"/>
    <m/>
    <x v="1"/>
    <n v="1.3748191070641262"/>
  </r>
  <r>
    <x v="19"/>
    <x v="0"/>
    <x v="0"/>
    <x v="0"/>
    <x v="0"/>
    <x v="0"/>
    <x v="0"/>
    <x v="0"/>
    <x v="1"/>
    <x v="7"/>
    <n v="31"/>
    <n v="37"/>
    <n v="0"/>
    <m/>
    <x v="1"/>
    <n v="1.1018535535933767"/>
  </r>
  <r>
    <x v="21"/>
    <x v="0"/>
    <x v="1"/>
    <x v="0"/>
    <x v="0"/>
    <x v="1"/>
    <x v="1"/>
    <x v="0"/>
    <x v="0"/>
    <x v="7"/>
    <n v="1"/>
    <n v="1"/>
    <n v="0"/>
    <m/>
    <x v="1"/>
    <n v="2.9298407105615491E-2"/>
  </r>
  <r>
    <x v="10"/>
    <x v="0"/>
    <x v="0"/>
    <x v="2"/>
    <x v="0"/>
    <x v="1"/>
    <x v="0"/>
    <x v="0"/>
    <x v="0"/>
    <x v="8"/>
    <n v="1"/>
    <n v="1"/>
    <n v="0"/>
    <m/>
    <x v="1"/>
    <n v="0.10781175572643616"/>
  </r>
  <r>
    <x v="19"/>
    <x v="0"/>
    <x v="1"/>
    <x v="2"/>
    <x v="0"/>
    <x v="0"/>
    <x v="0"/>
    <x v="1"/>
    <x v="2"/>
    <x v="8"/>
    <n v="1"/>
    <n v="1"/>
    <n v="0"/>
    <m/>
    <x v="1"/>
    <n v="8.7388588178664475E-2"/>
  </r>
  <r>
    <x v="3"/>
    <x v="1"/>
    <x v="1"/>
    <x v="2"/>
    <x v="1"/>
    <x v="0"/>
    <x v="0"/>
    <x v="1"/>
    <x v="1"/>
    <x v="3"/>
    <n v="5"/>
    <n v="7"/>
    <n v="0"/>
    <m/>
    <x v="1"/>
    <n v="0.41444566356223211"/>
  </r>
  <r>
    <x v="11"/>
    <x v="0"/>
    <x v="1"/>
    <x v="0"/>
    <x v="0"/>
    <x v="0"/>
    <x v="0"/>
    <x v="1"/>
    <x v="1"/>
    <x v="5"/>
    <n v="12"/>
    <n v="13"/>
    <n v="0"/>
    <m/>
    <x v="1"/>
    <n v="0.27133544641561924"/>
  </r>
  <r>
    <x v="0"/>
    <x v="0"/>
    <x v="0"/>
    <x v="0"/>
    <x v="1"/>
    <x v="1"/>
    <x v="0"/>
    <x v="1"/>
    <x v="1"/>
    <x v="1"/>
    <n v="32"/>
    <n v="38"/>
    <n v="3"/>
    <n v="31"/>
    <x v="0"/>
    <n v="3.1270830562967213"/>
  </r>
  <r>
    <x v="16"/>
    <x v="1"/>
    <x v="0"/>
    <x v="2"/>
    <x v="0"/>
    <x v="0"/>
    <x v="0"/>
    <x v="1"/>
    <x v="1"/>
    <x v="0"/>
    <n v="6"/>
    <n v="10"/>
    <n v="0"/>
    <m/>
    <x v="1"/>
    <n v="0.57536894305784736"/>
  </r>
  <r>
    <x v="10"/>
    <x v="0"/>
    <x v="0"/>
    <x v="0"/>
    <x v="1"/>
    <x v="1"/>
    <x v="0"/>
    <x v="1"/>
    <x v="1"/>
    <x v="1"/>
    <n v="21"/>
    <n v="28"/>
    <n v="0"/>
    <m/>
    <x v="1"/>
    <n v="2.3041664625344263"/>
  </r>
  <r>
    <x v="3"/>
    <x v="1"/>
    <x v="0"/>
    <x v="2"/>
    <x v="1"/>
    <x v="0"/>
    <x v="0"/>
    <x v="1"/>
    <x v="1"/>
    <x v="1"/>
    <n v="31"/>
    <n v="42"/>
    <n v="0"/>
    <m/>
    <x v="1"/>
    <n v="3.4896427655520941"/>
  </r>
  <r>
    <x v="4"/>
    <x v="0"/>
    <x v="0"/>
    <x v="2"/>
    <x v="1"/>
    <x v="1"/>
    <x v="0"/>
    <x v="1"/>
    <x v="1"/>
    <x v="8"/>
    <n v="8"/>
    <n v="11"/>
    <n v="0"/>
    <m/>
    <x v="1"/>
    <n v="1.1606829516485193"/>
  </r>
  <r>
    <x v="2"/>
    <x v="0"/>
    <x v="1"/>
    <x v="0"/>
    <x v="0"/>
    <x v="1"/>
    <x v="0"/>
    <x v="0"/>
    <x v="1"/>
    <x v="4"/>
    <n v="4"/>
    <n v="4"/>
    <n v="0"/>
    <m/>
    <x v="1"/>
    <n v="0.16106898537534534"/>
  </r>
  <r>
    <x v="15"/>
    <x v="1"/>
    <x v="1"/>
    <x v="2"/>
    <x v="1"/>
    <x v="0"/>
    <x v="0"/>
    <x v="1"/>
    <x v="2"/>
    <x v="9"/>
    <n v="1"/>
    <n v="1"/>
    <n v="0"/>
    <n v="1"/>
    <x v="0"/>
    <n v="0.17688245213181047"/>
  </r>
  <r>
    <x v="19"/>
    <x v="0"/>
    <x v="0"/>
    <x v="0"/>
    <x v="2"/>
    <x v="0"/>
    <x v="0"/>
    <x v="1"/>
    <x v="1"/>
    <x v="2"/>
    <n v="6"/>
    <n v="8"/>
    <n v="0"/>
    <m/>
    <x v="1"/>
    <n v="0.344797994952589"/>
  </r>
  <r>
    <x v="3"/>
    <x v="0"/>
    <x v="0"/>
    <x v="0"/>
    <x v="0"/>
    <x v="0"/>
    <x v="0"/>
    <x v="1"/>
    <x v="2"/>
    <x v="8"/>
    <n v="4"/>
    <n v="6"/>
    <n v="0"/>
    <m/>
    <x v="1"/>
    <n v="0.5691980983720587"/>
  </r>
  <r>
    <x v="0"/>
    <x v="0"/>
    <x v="0"/>
    <x v="0"/>
    <x v="2"/>
    <x v="0"/>
    <x v="0"/>
    <x v="1"/>
    <x v="2"/>
    <x v="9"/>
    <n v="7"/>
    <n v="10"/>
    <n v="0"/>
    <n v="7"/>
    <x v="0"/>
    <n v="1.3329849722570279"/>
  </r>
  <r>
    <x v="11"/>
    <x v="0"/>
    <x v="1"/>
    <x v="0"/>
    <x v="0"/>
    <x v="0"/>
    <x v="1"/>
    <x v="0"/>
    <x v="1"/>
    <x v="6"/>
    <n v="4"/>
    <n v="4"/>
    <n v="0"/>
    <m/>
    <x v="1"/>
    <n v="3.993924539493561E-2"/>
  </r>
  <r>
    <x v="20"/>
    <x v="0"/>
    <x v="1"/>
    <x v="0"/>
    <x v="1"/>
    <x v="1"/>
    <x v="0"/>
    <x v="1"/>
    <x v="1"/>
    <x v="0"/>
    <n v="11"/>
    <n v="12"/>
    <n v="2"/>
    <n v="11"/>
    <x v="0"/>
    <n v="0.70350424696773628"/>
  </r>
  <r>
    <x v="16"/>
    <x v="1"/>
    <x v="1"/>
    <x v="0"/>
    <x v="0"/>
    <x v="1"/>
    <x v="0"/>
    <x v="0"/>
    <x v="1"/>
    <x v="3"/>
    <n v="1"/>
    <n v="3"/>
    <n v="0"/>
    <m/>
    <x v="1"/>
    <n v="0.17895518928492249"/>
  </r>
  <r>
    <x v="15"/>
    <x v="0"/>
    <x v="0"/>
    <x v="1"/>
    <x v="2"/>
    <x v="0"/>
    <x v="0"/>
    <x v="1"/>
    <x v="2"/>
    <x v="1"/>
    <n v="3"/>
    <n v="3"/>
    <n v="1"/>
    <n v="3"/>
    <x v="0"/>
    <n v="0.19664625541020256"/>
  </r>
  <r>
    <x v="21"/>
    <x v="0"/>
    <x v="0"/>
    <x v="0"/>
    <x v="0"/>
    <x v="0"/>
    <x v="1"/>
    <x v="0"/>
    <x v="1"/>
    <x v="6"/>
    <n v="4"/>
    <n v="4"/>
    <n v="0"/>
    <m/>
    <x v="1"/>
    <n v="5.7256486319898048E-2"/>
  </r>
  <r>
    <x v="3"/>
    <x v="1"/>
    <x v="0"/>
    <x v="2"/>
    <x v="0"/>
    <x v="0"/>
    <x v="0"/>
    <x v="0"/>
    <x v="1"/>
    <x v="0"/>
    <n v="17"/>
    <n v="20"/>
    <n v="0"/>
    <m/>
    <x v="1"/>
    <n v="1.1507378861156947"/>
  </r>
  <r>
    <x v="5"/>
    <x v="1"/>
    <x v="0"/>
    <x v="0"/>
    <x v="1"/>
    <x v="0"/>
    <x v="0"/>
    <x v="1"/>
    <x v="1"/>
    <x v="3"/>
    <n v="87"/>
    <n v="101"/>
    <n v="11"/>
    <n v="85"/>
    <x v="0"/>
    <n v="6.5087488379745073"/>
  </r>
  <r>
    <x v="21"/>
    <x v="0"/>
    <x v="1"/>
    <x v="0"/>
    <x v="1"/>
    <x v="0"/>
    <x v="0"/>
    <x v="1"/>
    <x v="1"/>
    <x v="4"/>
    <n v="18"/>
    <n v="20"/>
    <n v="0"/>
    <m/>
    <x v="1"/>
    <n v="0.61340401713257631"/>
  </r>
  <r>
    <x v="16"/>
    <x v="1"/>
    <x v="0"/>
    <x v="2"/>
    <x v="1"/>
    <x v="0"/>
    <x v="0"/>
    <x v="1"/>
    <x v="1"/>
    <x v="1"/>
    <n v="26"/>
    <n v="34"/>
    <n v="0"/>
    <m/>
    <x v="1"/>
    <n v="2.8249489054469334"/>
  </r>
  <r>
    <x v="7"/>
    <x v="1"/>
    <x v="0"/>
    <x v="2"/>
    <x v="0"/>
    <x v="0"/>
    <x v="0"/>
    <x v="0"/>
    <x v="1"/>
    <x v="0"/>
    <n v="13"/>
    <n v="18"/>
    <n v="0"/>
    <m/>
    <x v="1"/>
    <n v="1.0356640975041251"/>
  </r>
  <r>
    <x v="9"/>
    <x v="1"/>
    <x v="0"/>
    <x v="0"/>
    <x v="1"/>
    <x v="0"/>
    <x v="0"/>
    <x v="1"/>
    <x v="1"/>
    <x v="3"/>
    <n v="127"/>
    <n v="150"/>
    <n v="10"/>
    <n v="123"/>
    <x v="0"/>
    <n v="9.6664586702591695"/>
  </r>
  <r>
    <x v="5"/>
    <x v="1"/>
    <x v="1"/>
    <x v="2"/>
    <x v="2"/>
    <x v="1"/>
    <x v="0"/>
    <x v="0"/>
    <x v="1"/>
    <x v="8"/>
    <n v="1"/>
    <n v="1"/>
    <n v="0"/>
    <n v="1"/>
    <x v="0"/>
    <n v="0.10909826649368773"/>
  </r>
  <r>
    <x v="11"/>
    <x v="1"/>
    <x v="1"/>
    <x v="0"/>
    <x v="1"/>
    <x v="0"/>
    <x v="0"/>
    <x v="1"/>
    <x v="2"/>
    <x v="9"/>
    <n v="4"/>
    <n v="8"/>
    <n v="0"/>
    <m/>
    <x v="1"/>
    <n v="1.1233215657603777"/>
  </r>
  <r>
    <x v="0"/>
    <x v="1"/>
    <x v="0"/>
    <x v="0"/>
    <x v="2"/>
    <x v="0"/>
    <x v="0"/>
    <x v="1"/>
    <x v="2"/>
    <x v="9"/>
    <n v="16"/>
    <n v="21"/>
    <n v="4"/>
    <n v="16"/>
    <x v="0"/>
    <n v="3.9619448071342362"/>
  </r>
  <r>
    <x v="3"/>
    <x v="1"/>
    <x v="1"/>
    <x v="0"/>
    <x v="0"/>
    <x v="0"/>
    <x v="1"/>
    <x v="1"/>
    <x v="1"/>
    <x v="5"/>
    <n v="5"/>
    <n v="6"/>
    <n v="0"/>
    <m/>
    <x v="1"/>
    <n v="9.0117584641118811E-2"/>
  </r>
  <r>
    <x v="7"/>
    <x v="0"/>
    <x v="0"/>
    <x v="0"/>
    <x v="1"/>
    <x v="0"/>
    <x v="0"/>
    <x v="1"/>
    <x v="1"/>
    <x v="2"/>
    <n v="87"/>
    <n v="112"/>
    <n v="2"/>
    <m/>
    <x v="1"/>
    <n v="4.8802574932587905"/>
  </r>
  <r>
    <x v="19"/>
    <x v="0"/>
    <x v="1"/>
    <x v="0"/>
    <x v="1"/>
    <x v="0"/>
    <x v="0"/>
    <x v="1"/>
    <x v="0"/>
    <x v="0"/>
    <n v="7"/>
    <n v="9"/>
    <n v="0"/>
    <m/>
    <x v="1"/>
    <n v="0.4131078077180127"/>
  </r>
  <r>
    <x v="15"/>
    <x v="1"/>
    <x v="0"/>
    <x v="0"/>
    <x v="1"/>
    <x v="1"/>
    <x v="0"/>
    <x v="1"/>
    <x v="1"/>
    <x v="8"/>
    <n v="33"/>
    <n v="38"/>
    <n v="0"/>
    <n v="31"/>
    <x v="0"/>
    <n v="4.5368153853564648"/>
  </r>
  <r>
    <x v="1"/>
    <x v="1"/>
    <x v="1"/>
    <x v="0"/>
    <x v="0"/>
    <x v="0"/>
    <x v="1"/>
    <x v="1"/>
    <x v="1"/>
    <x v="5"/>
    <n v="4"/>
    <n v="5"/>
    <n v="0"/>
    <n v="4"/>
    <x v="0"/>
    <n v="7.5097987200932345E-2"/>
  </r>
  <r>
    <x v="9"/>
    <x v="0"/>
    <x v="1"/>
    <x v="0"/>
    <x v="1"/>
    <x v="1"/>
    <x v="0"/>
    <x v="1"/>
    <x v="0"/>
    <x v="8"/>
    <n v="12"/>
    <n v="14"/>
    <n v="0"/>
    <n v="12"/>
    <x v="0"/>
    <n v="1.210994296953303"/>
  </r>
  <r>
    <x v="22"/>
    <x v="0"/>
    <x v="0"/>
    <x v="0"/>
    <x v="0"/>
    <x v="0"/>
    <x v="0"/>
    <x v="0"/>
    <x v="1"/>
    <x v="7"/>
    <n v="22"/>
    <n v="25"/>
    <n v="0"/>
    <n v="21"/>
    <x v="0"/>
    <n v="0.74449564431984927"/>
  </r>
  <r>
    <x v="19"/>
    <x v="1"/>
    <x v="0"/>
    <x v="0"/>
    <x v="2"/>
    <x v="1"/>
    <x v="1"/>
    <x v="1"/>
    <x v="1"/>
    <x v="3"/>
    <n v="1"/>
    <n v="2"/>
    <n v="0"/>
    <m/>
    <x v="1"/>
    <n v="0.11926696437941101"/>
  </r>
  <r>
    <x v="7"/>
    <x v="0"/>
    <x v="1"/>
    <x v="0"/>
    <x v="2"/>
    <x v="0"/>
    <x v="0"/>
    <x v="1"/>
    <x v="0"/>
    <x v="0"/>
    <n v="1"/>
    <n v="1"/>
    <n v="0"/>
    <m/>
    <x v="1"/>
    <n v="4.540277721734616E-2"/>
  </r>
  <r>
    <x v="8"/>
    <x v="1"/>
    <x v="1"/>
    <x v="0"/>
    <x v="2"/>
    <x v="0"/>
    <x v="0"/>
    <x v="1"/>
    <x v="0"/>
    <x v="1"/>
    <n v="1"/>
    <n v="1"/>
    <n v="0"/>
    <m/>
    <x v="1"/>
    <n v="6.7086671775585666E-2"/>
  </r>
  <r>
    <x v="10"/>
    <x v="0"/>
    <x v="0"/>
    <x v="1"/>
    <x v="0"/>
    <x v="0"/>
    <x v="1"/>
    <x v="1"/>
    <x v="1"/>
    <x v="6"/>
    <n v="1"/>
    <n v="1"/>
    <n v="0"/>
    <m/>
    <x v="1"/>
    <n v="6.57977794506603E-3"/>
  </r>
  <r>
    <x v="17"/>
    <x v="1"/>
    <x v="0"/>
    <x v="2"/>
    <x v="0"/>
    <x v="0"/>
    <x v="0"/>
    <x v="0"/>
    <x v="0"/>
    <x v="8"/>
    <n v="3"/>
    <n v="5"/>
    <n v="0"/>
    <n v="3"/>
    <x v="0"/>
    <n v="0.42470152977428904"/>
  </r>
  <r>
    <x v="0"/>
    <x v="0"/>
    <x v="0"/>
    <x v="0"/>
    <x v="3"/>
    <x v="1"/>
    <x v="1"/>
    <x v="1"/>
    <x v="0"/>
    <x v="1"/>
    <n v="2"/>
    <n v="2"/>
    <n v="1"/>
    <n v="2"/>
    <x v="0"/>
    <n v="0.15903844711423848"/>
  </r>
  <r>
    <x v="2"/>
    <x v="0"/>
    <x v="0"/>
    <x v="2"/>
    <x v="1"/>
    <x v="0"/>
    <x v="0"/>
    <x v="1"/>
    <x v="2"/>
    <x v="9"/>
    <n v="12"/>
    <n v="17"/>
    <n v="1"/>
    <m/>
    <x v="1"/>
    <n v="2.8880537270901852"/>
  </r>
  <r>
    <x v="1"/>
    <x v="0"/>
    <x v="0"/>
    <x v="2"/>
    <x v="1"/>
    <x v="0"/>
    <x v="0"/>
    <x v="1"/>
    <x v="0"/>
    <x v="1"/>
    <n v="11"/>
    <n v="11"/>
    <n v="2"/>
    <n v="11"/>
    <x v="0"/>
    <n v="0.91869202326235322"/>
  </r>
  <r>
    <x v="17"/>
    <x v="1"/>
    <x v="0"/>
    <x v="0"/>
    <x v="1"/>
    <x v="0"/>
    <x v="0"/>
    <x v="1"/>
    <x v="0"/>
    <x v="8"/>
    <n v="23"/>
    <n v="31"/>
    <n v="3"/>
    <n v="23"/>
    <x v="0"/>
    <n v="2.9389498184129699"/>
  </r>
  <r>
    <x v="22"/>
    <x v="1"/>
    <x v="1"/>
    <x v="1"/>
    <x v="0"/>
    <x v="0"/>
    <x v="1"/>
    <x v="1"/>
    <x v="1"/>
    <x v="6"/>
    <n v="4"/>
    <n v="4"/>
    <n v="0"/>
    <n v="4"/>
    <x v="0"/>
    <n v="2.7626941286607577E-2"/>
  </r>
  <r>
    <x v="9"/>
    <x v="1"/>
    <x v="0"/>
    <x v="2"/>
    <x v="1"/>
    <x v="0"/>
    <x v="0"/>
    <x v="1"/>
    <x v="1"/>
    <x v="1"/>
    <n v="32"/>
    <n v="39"/>
    <n v="4"/>
    <n v="31"/>
    <x v="0"/>
    <n v="3.240382568012659"/>
  </r>
  <r>
    <x v="8"/>
    <x v="1"/>
    <x v="0"/>
    <x v="0"/>
    <x v="1"/>
    <x v="0"/>
    <x v="0"/>
    <x v="1"/>
    <x v="0"/>
    <x v="8"/>
    <n v="23"/>
    <n v="35"/>
    <n v="2"/>
    <m/>
    <x v="1"/>
    <n v="3.3181691498210948"/>
  </r>
  <r>
    <x v="4"/>
    <x v="0"/>
    <x v="0"/>
    <x v="0"/>
    <x v="0"/>
    <x v="0"/>
    <x v="0"/>
    <x v="0"/>
    <x v="1"/>
    <x v="7"/>
    <n v="32"/>
    <n v="38"/>
    <n v="0"/>
    <m/>
    <x v="1"/>
    <n v="1.1316333793661706"/>
  </r>
  <r>
    <x v="20"/>
    <x v="0"/>
    <x v="0"/>
    <x v="0"/>
    <x v="2"/>
    <x v="0"/>
    <x v="1"/>
    <x v="1"/>
    <x v="0"/>
    <x v="4"/>
    <n v="6"/>
    <n v="6"/>
    <n v="0"/>
    <n v="6"/>
    <x v="0"/>
    <n v="0.18830739004001773"/>
  </r>
  <r>
    <x v="3"/>
    <x v="1"/>
    <x v="0"/>
    <x v="0"/>
    <x v="2"/>
    <x v="1"/>
    <x v="0"/>
    <x v="0"/>
    <x v="1"/>
    <x v="8"/>
    <n v="2"/>
    <n v="2"/>
    <n v="0"/>
    <m/>
    <x v="1"/>
    <n v="0.236386231831996"/>
  </r>
  <r>
    <x v="11"/>
    <x v="1"/>
    <x v="0"/>
    <x v="0"/>
    <x v="0"/>
    <x v="0"/>
    <x v="0"/>
    <x v="1"/>
    <x v="1"/>
    <x v="0"/>
    <n v="33"/>
    <n v="39"/>
    <n v="0"/>
    <m/>
    <x v="1"/>
    <n v="1.7296111346935783"/>
  </r>
  <r>
    <x v="17"/>
    <x v="1"/>
    <x v="0"/>
    <x v="2"/>
    <x v="0"/>
    <x v="0"/>
    <x v="0"/>
    <x v="0"/>
    <x v="2"/>
    <x v="9"/>
    <n v="6"/>
    <n v="6"/>
    <n v="0"/>
    <n v="6"/>
    <x v="0"/>
    <n v="1.0350169372419225"/>
  </r>
  <r>
    <x v="13"/>
    <x v="0"/>
    <x v="0"/>
    <x v="0"/>
    <x v="1"/>
    <x v="0"/>
    <x v="0"/>
    <x v="1"/>
    <x v="1"/>
    <x v="2"/>
    <n v="16"/>
    <n v="18"/>
    <n v="3"/>
    <m/>
    <x v="1"/>
    <n v="0.78432709713087712"/>
  </r>
  <r>
    <x v="21"/>
    <x v="0"/>
    <x v="0"/>
    <x v="0"/>
    <x v="1"/>
    <x v="0"/>
    <x v="0"/>
    <x v="1"/>
    <x v="0"/>
    <x v="1"/>
    <n v="24"/>
    <n v="40"/>
    <n v="0"/>
    <m/>
    <x v="1"/>
    <n v="2.5913584510611805"/>
  </r>
  <r>
    <x v="6"/>
    <x v="0"/>
    <x v="0"/>
    <x v="0"/>
    <x v="1"/>
    <x v="0"/>
    <x v="0"/>
    <x v="1"/>
    <x v="2"/>
    <x v="9"/>
    <n v="20"/>
    <n v="26"/>
    <n v="1"/>
    <m/>
    <x v="1"/>
    <n v="3.5002463214814337"/>
  </r>
  <r>
    <x v="19"/>
    <x v="0"/>
    <x v="0"/>
    <x v="0"/>
    <x v="2"/>
    <x v="0"/>
    <x v="0"/>
    <x v="0"/>
    <x v="2"/>
    <x v="9"/>
    <n v="7"/>
    <n v="10"/>
    <n v="0"/>
    <m/>
    <x v="1"/>
    <n v="1.3329849722570279"/>
  </r>
  <r>
    <x v="6"/>
    <x v="1"/>
    <x v="0"/>
    <x v="2"/>
    <x v="1"/>
    <x v="1"/>
    <x v="0"/>
    <x v="1"/>
    <x v="1"/>
    <x v="9"/>
    <n v="9"/>
    <n v="10"/>
    <n v="0"/>
    <m/>
    <x v="1"/>
    <n v="1.5135814445225237"/>
  </r>
  <r>
    <x v="15"/>
    <x v="0"/>
    <x v="0"/>
    <x v="2"/>
    <x v="3"/>
    <x v="0"/>
    <x v="0"/>
    <x v="1"/>
    <x v="1"/>
    <x v="1"/>
    <n v="1"/>
    <n v="1"/>
    <n v="0"/>
    <n v="1"/>
    <x v="0"/>
    <n v="7.4300283703463171E-2"/>
  </r>
  <r>
    <x v="1"/>
    <x v="0"/>
    <x v="1"/>
    <x v="0"/>
    <x v="2"/>
    <x v="0"/>
    <x v="0"/>
    <x v="0"/>
    <x v="1"/>
    <x v="7"/>
    <n v="1"/>
    <n v="1"/>
    <n v="0"/>
    <n v="1"/>
    <x v="0"/>
    <n v="3.0332130839860555E-2"/>
  </r>
  <r>
    <x v="7"/>
    <x v="0"/>
    <x v="0"/>
    <x v="2"/>
    <x v="0"/>
    <x v="0"/>
    <x v="0"/>
    <x v="1"/>
    <x v="2"/>
    <x v="8"/>
    <n v="1"/>
    <n v="2"/>
    <n v="1"/>
    <m/>
    <x v="1"/>
    <n v="0.2423433124072577"/>
  </r>
  <r>
    <x v="7"/>
    <x v="0"/>
    <x v="1"/>
    <x v="0"/>
    <x v="0"/>
    <x v="0"/>
    <x v="0"/>
    <x v="0"/>
    <x v="1"/>
    <x v="5"/>
    <n v="10"/>
    <n v="13"/>
    <n v="0"/>
    <m/>
    <x v="1"/>
    <n v="0.27133544641561924"/>
  </r>
  <r>
    <x v="7"/>
    <x v="0"/>
    <x v="0"/>
    <x v="0"/>
    <x v="0"/>
    <x v="0"/>
    <x v="0"/>
    <x v="0"/>
    <x v="1"/>
    <x v="7"/>
    <n v="30"/>
    <n v="35"/>
    <n v="0"/>
    <m/>
    <x v="1"/>
    <n v="1.0422939020477888"/>
  </r>
  <r>
    <x v="2"/>
    <x v="1"/>
    <x v="0"/>
    <x v="0"/>
    <x v="1"/>
    <x v="1"/>
    <x v="0"/>
    <x v="1"/>
    <x v="1"/>
    <x v="8"/>
    <n v="20"/>
    <n v="31"/>
    <n v="0"/>
    <m/>
    <x v="1"/>
    <n v="3.701086235422379"/>
  </r>
  <r>
    <x v="19"/>
    <x v="1"/>
    <x v="1"/>
    <x v="0"/>
    <x v="0"/>
    <x v="0"/>
    <x v="0"/>
    <x v="1"/>
    <x v="1"/>
    <x v="4"/>
    <n v="8"/>
    <n v="10"/>
    <n v="0"/>
    <m/>
    <x v="1"/>
    <n v="0.31223388514230055"/>
  </r>
  <r>
    <x v="3"/>
    <x v="1"/>
    <x v="0"/>
    <x v="0"/>
    <x v="3"/>
    <x v="0"/>
    <x v="0"/>
    <x v="1"/>
    <x v="1"/>
    <x v="8"/>
    <n v="1"/>
    <n v="1"/>
    <n v="0"/>
    <m/>
    <x v="1"/>
    <n v="8.4456755045901957E-2"/>
  </r>
  <r>
    <x v="21"/>
    <x v="1"/>
    <x v="0"/>
    <x v="0"/>
    <x v="0"/>
    <x v="0"/>
    <x v="0"/>
    <x v="0"/>
    <x v="1"/>
    <x v="0"/>
    <n v="22"/>
    <n v="26"/>
    <n v="0"/>
    <m/>
    <x v="1"/>
    <n v="1.1530740897957188"/>
  </r>
  <r>
    <x v="20"/>
    <x v="0"/>
    <x v="1"/>
    <x v="0"/>
    <x v="2"/>
    <x v="0"/>
    <x v="1"/>
    <x v="1"/>
    <x v="2"/>
    <x v="0"/>
    <n v="2"/>
    <n v="2"/>
    <n v="0"/>
    <n v="2"/>
    <x v="0"/>
    <n v="9.6210144432727171E-2"/>
  </r>
  <r>
    <x v="2"/>
    <x v="1"/>
    <x v="0"/>
    <x v="0"/>
    <x v="1"/>
    <x v="0"/>
    <x v="0"/>
    <x v="1"/>
    <x v="2"/>
    <x v="9"/>
    <n v="20"/>
    <n v="28"/>
    <n v="0"/>
    <m/>
    <x v="1"/>
    <n v="5.3317674633178305"/>
  </r>
  <r>
    <x v="19"/>
    <x v="0"/>
    <x v="0"/>
    <x v="0"/>
    <x v="1"/>
    <x v="0"/>
    <x v="0"/>
    <x v="1"/>
    <x v="2"/>
    <x v="9"/>
    <n v="26"/>
    <n v="48"/>
    <n v="0"/>
    <m/>
    <x v="1"/>
    <n v="6.4619932088888001"/>
  </r>
  <r>
    <x v="16"/>
    <x v="0"/>
    <x v="0"/>
    <x v="0"/>
    <x v="2"/>
    <x v="1"/>
    <x v="0"/>
    <x v="1"/>
    <x v="0"/>
    <x v="8"/>
    <n v="2"/>
    <n v="3"/>
    <n v="0"/>
    <m/>
    <x v="1"/>
    <n v="0.35634676875446636"/>
  </r>
  <r>
    <x v="19"/>
    <x v="0"/>
    <x v="0"/>
    <x v="2"/>
    <x v="2"/>
    <x v="1"/>
    <x v="0"/>
    <x v="0"/>
    <x v="1"/>
    <x v="8"/>
    <n v="1"/>
    <n v="1"/>
    <n v="0"/>
    <m/>
    <x v="1"/>
    <n v="0.10444244110474776"/>
  </r>
  <r>
    <x v="19"/>
    <x v="1"/>
    <x v="0"/>
    <x v="2"/>
    <x v="0"/>
    <x v="0"/>
    <x v="0"/>
    <x v="0"/>
    <x v="0"/>
    <x v="8"/>
    <n v="5"/>
    <n v="6"/>
    <n v="0"/>
    <m/>
    <x v="1"/>
    <n v="0.5096418357291469"/>
  </r>
  <r>
    <x v="8"/>
    <x v="1"/>
    <x v="0"/>
    <x v="0"/>
    <x v="0"/>
    <x v="0"/>
    <x v="1"/>
    <x v="1"/>
    <x v="0"/>
    <x v="4"/>
    <n v="1"/>
    <n v="1"/>
    <n v="0"/>
    <m/>
    <x v="1"/>
    <n v="3.2305716383655897E-2"/>
  </r>
  <r>
    <x v="17"/>
    <x v="1"/>
    <x v="0"/>
    <x v="0"/>
    <x v="0"/>
    <x v="0"/>
    <x v="1"/>
    <x v="1"/>
    <x v="0"/>
    <x v="4"/>
    <n v="3"/>
    <n v="4"/>
    <n v="0"/>
    <n v="3"/>
    <x v="0"/>
    <n v="0.12922286553462359"/>
  </r>
  <r>
    <x v="9"/>
    <x v="0"/>
    <x v="0"/>
    <x v="0"/>
    <x v="0"/>
    <x v="0"/>
    <x v="1"/>
    <x v="0"/>
    <x v="1"/>
    <x v="6"/>
    <n v="8"/>
    <n v="9"/>
    <n v="0"/>
    <n v="8"/>
    <x v="0"/>
    <n v="0.12882709421977059"/>
  </r>
  <r>
    <x v="1"/>
    <x v="1"/>
    <x v="1"/>
    <x v="2"/>
    <x v="1"/>
    <x v="1"/>
    <x v="0"/>
    <x v="1"/>
    <x v="0"/>
    <x v="9"/>
    <n v="2"/>
    <n v="2"/>
    <n v="0"/>
    <n v="2"/>
    <x v="0"/>
    <n v="0.31697566320660109"/>
  </r>
  <r>
    <x v="6"/>
    <x v="1"/>
    <x v="1"/>
    <x v="2"/>
    <x v="1"/>
    <x v="0"/>
    <x v="0"/>
    <x v="1"/>
    <x v="1"/>
    <x v="3"/>
    <n v="5"/>
    <n v="7"/>
    <n v="0"/>
    <m/>
    <x v="1"/>
    <n v="0.41444566356223211"/>
  </r>
  <r>
    <x v="10"/>
    <x v="0"/>
    <x v="1"/>
    <x v="0"/>
    <x v="0"/>
    <x v="0"/>
    <x v="0"/>
    <x v="0"/>
    <x v="0"/>
    <x v="4"/>
    <n v="4"/>
    <n v="5"/>
    <n v="0"/>
    <m/>
    <x v="1"/>
    <n v="0.15697228561877108"/>
  </r>
  <r>
    <x v="12"/>
    <x v="1"/>
    <x v="0"/>
    <x v="2"/>
    <x v="2"/>
    <x v="1"/>
    <x v="1"/>
    <x v="1"/>
    <x v="1"/>
    <x v="1"/>
    <n v="1"/>
    <n v="2"/>
    <n v="0"/>
    <m/>
    <x v="1"/>
    <n v="0.15400049027033044"/>
  </r>
  <r>
    <x v="17"/>
    <x v="0"/>
    <x v="1"/>
    <x v="1"/>
    <x v="1"/>
    <x v="0"/>
    <x v="0"/>
    <x v="1"/>
    <x v="1"/>
    <x v="6"/>
    <n v="4"/>
    <n v="4"/>
    <n v="0"/>
    <n v="4"/>
    <x v="0"/>
    <n v="5.6902926035397941E-2"/>
  </r>
  <r>
    <x v="15"/>
    <x v="0"/>
    <x v="0"/>
    <x v="0"/>
    <x v="1"/>
    <x v="0"/>
    <x v="0"/>
    <x v="1"/>
    <x v="1"/>
    <x v="2"/>
    <n v="79"/>
    <n v="91"/>
    <n v="3"/>
    <n v="75"/>
    <x v="0"/>
    <n v="3.9652092132727681"/>
  </r>
  <r>
    <x v="2"/>
    <x v="0"/>
    <x v="0"/>
    <x v="2"/>
    <x v="0"/>
    <x v="0"/>
    <x v="0"/>
    <x v="0"/>
    <x v="1"/>
    <x v="4"/>
    <n v="13"/>
    <n v="15"/>
    <n v="0"/>
    <m/>
    <x v="1"/>
    <n v="0.58216927834949994"/>
  </r>
  <r>
    <x v="3"/>
    <x v="1"/>
    <x v="1"/>
    <x v="0"/>
    <x v="0"/>
    <x v="0"/>
    <x v="0"/>
    <x v="0"/>
    <x v="0"/>
    <x v="0"/>
    <n v="2"/>
    <n v="2"/>
    <n v="0"/>
    <m/>
    <x v="1"/>
    <n v="9.3431052185651564E-2"/>
  </r>
  <r>
    <x v="11"/>
    <x v="0"/>
    <x v="0"/>
    <x v="0"/>
    <x v="0"/>
    <x v="0"/>
    <x v="0"/>
    <x v="0"/>
    <x v="2"/>
    <x v="8"/>
    <n v="7"/>
    <n v="10"/>
    <n v="0"/>
    <m/>
    <x v="1"/>
    <n v="0.94866349728676458"/>
  </r>
  <r>
    <x v="16"/>
    <x v="1"/>
    <x v="0"/>
    <x v="0"/>
    <x v="0"/>
    <x v="0"/>
    <x v="1"/>
    <x v="1"/>
    <x v="1"/>
    <x v="7"/>
    <n v="6"/>
    <n v="7"/>
    <n v="0"/>
    <m/>
    <x v="1"/>
    <n v="0.15039194802661421"/>
  </r>
  <r>
    <x v="16"/>
    <x v="0"/>
    <x v="0"/>
    <x v="0"/>
    <x v="2"/>
    <x v="0"/>
    <x v="0"/>
    <x v="0"/>
    <x v="0"/>
    <x v="3"/>
    <n v="3"/>
    <n v="3"/>
    <n v="0"/>
    <m/>
    <x v="1"/>
    <n v="0.19228418311293793"/>
  </r>
  <r>
    <x v="0"/>
    <x v="0"/>
    <x v="1"/>
    <x v="2"/>
    <x v="1"/>
    <x v="0"/>
    <x v="0"/>
    <x v="1"/>
    <x v="1"/>
    <x v="4"/>
    <n v="10"/>
    <n v="10"/>
    <n v="0"/>
    <n v="10"/>
    <x v="0"/>
    <n v="0.39960566623182381"/>
  </r>
  <r>
    <x v="7"/>
    <x v="0"/>
    <x v="1"/>
    <x v="1"/>
    <x v="1"/>
    <x v="0"/>
    <x v="0"/>
    <x v="1"/>
    <x v="1"/>
    <x v="6"/>
    <n v="1"/>
    <n v="1"/>
    <n v="0"/>
    <m/>
    <x v="1"/>
    <n v="1.4225731508849485E-2"/>
  </r>
  <r>
    <x v="15"/>
    <x v="1"/>
    <x v="1"/>
    <x v="0"/>
    <x v="1"/>
    <x v="1"/>
    <x v="0"/>
    <x v="1"/>
    <x v="0"/>
    <x v="9"/>
    <n v="5"/>
    <n v="5"/>
    <n v="0"/>
    <n v="5"/>
    <x v="0"/>
    <n v="0.62617965621698679"/>
  </r>
  <r>
    <x v="21"/>
    <x v="0"/>
    <x v="0"/>
    <x v="1"/>
    <x v="0"/>
    <x v="0"/>
    <x v="0"/>
    <x v="1"/>
    <x v="1"/>
    <x v="6"/>
    <n v="3"/>
    <n v="3"/>
    <n v="0"/>
    <m/>
    <x v="1"/>
    <n v="4.1417850699998968E-2"/>
  </r>
  <r>
    <x v="1"/>
    <x v="1"/>
    <x v="1"/>
    <x v="0"/>
    <x v="0"/>
    <x v="0"/>
    <x v="1"/>
    <x v="0"/>
    <x v="1"/>
    <x v="5"/>
    <n v="5"/>
    <n v="5"/>
    <n v="0"/>
    <n v="5"/>
    <x v="0"/>
    <n v="7.5097987200932345E-2"/>
  </r>
  <r>
    <x v="13"/>
    <x v="0"/>
    <x v="1"/>
    <x v="0"/>
    <x v="1"/>
    <x v="0"/>
    <x v="0"/>
    <x v="1"/>
    <x v="1"/>
    <x v="4"/>
    <n v="2"/>
    <n v="2"/>
    <n v="0"/>
    <m/>
    <x v="1"/>
    <n v="6.1340401713257629E-2"/>
  </r>
  <r>
    <x v="17"/>
    <x v="1"/>
    <x v="0"/>
    <x v="1"/>
    <x v="0"/>
    <x v="0"/>
    <x v="1"/>
    <x v="1"/>
    <x v="1"/>
    <x v="6"/>
    <n v="5"/>
    <n v="5"/>
    <n v="0"/>
    <n v="4"/>
    <x v="0"/>
    <n v="4.9573948945448969E-2"/>
  </r>
  <r>
    <x v="17"/>
    <x v="1"/>
    <x v="0"/>
    <x v="0"/>
    <x v="0"/>
    <x v="1"/>
    <x v="0"/>
    <x v="1"/>
    <x v="0"/>
    <x v="8"/>
    <n v="1"/>
    <n v="1"/>
    <n v="0"/>
    <n v="1"/>
    <x v="0"/>
    <n v="0.12194562411528299"/>
  </r>
  <r>
    <x v="14"/>
    <x v="0"/>
    <x v="1"/>
    <x v="0"/>
    <x v="2"/>
    <x v="1"/>
    <x v="0"/>
    <x v="0"/>
    <x v="1"/>
    <x v="0"/>
    <n v="4"/>
    <n v="4"/>
    <n v="0"/>
    <m/>
    <x v="1"/>
    <n v="0.23199031270691034"/>
  </r>
  <r>
    <x v="21"/>
    <x v="1"/>
    <x v="1"/>
    <x v="0"/>
    <x v="1"/>
    <x v="0"/>
    <x v="0"/>
    <x v="1"/>
    <x v="1"/>
    <x v="0"/>
    <n v="8"/>
    <n v="13"/>
    <n v="0"/>
    <m/>
    <x v="1"/>
    <n v="0.59350822877460208"/>
  </r>
  <r>
    <x v="16"/>
    <x v="0"/>
    <x v="0"/>
    <x v="2"/>
    <x v="1"/>
    <x v="0"/>
    <x v="0"/>
    <x v="1"/>
    <x v="2"/>
    <x v="9"/>
    <n v="10"/>
    <n v="14"/>
    <n v="1"/>
    <m/>
    <x v="1"/>
    <n v="2.3783971870154463"/>
  </r>
  <r>
    <x v="14"/>
    <x v="0"/>
    <x v="0"/>
    <x v="2"/>
    <x v="0"/>
    <x v="0"/>
    <x v="0"/>
    <x v="0"/>
    <x v="1"/>
    <x v="4"/>
    <n v="10"/>
    <n v="12"/>
    <n v="0"/>
    <m/>
    <x v="1"/>
    <n v="0.46573542267959994"/>
  </r>
  <r>
    <x v="18"/>
    <x v="0"/>
    <x v="1"/>
    <x v="2"/>
    <x v="1"/>
    <x v="0"/>
    <x v="0"/>
    <x v="1"/>
    <x v="2"/>
    <x v="8"/>
    <n v="1"/>
    <n v="1"/>
    <n v="0"/>
    <m/>
    <x v="1"/>
    <n v="0.12444404000559624"/>
  </r>
  <r>
    <x v="15"/>
    <x v="1"/>
    <x v="1"/>
    <x v="2"/>
    <x v="0"/>
    <x v="0"/>
    <x v="0"/>
    <x v="1"/>
    <x v="1"/>
    <x v="4"/>
    <n v="2"/>
    <n v="4"/>
    <n v="1"/>
    <n v="2"/>
    <x v="0"/>
    <n v="0.16269716010612686"/>
  </r>
  <r>
    <x v="21"/>
    <x v="1"/>
    <x v="0"/>
    <x v="0"/>
    <x v="0"/>
    <x v="0"/>
    <x v="0"/>
    <x v="1"/>
    <x v="2"/>
    <x v="9"/>
    <n v="2"/>
    <n v="5"/>
    <n v="0"/>
    <m/>
    <x v="1"/>
    <n v="0.68394223648331687"/>
  </r>
  <r>
    <x v="14"/>
    <x v="1"/>
    <x v="0"/>
    <x v="2"/>
    <x v="0"/>
    <x v="0"/>
    <x v="0"/>
    <x v="0"/>
    <x v="2"/>
    <x v="9"/>
    <n v="3"/>
    <n v="4"/>
    <n v="0"/>
    <m/>
    <x v="1"/>
    <n v="0.69001129149461504"/>
  </r>
  <r>
    <x v="20"/>
    <x v="0"/>
    <x v="1"/>
    <x v="0"/>
    <x v="0"/>
    <x v="0"/>
    <x v="0"/>
    <x v="1"/>
    <x v="1"/>
    <x v="5"/>
    <n v="11"/>
    <n v="12"/>
    <n v="0"/>
    <n v="10"/>
    <x v="0"/>
    <n v="0.25046348899903309"/>
  </r>
  <r>
    <x v="0"/>
    <x v="0"/>
    <x v="1"/>
    <x v="0"/>
    <x v="0"/>
    <x v="0"/>
    <x v="1"/>
    <x v="0"/>
    <x v="1"/>
    <x v="6"/>
    <n v="4"/>
    <n v="4"/>
    <n v="0"/>
    <n v="4"/>
    <x v="0"/>
    <n v="3.993924539493561E-2"/>
  </r>
  <r>
    <x v="12"/>
    <x v="0"/>
    <x v="0"/>
    <x v="0"/>
    <x v="0"/>
    <x v="0"/>
    <x v="0"/>
    <x v="0"/>
    <x v="2"/>
    <x v="8"/>
    <n v="6"/>
    <n v="7"/>
    <n v="0"/>
    <m/>
    <x v="1"/>
    <n v="0.66406444810073517"/>
  </r>
  <r>
    <x v="17"/>
    <x v="0"/>
    <x v="1"/>
    <x v="2"/>
    <x v="2"/>
    <x v="1"/>
    <x v="0"/>
    <x v="0"/>
    <x v="1"/>
    <x v="1"/>
    <n v="1"/>
    <n v="1"/>
    <n v="0"/>
    <n v="0"/>
    <x v="0"/>
    <n v="7.4925884485121511E-2"/>
  </r>
  <r>
    <x v="20"/>
    <x v="1"/>
    <x v="0"/>
    <x v="1"/>
    <x v="0"/>
    <x v="0"/>
    <x v="1"/>
    <x v="0"/>
    <x v="1"/>
    <x v="6"/>
    <n v="4"/>
    <n v="4"/>
    <n v="0"/>
    <n v="4"/>
    <x v="0"/>
    <n v="3.9659159156359182E-2"/>
  </r>
  <r>
    <x v="13"/>
    <x v="1"/>
    <x v="0"/>
    <x v="0"/>
    <x v="0"/>
    <x v="0"/>
    <x v="1"/>
    <x v="1"/>
    <x v="2"/>
    <x v="1"/>
    <n v="1"/>
    <n v="1"/>
    <n v="0"/>
    <m/>
    <x v="1"/>
    <n v="6.974431660442891E-2"/>
  </r>
  <r>
    <x v="21"/>
    <x v="1"/>
    <x v="0"/>
    <x v="2"/>
    <x v="1"/>
    <x v="0"/>
    <x v="0"/>
    <x v="1"/>
    <x v="1"/>
    <x v="1"/>
    <n v="20"/>
    <n v="33"/>
    <n v="0"/>
    <m/>
    <x v="1"/>
    <n v="2.7418621729337884"/>
  </r>
  <r>
    <x v="22"/>
    <x v="0"/>
    <x v="1"/>
    <x v="0"/>
    <x v="1"/>
    <x v="0"/>
    <x v="0"/>
    <x v="1"/>
    <x v="2"/>
    <x v="8"/>
    <n v="4"/>
    <n v="6"/>
    <n v="1"/>
    <n v="4"/>
    <x v="0"/>
    <n v="0.5850428885661878"/>
  </r>
  <r>
    <x v="9"/>
    <x v="1"/>
    <x v="0"/>
    <x v="0"/>
    <x v="1"/>
    <x v="0"/>
    <x v="0"/>
    <x v="1"/>
    <x v="2"/>
    <x v="9"/>
    <n v="23"/>
    <n v="29"/>
    <n v="7"/>
    <n v="23"/>
    <x v="0"/>
    <n v="5.5221877298648954"/>
  </r>
  <r>
    <x v="8"/>
    <x v="0"/>
    <x v="0"/>
    <x v="0"/>
    <x v="1"/>
    <x v="0"/>
    <x v="0"/>
    <x v="1"/>
    <x v="2"/>
    <x v="9"/>
    <n v="17"/>
    <n v="46"/>
    <n v="0"/>
    <m/>
    <x v="1"/>
    <n v="6.1927434918517665"/>
  </r>
  <r>
    <x v="22"/>
    <x v="0"/>
    <x v="0"/>
    <x v="0"/>
    <x v="0"/>
    <x v="0"/>
    <x v="1"/>
    <x v="1"/>
    <x v="1"/>
    <x v="6"/>
    <n v="6"/>
    <n v="6"/>
    <n v="0"/>
    <n v="6"/>
    <x v="0"/>
    <n v="8.5884729479847072E-2"/>
  </r>
  <r>
    <x v="5"/>
    <x v="1"/>
    <x v="0"/>
    <x v="0"/>
    <x v="0"/>
    <x v="0"/>
    <x v="1"/>
    <x v="0"/>
    <x v="2"/>
    <x v="1"/>
    <n v="3"/>
    <n v="7"/>
    <n v="0"/>
    <n v="3"/>
    <x v="0"/>
    <n v="0.48821021623100225"/>
  </r>
  <r>
    <x v="0"/>
    <x v="0"/>
    <x v="0"/>
    <x v="1"/>
    <x v="1"/>
    <x v="1"/>
    <x v="0"/>
    <x v="1"/>
    <x v="1"/>
    <x v="4"/>
    <n v="6"/>
    <n v="10"/>
    <n v="0"/>
    <n v="6"/>
    <x v="0"/>
    <n v="0.39291173128856011"/>
  </r>
  <r>
    <x v="11"/>
    <x v="0"/>
    <x v="0"/>
    <x v="0"/>
    <x v="2"/>
    <x v="1"/>
    <x v="1"/>
    <x v="1"/>
    <x v="1"/>
    <x v="4"/>
    <n v="1"/>
    <n v="2"/>
    <n v="0"/>
    <m/>
    <x v="1"/>
    <n v="8.0509349356369539E-2"/>
  </r>
  <r>
    <x v="20"/>
    <x v="1"/>
    <x v="1"/>
    <x v="0"/>
    <x v="0"/>
    <x v="0"/>
    <x v="0"/>
    <x v="0"/>
    <x v="0"/>
    <x v="0"/>
    <n v="5"/>
    <n v="5"/>
    <n v="0"/>
    <n v="5"/>
    <x v="0"/>
    <n v="0.23357763046412891"/>
  </r>
  <r>
    <x v="14"/>
    <x v="0"/>
    <x v="0"/>
    <x v="0"/>
    <x v="1"/>
    <x v="0"/>
    <x v="0"/>
    <x v="1"/>
    <x v="0"/>
    <x v="1"/>
    <n v="32"/>
    <n v="42"/>
    <n v="0"/>
    <m/>
    <x v="1"/>
    <n v="2.7209263736142391"/>
  </r>
  <r>
    <x v="19"/>
    <x v="0"/>
    <x v="0"/>
    <x v="1"/>
    <x v="3"/>
    <x v="0"/>
    <x v="0"/>
    <x v="1"/>
    <x v="2"/>
    <x v="8"/>
    <n v="1"/>
    <n v="1"/>
    <n v="0"/>
    <m/>
    <x v="1"/>
    <n v="8.6776040583617209E-2"/>
  </r>
  <r>
    <x v="2"/>
    <x v="0"/>
    <x v="0"/>
    <x v="0"/>
    <x v="2"/>
    <x v="0"/>
    <x v="0"/>
    <x v="1"/>
    <x v="2"/>
    <x v="9"/>
    <n v="9"/>
    <n v="18"/>
    <n v="0"/>
    <m/>
    <x v="1"/>
    <n v="2.3993729500626504"/>
  </r>
  <r>
    <x v="9"/>
    <x v="0"/>
    <x v="0"/>
    <x v="0"/>
    <x v="0"/>
    <x v="0"/>
    <x v="0"/>
    <x v="1"/>
    <x v="1"/>
    <x v="7"/>
    <n v="37"/>
    <n v="39"/>
    <n v="1"/>
    <n v="37"/>
    <x v="0"/>
    <n v="1.1614132051389647"/>
  </r>
  <r>
    <x v="0"/>
    <x v="0"/>
    <x v="1"/>
    <x v="0"/>
    <x v="0"/>
    <x v="0"/>
    <x v="0"/>
    <x v="1"/>
    <x v="1"/>
    <x v="5"/>
    <n v="17"/>
    <n v="21"/>
    <n v="0"/>
    <n v="15"/>
    <x v="0"/>
    <n v="0.43831110574830795"/>
  </r>
  <r>
    <x v="20"/>
    <x v="0"/>
    <x v="0"/>
    <x v="0"/>
    <x v="0"/>
    <x v="1"/>
    <x v="0"/>
    <x v="0"/>
    <x v="1"/>
    <x v="0"/>
    <n v="8"/>
    <n v="10"/>
    <n v="0"/>
    <n v="8"/>
    <x v="0"/>
    <n v="0.56971121420815229"/>
  </r>
  <r>
    <x v="16"/>
    <x v="0"/>
    <x v="1"/>
    <x v="1"/>
    <x v="1"/>
    <x v="1"/>
    <x v="0"/>
    <x v="1"/>
    <x v="1"/>
    <x v="7"/>
    <n v="2"/>
    <n v="2"/>
    <n v="0"/>
    <m/>
    <x v="1"/>
    <n v="5.5238441328758749E-2"/>
  </r>
  <r>
    <x v="5"/>
    <x v="1"/>
    <x v="0"/>
    <x v="1"/>
    <x v="1"/>
    <x v="1"/>
    <x v="0"/>
    <x v="1"/>
    <x v="1"/>
    <x v="0"/>
    <n v="2"/>
    <n v="3"/>
    <n v="0"/>
    <n v="2"/>
    <x v="0"/>
    <n v="0.17470287013110697"/>
  </r>
  <r>
    <x v="20"/>
    <x v="0"/>
    <x v="1"/>
    <x v="0"/>
    <x v="1"/>
    <x v="0"/>
    <x v="0"/>
    <x v="1"/>
    <x v="0"/>
    <x v="0"/>
    <n v="8"/>
    <n v="9"/>
    <n v="1"/>
    <n v="8"/>
    <x v="0"/>
    <n v="0.4131078077180127"/>
  </r>
  <r>
    <x v="15"/>
    <x v="0"/>
    <x v="0"/>
    <x v="1"/>
    <x v="1"/>
    <x v="1"/>
    <x v="0"/>
    <x v="1"/>
    <x v="2"/>
    <x v="8"/>
    <n v="2"/>
    <n v="2"/>
    <n v="0"/>
    <n v="2"/>
    <x v="0"/>
    <n v="0.24508014561402286"/>
  </r>
  <r>
    <x v="20"/>
    <x v="0"/>
    <x v="0"/>
    <x v="0"/>
    <x v="1"/>
    <x v="1"/>
    <x v="0"/>
    <x v="1"/>
    <x v="0"/>
    <x v="8"/>
    <n v="7"/>
    <n v="9"/>
    <n v="0"/>
    <n v="7"/>
    <x v="0"/>
    <n v="1.0798575529393601"/>
  </r>
  <r>
    <x v="10"/>
    <x v="0"/>
    <x v="1"/>
    <x v="0"/>
    <x v="0"/>
    <x v="0"/>
    <x v="0"/>
    <x v="1"/>
    <x v="1"/>
    <x v="5"/>
    <n v="14"/>
    <n v="15"/>
    <n v="0"/>
    <m/>
    <x v="1"/>
    <n v="0.31307936124879143"/>
  </r>
  <r>
    <x v="7"/>
    <x v="0"/>
    <x v="1"/>
    <x v="1"/>
    <x v="1"/>
    <x v="0"/>
    <x v="0"/>
    <x v="1"/>
    <x v="0"/>
    <x v="5"/>
    <n v="5"/>
    <n v="5"/>
    <n v="0"/>
    <m/>
    <x v="1"/>
    <n v="0.10735521670525228"/>
  </r>
  <r>
    <x v="16"/>
    <x v="1"/>
    <x v="0"/>
    <x v="0"/>
    <x v="0"/>
    <x v="0"/>
    <x v="0"/>
    <x v="1"/>
    <x v="1"/>
    <x v="0"/>
    <n v="15"/>
    <n v="20"/>
    <n v="1"/>
    <m/>
    <x v="1"/>
    <n v="0.88698006907362992"/>
  </r>
  <r>
    <x v="9"/>
    <x v="1"/>
    <x v="0"/>
    <x v="2"/>
    <x v="1"/>
    <x v="0"/>
    <x v="0"/>
    <x v="1"/>
    <x v="2"/>
    <x v="9"/>
    <n v="9"/>
    <n v="11"/>
    <n v="3"/>
    <n v="9"/>
    <x v="0"/>
    <n v="2.5993462551815485"/>
  </r>
  <r>
    <x v="9"/>
    <x v="1"/>
    <x v="0"/>
    <x v="2"/>
    <x v="0"/>
    <x v="0"/>
    <x v="0"/>
    <x v="0"/>
    <x v="1"/>
    <x v="0"/>
    <n v="16"/>
    <n v="18"/>
    <n v="0"/>
    <n v="16"/>
    <x v="0"/>
    <n v="1.0356640975041251"/>
  </r>
  <r>
    <x v="16"/>
    <x v="0"/>
    <x v="0"/>
    <x v="0"/>
    <x v="3"/>
    <x v="1"/>
    <x v="1"/>
    <x v="1"/>
    <x v="2"/>
    <x v="9"/>
    <n v="2"/>
    <n v="2"/>
    <n v="0"/>
    <m/>
    <x v="1"/>
    <n v="0.32497126456482978"/>
  </r>
  <r>
    <x v="22"/>
    <x v="1"/>
    <x v="0"/>
    <x v="0"/>
    <x v="0"/>
    <x v="0"/>
    <x v="0"/>
    <x v="1"/>
    <x v="1"/>
    <x v="0"/>
    <n v="27"/>
    <n v="29"/>
    <n v="0"/>
    <n v="26"/>
    <x v="0"/>
    <n v="1.2861211001567632"/>
  </r>
  <r>
    <x v="20"/>
    <x v="0"/>
    <x v="1"/>
    <x v="0"/>
    <x v="3"/>
    <x v="1"/>
    <x v="0"/>
    <x v="1"/>
    <x v="1"/>
    <x v="1"/>
    <n v="1"/>
    <n v="1"/>
    <n v="0"/>
    <n v="1"/>
    <x v="0"/>
    <n v="7.6980948887072007E-2"/>
  </r>
  <r>
    <x v="0"/>
    <x v="0"/>
    <x v="1"/>
    <x v="0"/>
    <x v="1"/>
    <x v="1"/>
    <x v="0"/>
    <x v="1"/>
    <x v="2"/>
    <x v="9"/>
    <n v="4"/>
    <n v="5"/>
    <n v="2"/>
    <n v="4"/>
    <x v="0"/>
    <n v="0.87680743802938443"/>
  </r>
  <r>
    <x v="20"/>
    <x v="0"/>
    <x v="1"/>
    <x v="0"/>
    <x v="0"/>
    <x v="1"/>
    <x v="1"/>
    <x v="0"/>
    <x v="1"/>
    <x v="5"/>
    <n v="2"/>
    <n v="3"/>
    <n v="0"/>
    <n v="2"/>
    <x v="0"/>
    <n v="5.839297264578111E-2"/>
  </r>
  <r>
    <x v="4"/>
    <x v="1"/>
    <x v="0"/>
    <x v="2"/>
    <x v="0"/>
    <x v="0"/>
    <x v="0"/>
    <x v="0"/>
    <x v="2"/>
    <x v="9"/>
    <n v="2"/>
    <n v="2"/>
    <n v="0"/>
    <m/>
    <x v="1"/>
    <n v="0.34500564574730752"/>
  </r>
  <r>
    <x v="21"/>
    <x v="0"/>
    <x v="0"/>
    <x v="1"/>
    <x v="0"/>
    <x v="0"/>
    <x v="1"/>
    <x v="1"/>
    <x v="1"/>
    <x v="6"/>
    <n v="2"/>
    <n v="2"/>
    <n v="0"/>
    <m/>
    <x v="1"/>
    <n v="1.315955589013206E-2"/>
  </r>
  <r>
    <x v="4"/>
    <x v="1"/>
    <x v="1"/>
    <x v="0"/>
    <x v="0"/>
    <x v="0"/>
    <x v="1"/>
    <x v="1"/>
    <x v="1"/>
    <x v="5"/>
    <n v="3"/>
    <n v="4"/>
    <n v="0"/>
    <m/>
    <x v="1"/>
    <n v="6.0078389760745872E-2"/>
  </r>
  <r>
    <x v="3"/>
    <x v="1"/>
    <x v="1"/>
    <x v="0"/>
    <x v="1"/>
    <x v="0"/>
    <x v="0"/>
    <x v="1"/>
    <x v="0"/>
    <x v="1"/>
    <n v="4"/>
    <n v="12"/>
    <n v="0"/>
    <m/>
    <x v="1"/>
    <n v="0.81366897418155526"/>
  </r>
  <r>
    <x v="1"/>
    <x v="0"/>
    <x v="0"/>
    <x v="2"/>
    <x v="0"/>
    <x v="0"/>
    <x v="0"/>
    <x v="0"/>
    <x v="1"/>
    <x v="4"/>
    <n v="12"/>
    <n v="13"/>
    <n v="0"/>
    <n v="12"/>
    <x v="0"/>
    <n v="0.5045467079028999"/>
  </r>
  <r>
    <x v="22"/>
    <x v="0"/>
    <x v="0"/>
    <x v="2"/>
    <x v="1"/>
    <x v="1"/>
    <x v="0"/>
    <x v="1"/>
    <x v="1"/>
    <x v="8"/>
    <n v="4"/>
    <n v="5"/>
    <n v="0"/>
    <n v="2"/>
    <x v="0"/>
    <n v="0.52758315984023618"/>
  </r>
  <r>
    <x v="16"/>
    <x v="0"/>
    <x v="1"/>
    <x v="0"/>
    <x v="0"/>
    <x v="1"/>
    <x v="0"/>
    <x v="0"/>
    <x v="1"/>
    <x v="4"/>
    <n v="3"/>
    <n v="5"/>
    <n v="0"/>
    <m/>
    <x v="1"/>
    <n v="0.20133623171918169"/>
  </r>
  <r>
    <x v="11"/>
    <x v="0"/>
    <x v="0"/>
    <x v="0"/>
    <x v="0"/>
    <x v="0"/>
    <x v="1"/>
    <x v="1"/>
    <x v="1"/>
    <x v="6"/>
    <n v="10"/>
    <n v="12"/>
    <n v="0"/>
    <m/>
    <x v="1"/>
    <n v="0.17176945895969414"/>
  </r>
  <r>
    <x v="3"/>
    <x v="0"/>
    <x v="0"/>
    <x v="2"/>
    <x v="2"/>
    <x v="0"/>
    <x v="1"/>
    <x v="1"/>
    <x v="2"/>
    <x v="8"/>
    <n v="1"/>
    <n v="1"/>
    <n v="0"/>
    <m/>
    <x v="1"/>
    <n v="8.7362644124071173E-2"/>
  </r>
  <r>
    <x v="22"/>
    <x v="1"/>
    <x v="0"/>
    <x v="0"/>
    <x v="0"/>
    <x v="0"/>
    <x v="1"/>
    <x v="0"/>
    <x v="2"/>
    <x v="1"/>
    <n v="4"/>
    <n v="5"/>
    <n v="1"/>
    <n v="4"/>
    <x v="0"/>
    <n v="0.34872158302214451"/>
  </r>
  <r>
    <x v="16"/>
    <x v="0"/>
    <x v="0"/>
    <x v="1"/>
    <x v="1"/>
    <x v="1"/>
    <x v="0"/>
    <x v="1"/>
    <x v="1"/>
    <x v="4"/>
    <n v="5"/>
    <n v="5"/>
    <n v="0"/>
    <m/>
    <x v="1"/>
    <n v="0.19645586564428005"/>
  </r>
  <r>
    <x v="10"/>
    <x v="1"/>
    <x v="0"/>
    <x v="0"/>
    <x v="0"/>
    <x v="0"/>
    <x v="1"/>
    <x v="1"/>
    <x v="0"/>
    <x v="4"/>
    <n v="1"/>
    <n v="1"/>
    <n v="0"/>
    <m/>
    <x v="1"/>
    <n v="3.2305716383655897E-2"/>
  </r>
  <r>
    <x v="5"/>
    <x v="0"/>
    <x v="0"/>
    <x v="0"/>
    <x v="1"/>
    <x v="0"/>
    <x v="0"/>
    <x v="1"/>
    <x v="2"/>
    <x v="9"/>
    <n v="22"/>
    <n v="31"/>
    <n v="2"/>
    <n v="21"/>
    <x v="0"/>
    <n v="4.1733706140740168"/>
  </r>
  <r>
    <x v="4"/>
    <x v="0"/>
    <x v="0"/>
    <x v="0"/>
    <x v="0"/>
    <x v="0"/>
    <x v="1"/>
    <x v="0"/>
    <x v="0"/>
    <x v="7"/>
    <n v="1"/>
    <n v="1"/>
    <n v="0"/>
    <m/>
    <x v="1"/>
    <n v="2.1603464808317204E-2"/>
  </r>
  <r>
    <x v="4"/>
    <x v="1"/>
    <x v="1"/>
    <x v="0"/>
    <x v="1"/>
    <x v="0"/>
    <x v="0"/>
    <x v="1"/>
    <x v="1"/>
    <x v="0"/>
    <n v="12"/>
    <n v="15"/>
    <n v="0"/>
    <m/>
    <x v="1"/>
    <n v="0.68481718704761774"/>
  </r>
  <r>
    <x v="1"/>
    <x v="1"/>
    <x v="0"/>
    <x v="0"/>
    <x v="2"/>
    <x v="1"/>
    <x v="0"/>
    <x v="1"/>
    <x v="1"/>
    <x v="8"/>
    <n v="7"/>
    <n v="8"/>
    <n v="0"/>
    <n v="7"/>
    <x v="0"/>
    <n v="0.94554492732798401"/>
  </r>
  <r>
    <x v="17"/>
    <x v="1"/>
    <x v="0"/>
    <x v="2"/>
    <x v="1"/>
    <x v="1"/>
    <x v="0"/>
    <x v="1"/>
    <x v="1"/>
    <x v="9"/>
    <n v="2"/>
    <n v="4"/>
    <n v="0"/>
    <n v="2"/>
    <x v="0"/>
    <n v="0.60543257780900961"/>
  </r>
  <r>
    <x v="6"/>
    <x v="0"/>
    <x v="0"/>
    <x v="1"/>
    <x v="0"/>
    <x v="1"/>
    <x v="0"/>
    <x v="0"/>
    <x v="1"/>
    <x v="7"/>
    <n v="2"/>
    <n v="2"/>
    <n v="0"/>
    <m/>
    <x v="1"/>
    <n v="5.3629934482317836E-2"/>
  </r>
  <r>
    <x v="16"/>
    <x v="1"/>
    <x v="1"/>
    <x v="0"/>
    <x v="1"/>
    <x v="0"/>
    <x v="0"/>
    <x v="1"/>
    <x v="2"/>
    <x v="9"/>
    <n v="6"/>
    <n v="11"/>
    <n v="2"/>
    <m/>
    <x v="1"/>
    <n v="1.5445671529205192"/>
  </r>
  <r>
    <x v="17"/>
    <x v="1"/>
    <x v="0"/>
    <x v="0"/>
    <x v="0"/>
    <x v="1"/>
    <x v="1"/>
    <x v="0"/>
    <x v="1"/>
    <x v="4"/>
    <n v="3"/>
    <n v="3"/>
    <n v="0"/>
    <n v="3"/>
    <x v="0"/>
    <n v="0.12427510120731648"/>
  </r>
  <r>
    <x v="0"/>
    <x v="0"/>
    <x v="0"/>
    <x v="0"/>
    <x v="2"/>
    <x v="0"/>
    <x v="1"/>
    <x v="1"/>
    <x v="1"/>
    <x v="5"/>
    <n v="5"/>
    <n v="5"/>
    <n v="0"/>
    <n v="5"/>
    <x v="0"/>
    <n v="0.1043265471217899"/>
  </r>
  <r>
    <x v="5"/>
    <x v="1"/>
    <x v="1"/>
    <x v="0"/>
    <x v="2"/>
    <x v="1"/>
    <x v="0"/>
    <x v="0"/>
    <x v="1"/>
    <x v="8"/>
    <n v="1"/>
    <n v="1"/>
    <n v="0"/>
    <n v="1"/>
    <x v="0"/>
    <n v="8.5160005166699276E-2"/>
  </r>
  <r>
    <x v="22"/>
    <x v="0"/>
    <x v="0"/>
    <x v="0"/>
    <x v="1"/>
    <x v="0"/>
    <x v="0"/>
    <x v="1"/>
    <x v="2"/>
    <x v="9"/>
    <n v="18"/>
    <n v="31"/>
    <n v="2"/>
    <n v="18"/>
    <x v="0"/>
    <n v="4.1733706140740168"/>
  </r>
  <r>
    <x v="14"/>
    <x v="0"/>
    <x v="0"/>
    <x v="1"/>
    <x v="2"/>
    <x v="0"/>
    <x v="0"/>
    <x v="0"/>
    <x v="0"/>
    <x v="7"/>
    <n v="1"/>
    <n v="1"/>
    <n v="0"/>
    <m/>
    <x v="1"/>
    <n v="3.0288991469430131E-2"/>
  </r>
  <r>
    <x v="12"/>
    <x v="1"/>
    <x v="0"/>
    <x v="0"/>
    <x v="1"/>
    <x v="0"/>
    <x v="0"/>
    <x v="1"/>
    <x v="2"/>
    <x v="9"/>
    <n v="16"/>
    <n v="27"/>
    <n v="2"/>
    <m/>
    <x v="1"/>
    <n v="5.1413471967707656"/>
  </r>
  <r>
    <x v="13"/>
    <x v="0"/>
    <x v="0"/>
    <x v="0"/>
    <x v="0"/>
    <x v="0"/>
    <x v="0"/>
    <x v="1"/>
    <x v="1"/>
    <x v="7"/>
    <n v="2"/>
    <n v="2"/>
    <n v="0"/>
    <m/>
    <x v="1"/>
    <n v="5.9559651545587934E-2"/>
  </r>
  <r>
    <x v="22"/>
    <x v="0"/>
    <x v="1"/>
    <x v="0"/>
    <x v="1"/>
    <x v="0"/>
    <x v="0"/>
    <x v="1"/>
    <x v="1"/>
    <x v="4"/>
    <n v="18"/>
    <n v="19"/>
    <n v="0"/>
    <n v="17"/>
    <x v="0"/>
    <n v="0.58273381627594745"/>
  </r>
  <r>
    <x v="9"/>
    <x v="0"/>
    <x v="0"/>
    <x v="1"/>
    <x v="1"/>
    <x v="0"/>
    <x v="0"/>
    <x v="1"/>
    <x v="2"/>
    <x v="1"/>
    <n v="2"/>
    <n v="3"/>
    <n v="0"/>
    <n v="2"/>
    <x v="0"/>
    <n v="0.19875754252291369"/>
  </r>
  <r>
    <x v="22"/>
    <x v="1"/>
    <x v="0"/>
    <x v="0"/>
    <x v="2"/>
    <x v="0"/>
    <x v="1"/>
    <x v="1"/>
    <x v="0"/>
    <x v="0"/>
    <n v="2"/>
    <n v="3"/>
    <n v="0"/>
    <n v="2"/>
    <x v="0"/>
    <n v="0.14010311759983418"/>
  </r>
  <r>
    <x v="0"/>
    <x v="0"/>
    <x v="1"/>
    <x v="0"/>
    <x v="1"/>
    <x v="0"/>
    <x v="0"/>
    <x v="1"/>
    <x v="2"/>
    <x v="8"/>
    <n v="10"/>
    <n v="12"/>
    <n v="4"/>
    <n v="10"/>
    <x v="0"/>
    <n v="1.1700857771323756"/>
  </r>
  <r>
    <x v="9"/>
    <x v="0"/>
    <x v="0"/>
    <x v="0"/>
    <x v="1"/>
    <x v="1"/>
    <x v="0"/>
    <x v="1"/>
    <x v="0"/>
    <x v="8"/>
    <n v="11"/>
    <n v="12"/>
    <n v="0"/>
    <n v="10"/>
    <x v="0"/>
    <n v="1.4398100705858135"/>
  </r>
  <r>
    <x v="4"/>
    <x v="1"/>
    <x v="0"/>
    <x v="0"/>
    <x v="0"/>
    <x v="0"/>
    <x v="0"/>
    <x v="0"/>
    <x v="2"/>
    <x v="9"/>
    <n v="6"/>
    <n v="11"/>
    <n v="0"/>
    <m/>
    <x v="1"/>
    <n v="1.5046729202632971"/>
  </r>
  <r>
    <x v="3"/>
    <x v="0"/>
    <x v="0"/>
    <x v="2"/>
    <x v="3"/>
    <x v="0"/>
    <x v="1"/>
    <x v="1"/>
    <x v="1"/>
    <x v="4"/>
    <n v="1"/>
    <n v="1"/>
    <n v="0"/>
    <m/>
    <x v="1"/>
    <n v="3.6585405891523003E-2"/>
  </r>
  <r>
    <x v="1"/>
    <x v="1"/>
    <x v="1"/>
    <x v="0"/>
    <x v="2"/>
    <x v="0"/>
    <x v="0"/>
    <x v="1"/>
    <x v="2"/>
    <x v="9"/>
    <n v="3"/>
    <n v="3"/>
    <n v="1"/>
    <n v="3"/>
    <x v="0"/>
    <n v="0.41712285720746167"/>
  </r>
  <r>
    <x v="1"/>
    <x v="0"/>
    <x v="0"/>
    <x v="0"/>
    <x v="2"/>
    <x v="0"/>
    <x v="1"/>
    <x v="1"/>
    <x v="2"/>
    <x v="1"/>
    <n v="3"/>
    <n v="3"/>
    <n v="0"/>
    <n v="3"/>
    <x v="0"/>
    <n v="0.2034914518027324"/>
  </r>
  <r>
    <x v="22"/>
    <x v="0"/>
    <x v="0"/>
    <x v="0"/>
    <x v="2"/>
    <x v="1"/>
    <x v="1"/>
    <x v="1"/>
    <x v="1"/>
    <x v="4"/>
    <n v="4"/>
    <n v="5"/>
    <n v="0"/>
    <n v="4"/>
    <x v="0"/>
    <n v="0.20127337339092383"/>
  </r>
  <r>
    <x v="5"/>
    <x v="1"/>
    <x v="1"/>
    <x v="0"/>
    <x v="1"/>
    <x v="1"/>
    <x v="0"/>
    <x v="1"/>
    <x v="1"/>
    <x v="8"/>
    <n v="6"/>
    <n v="7"/>
    <n v="0"/>
    <n v="6"/>
    <x v="0"/>
    <n v="0.60238452995226344"/>
  </r>
  <r>
    <x v="2"/>
    <x v="1"/>
    <x v="0"/>
    <x v="1"/>
    <x v="1"/>
    <x v="0"/>
    <x v="0"/>
    <x v="1"/>
    <x v="1"/>
    <x v="4"/>
    <n v="8"/>
    <n v="8"/>
    <n v="0"/>
    <m/>
    <x v="1"/>
    <n v="0.24367663802929052"/>
  </r>
  <r>
    <x v="4"/>
    <x v="1"/>
    <x v="0"/>
    <x v="2"/>
    <x v="2"/>
    <x v="1"/>
    <x v="0"/>
    <x v="1"/>
    <x v="1"/>
    <x v="9"/>
    <n v="3"/>
    <n v="5"/>
    <n v="0"/>
    <m/>
    <x v="1"/>
    <n v="0.74947739251911161"/>
  </r>
  <r>
    <x v="4"/>
    <x v="1"/>
    <x v="0"/>
    <x v="2"/>
    <x v="2"/>
    <x v="0"/>
    <x v="0"/>
    <x v="1"/>
    <x v="2"/>
    <x v="9"/>
    <n v="5"/>
    <n v="5"/>
    <n v="0"/>
    <m/>
    <x v="1"/>
    <n v="1.1712361965549472"/>
  </r>
  <r>
    <x v="2"/>
    <x v="0"/>
    <x v="0"/>
    <x v="0"/>
    <x v="0"/>
    <x v="1"/>
    <x v="0"/>
    <x v="0"/>
    <x v="1"/>
    <x v="0"/>
    <n v="6"/>
    <n v="6"/>
    <n v="0"/>
    <m/>
    <x v="1"/>
    <n v="0.34182672852489143"/>
  </r>
  <r>
    <x v="16"/>
    <x v="1"/>
    <x v="0"/>
    <x v="2"/>
    <x v="1"/>
    <x v="1"/>
    <x v="0"/>
    <x v="1"/>
    <x v="1"/>
    <x v="9"/>
    <n v="6"/>
    <n v="9"/>
    <n v="0"/>
    <m/>
    <x v="1"/>
    <n v="1.3622233000702715"/>
  </r>
  <r>
    <x v="15"/>
    <x v="0"/>
    <x v="1"/>
    <x v="2"/>
    <x v="1"/>
    <x v="0"/>
    <x v="0"/>
    <x v="1"/>
    <x v="1"/>
    <x v="4"/>
    <n v="10"/>
    <n v="12"/>
    <n v="0"/>
    <n v="10"/>
    <x v="0"/>
    <n v="0.4795267994781886"/>
  </r>
  <r>
    <x v="2"/>
    <x v="1"/>
    <x v="0"/>
    <x v="2"/>
    <x v="0"/>
    <x v="0"/>
    <x v="0"/>
    <x v="1"/>
    <x v="1"/>
    <x v="0"/>
    <n v="9"/>
    <n v="14"/>
    <n v="0"/>
    <m/>
    <x v="1"/>
    <n v="0.80551652028098641"/>
  </r>
  <r>
    <x v="20"/>
    <x v="0"/>
    <x v="0"/>
    <x v="0"/>
    <x v="3"/>
    <x v="1"/>
    <x v="1"/>
    <x v="1"/>
    <x v="2"/>
    <x v="9"/>
    <n v="2"/>
    <n v="4"/>
    <n v="0"/>
    <n v="2"/>
    <x v="0"/>
    <n v="0.64994252912965955"/>
  </r>
  <r>
    <x v="6"/>
    <x v="1"/>
    <x v="0"/>
    <x v="0"/>
    <x v="1"/>
    <x v="0"/>
    <x v="0"/>
    <x v="1"/>
    <x v="2"/>
    <x v="9"/>
    <n v="11"/>
    <n v="16"/>
    <n v="2"/>
    <m/>
    <x v="1"/>
    <n v="3.0467242647530459"/>
  </r>
  <r>
    <x v="1"/>
    <x v="0"/>
    <x v="0"/>
    <x v="0"/>
    <x v="2"/>
    <x v="0"/>
    <x v="1"/>
    <x v="1"/>
    <x v="0"/>
    <x v="4"/>
    <n v="2"/>
    <n v="3"/>
    <n v="0"/>
    <n v="2"/>
    <x v="0"/>
    <n v="9.4153695020008865E-2"/>
  </r>
  <r>
    <x v="19"/>
    <x v="0"/>
    <x v="0"/>
    <x v="0"/>
    <x v="0"/>
    <x v="0"/>
    <x v="0"/>
    <x v="0"/>
    <x v="0"/>
    <x v="0"/>
    <n v="13"/>
    <n v="19"/>
    <n v="0"/>
    <m/>
    <x v="1"/>
    <n v="0.84718483668644862"/>
  </r>
  <r>
    <x v="10"/>
    <x v="0"/>
    <x v="0"/>
    <x v="2"/>
    <x v="0"/>
    <x v="0"/>
    <x v="0"/>
    <x v="1"/>
    <x v="1"/>
    <x v="4"/>
    <n v="4"/>
    <n v="5"/>
    <n v="0"/>
    <m/>
    <x v="1"/>
    <n v="0.19405642611649998"/>
  </r>
  <r>
    <x v="14"/>
    <x v="1"/>
    <x v="0"/>
    <x v="0"/>
    <x v="2"/>
    <x v="0"/>
    <x v="0"/>
    <x v="1"/>
    <x v="1"/>
    <x v="3"/>
    <n v="4"/>
    <n v="6"/>
    <n v="0"/>
    <m/>
    <x v="1"/>
    <n v="0.38254322297618609"/>
  </r>
  <r>
    <x v="3"/>
    <x v="1"/>
    <x v="0"/>
    <x v="0"/>
    <x v="0"/>
    <x v="0"/>
    <x v="0"/>
    <x v="1"/>
    <x v="2"/>
    <x v="9"/>
    <n v="2"/>
    <n v="2"/>
    <n v="0"/>
    <m/>
    <x v="1"/>
    <n v="0.27357689459332679"/>
  </r>
  <r>
    <x v="20"/>
    <x v="0"/>
    <x v="1"/>
    <x v="0"/>
    <x v="1"/>
    <x v="0"/>
    <x v="0"/>
    <x v="1"/>
    <x v="1"/>
    <x v="4"/>
    <n v="23"/>
    <n v="28"/>
    <n v="0"/>
    <n v="22"/>
    <x v="0"/>
    <n v="0.85876562398560674"/>
  </r>
  <r>
    <x v="11"/>
    <x v="1"/>
    <x v="0"/>
    <x v="0"/>
    <x v="2"/>
    <x v="1"/>
    <x v="0"/>
    <x v="1"/>
    <x v="1"/>
    <x v="8"/>
    <n v="2"/>
    <n v="3"/>
    <n v="0"/>
    <m/>
    <x v="1"/>
    <n v="0.35457934774799399"/>
  </r>
  <r>
    <x v="9"/>
    <x v="0"/>
    <x v="1"/>
    <x v="1"/>
    <x v="1"/>
    <x v="1"/>
    <x v="0"/>
    <x v="1"/>
    <x v="0"/>
    <x v="4"/>
    <n v="3"/>
    <n v="3"/>
    <n v="0"/>
    <n v="3"/>
    <x v="0"/>
    <n v="0.12419848519706259"/>
  </r>
  <r>
    <x v="1"/>
    <x v="0"/>
    <x v="0"/>
    <x v="2"/>
    <x v="0"/>
    <x v="0"/>
    <x v="0"/>
    <x v="1"/>
    <x v="2"/>
    <x v="8"/>
    <n v="2"/>
    <n v="2"/>
    <n v="0"/>
    <n v="2"/>
    <x v="0"/>
    <n v="0.2423433124072577"/>
  </r>
  <r>
    <x v="0"/>
    <x v="0"/>
    <x v="1"/>
    <x v="0"/>
    <x v="2"/>
    <x v="0"/>
    <x v="0"/>
    <x v="1"/>
    <x v="2"/>
    <x v="8"/>
    <n v="6"/>
    <n v="6"/>
    <n v="1"/>
    <n v="6"/>
    <x v="0"/>
    <n v="0.57903419367377196"/>
  </r>
  <r>
    <x v="17"/>
    <x v="1"/>
    <x v="1"/>
    <x v="0"/>
    <x v="2"/>
    <x v="0"/>
    <x v="0"/>
    <x v="1"/>
    <x v="0"/>
    <x v="1"/>
    <n v="1"/>
    <n v="1"/>
    <n v="1"/>
    <n v="1"/>
    <x v="0"/>
    <n v="6.7086671775585666E-2"/>
  </r>
  <r>
    <x v="1"/>
    <x v="0"/>
    <x v="1"/>
    <x v="0"/>
    <x v="1"/>
    <x v="1"/>
    <x v="0"/>
    <x v="1"/>
    <x v="0"/>
    <x v="8"/>
    <n v="8"/>
    <n v="9"/>
    <n v="0"/>
    <n v="8"/>
    <x v="0"/>
    <n v="0.77849633375569482"/>
  </r>
  <r>
    <x v="16"/>
    <x v="0"/>
    <x v="1"/>
    <x v="0"/>
    <x v="0"/>
    <x v="0"/>
    <x v="1"/>
    <x v="1"/>
    <x v="2"/>
    <x v="4"/>
    <n v="1"/>
    <n v="1"/>
    <n v="0"/>
    <m/>
    <x v="1"/>
    <n v="3.3292078574409821E-2"/>
  </r>
  <r>
    <x v="0"/>
    <x v="1"/>
    <x v="0"/>
    <x v="0"/>
    <x v="2"/>
    <x v="1"/>
    <x v="0"/>
    <x v="1"/>
    <x v="1"/>
    <x v="8"/>
    <n v="10"/>
    <n v="13"/>
    <n v="0"/>
    <n v="10"/>
    <x v="0"/>
    <n v="1.5365105069079739"/>
  </r>
  <r>
    <x v="11"/>
    <x v="1"/>
    <x v="0"/>
    <x v="0"/>
    <x v="2"/>
    <x v="0"/>
    <x v="0"/>
    <x v="1"/>
    <x v="2"/>
    <x v="9"/>
    <n v="9"/>
    <n v="16"/>
    <n v="0"/>
    <m/>
    <x v="1"/>
    <n v="3.0186246149594185"/>
  </r>
  <r>
    <x v="20"/>
    <x v="0"/>
    <x v="0"/>
    <x v="1"/>
    <x v="0"/>
    <x v="1"/>
    <x v="1"/>
    <x v="0"/>
    <x v="1"/>
    <x v="6"/>
    <n v="1"/>
    <n v="1"/>
    <n v="0"/>
    <n v="1"/>
    <x v="0"/>
    <n v="1.2868595029812536E-2"/>
  </r>
  <r>
    <x v="15"/>
    <x v="1"/>
    <x v="0"/>
    <x v="2"/>
    <x v="1"/>
    <x v="0"/>
    <x v="0"/>
    <x v="1"/>
    <x v="0"/>
    <x v="8"/>
    <n v="10"/>
    <n v="10"/>
    <n v="0"/>
    <n v="10"/>
    <x v="0"/>
    <n v="1.2109536356069832"/>
  </r>
  <r>
    <x v="8"/>
    <x v="1"/>
    <x v="0"/>
    <x v="0"/>
    <x v="2"/>
    <x v="0"/>
    <x v="0"/>
    <x v="0"/>
    <x v="1"/>
    <x v="3"/>
    <n v="4"/>
    <n v="4"/>
    <n v="0"/>
    <m/>
    <x v="1"/>
    <n v="0.25502881531745741"/>
  </r>
  <r>
    <x v="2"/>
    <x v="1"/>
    <x v="1"/>
    <x v="1"/>
    <x v="1"/>
    <x v="0"/>
    <x v="0"/>
    <x v="1"/>
    <x v="0"/>
    <x v="4"/>
    <n v="1"/>
    <n v="2"/>
    <n v="0"/>
    <m/>
    <x v="1"/>
    <n v="6.4219693824200924E-2"/>
  </r>
  <r>
    <x v="4"/>
    <x v="0"/>
    <x v="0"/>
    <x v="0"/>
    <x v="1"/>
    <x v="0"/>
    <x v="0"/>
    <x v="1"/>
    <x v="2"/>
    <x v="9"/>
    <n v="27"/>
    <n v="47"/>
    <n v="0"/>
    <m/>
    <x v="1"/>
    <n v="6.3273683503702838"/>
  </r>
  <r>
    <x v="9"/>
    <x v="1"/>
    <x v="0"/>
    <x v="1"/>
    <x v="0"/>
    <x v="1"/>
    <x v="0"/>
    <x v="0"/>
    <x v="1"/>
    <x v="4"/>
    <n v="1"/>
    <n v="1"/>
    <n v="0"/>
    <n v="1"/>
    <x v="0"/>
    <n v="3.9993438758136914E-2"/>
  </r>
  <r>
    <x v="20"/>
    <x v="0"/>
    <x v="1"/>
    <x v="0"/>
    <x v="2"/>
    <x v="0"/>
    <x v="0"/>
    <x v="1"/>
    <x v="1"/>
    <x v="7"/>
    <n v="7"/>
    <n v="7"/>
    <n v="0"/>
    <n v="7"/>
    <x v="0"/>
    <n v="0.21232491587902388"/>
  </r>
  <r>
    <x v="9"/>
    <x v="1"/>
    <x v="0"/>
    <x v="2"/>
    <x v="1"/>
    <x v="0"/>
    <x v="0"/>
    <x v="1"/>
    <x v="0"/>
    <x v="8"/>
    <n v="13"/>
    <n v="18"/>
    <n v="3"/>
    <n v="13"/>
    <x v="0"/>
    <n v="2.1797165440925697"/>
  </r>
  <r>
    <x v="15"/>
    <x v="1"/>
    <x v="1"/>
    <x v="1"/>
    <x v="0"/>
    <x v="0"/>
    <x v="0"/>
    <x v="1"/>
    <x v="1"/>
    <x v="6"/>
    <n v="4"/>
    <n v="4"/>
    <n v="0"/>
    <n v="4"/>
    <x v="0"/>
    <n v="5.7946995233543512E-2"/>
  </r>
  <r>
    <x v="4"/>
    <x v="0"/>
    <x v="0"/>
    <x v="0"/>
    <x v="1"/>
    <x v="1"/>
    <x v="0"/>
    <x v="1"/>
    <x v="2"/>
    <x v="9"/>
    <n v="7"/>
    <n v="20"/>
    <n v="0"/>
    <m/>
    <x v="1"/>
    <n v="4.6883560822143666"/>
  </r>
  <r>
    <x v="12"/>
    <x v="0"/>
    <x v="1"/>
    <x v="1"/>
    <x v="0"/>
    <x v="0"/>
    <x v="0"/>
    <x v="1"/>
    <x v="1"/>
    <x v="6"/>
    <n v="3"/>
    <n v="3"/>
    <n v="0"/>
    <m/>
    <x v="1"/>
    <n v="2.8886505489678724E-2"/>
  </r>
  <r>
    <x v="9"/>
    <x v="0"/>
    <x v="0"/>
    <x v="0"/>
    <x v="2"/>
    <x v="0"/>
    <x v="1"/>
    <x v="1"/>
    <x v="2"/>
    <x v="1"/>
    <n v="7"/>
    <n v="9"/>
    <n v="2"/>
    <n v="7"/>
    <x v="0"/>
    <n v="0.61047435540819717"/>
  </r>
  <r>
    <x v="3"/>
    <x v="0"/>
    <x v="1"/>
    <x v="2"/>
    <x v="1"/>
    <x v="0"/>
    <x v="0"/>
    <x v="1"/>
    <x v="0"/>
    <x v="3"/>
    <n v="3"/>
    <n v="5"/>
    <n v="0"/>
    <m/>
    <x v="1"/>
    <n v="0.29760743995658923"/>
  </r>
  <r>
    <x v="15"/>
    <x v="0"/>
    <x v="0"/>
    <x v="0"/>
    <x v="2"/>
    <x v="1"/>
    <x v="1"/>
    <x v="1"/>
    <x v="1"/>
    <x v="4"/>
    <n v="11"/>
    <n v="12"/>
    <n v="0"/>
    <n v="8"/>
    <x v="0"/>
    <n v="0.48305609613821721"/>
  </r>
  <r>
    <x v="11"/>
    <x v="1"/>
    <x v="0"/>
    <x v="0"/>
    <x v="0"/>
    <x v="0"/>
    <x v="0"/>
    <x v="1"/>
    <x v="2"/>
    <x v="9"/>
    <n v="6"/>
    <n v="7"/>
    <n v="0"/>
    <m/>
    <x v="1"/>
    <n v="0.95751913107664366"/>
  </r>
  <r>
    <x v="1"/>
    <x v="0"/>
    <x v="0"/>
    <x v="2"/>
    <x v="2"/>
    <x v="1"/>
    <x v="0"/>
    <x v="1"/>
    <x v="0"/>
    <x v="9"/>
    <n v="2"/>
    <n v="2"/>
    <n v="0"/>
    <n v="2"/>
    <x v="0"/>
    <n v="0.30123130066825354"/>
  </r>
  <r>
    <x v="18"/>
    <x v="0"/>
    <x v="0"/>
    <x v="1"/>
    <x v="0"/>
    <x v="0"/>
    <x v="1"/>
    <x v="0"/>
    <x v="0"/>
    <x v="6"/>
    <n v="2"/>
    <n v="2"/>
    <n v="0"/>
    <m/>
    <x v="1"/>
    <n v="1.9940626127143805E-2"/>
  </r>
  <r>
    <x v="12"/>
    <x v="0"/>
    <x v="0"/>
    <x v="1"/>
    <x v="0"/>
    <x v="0"/>
    <x v="0"/>
    <x v="0"/>
    <x v="0"/>
    <x v="5"/>
    <n v="1"/>
    <n v="1"/>
    <n v="0"/>
    <m/>
    <x v="1"/>
    <n v="2.0841983429204125E-2"/>
  </r>
  <r>
    <x v="3"/>
    <x v="1"/>
    <x v="0"/>
    <x v="1"/>
    <x v="0"/>
    <x v="0"/>
    <x v="1"/>
    <x v="1"/>
    <x v="0"/>
    <x v="5"/>
    <n v="1"/>
    <n v="1"/>
    <n v="0"/>
    <m/>
    <x v="1"/>
    <n v="1.4997899225310888E-2"/>
  </r>
  <r>
    <x v="0"/>
    <x v="0"/>
    <x v="1"/>
    <x v="1"/>
    <x v="0"/>
    <x v="0"/>
    <x v="0"/>
    <x v="0"/>
    <x v="1"/>
    <x v="6"/>
    <n v="7"/>
    <n v="7"/>
    <n v="0"/>
    <n v="7"/>
    <x v="0"/>
    <n v="6.7401846142583696E-2"/>
  </r>
  <r>
    <x v="19"/>
    <x v="0"/>
    <x v="1"/>
    <x v="1"/>
    <x v="1"/>
    <x v="0"/>
    <x v="0"/>
    <x v="1"/>
    <x v="1"/>
    <x v="6"/>
    <n v="7"/>
    <n v="7"/>
    <n v="0"/>
    <m/>
    <x v="1"/>
    <n v="9.95801205619464E-2"/>
  </r>
  <r>
    <x v="11"/>
    <x v="0"/>
    <x v="1"/>
    <x v="2"/>
    <x v="1"/>
    <x v="1"/>
    <x v="0"/>
    <x v="1"/>
    <x v="0"/>
    <x v="8"/>
    <n v="1"/>
    <n v="1"/>
    <n v="0"/>
    <m/>
    <x v="1"/>
    <n v="0.11076881537434741"/>
  </r>
  <r>
    <x v="22"/>
    <x v="1"/>
    <x v="1"/>
    <x v="0"/>
    <x v="0"/>
    <x v="0"/>
    <x v="0"/>
    <x v="1"/>
    <x v="1"/>
    <x v="4"/>
    <n v="7"/>
    <n v="9"/>
    <n v="0"/>
    <n v="7"/>
    <x v="0"/>
    <n v="0.28101049662807048"/>
  </r>
  <r>
    <x v="15"/>
    <x v="0"/>
    <x v="0"/>
    <x v="0"/>
    <x v="3"/>
    <x v="0"/>
    <x v="1"/>
    <x v="1"/>
    <x v="1"/>
    <x v="7"/>
    <n v="2"/>
    <n v="2"/>
    <n v="0"/>
    <n v="2"/>
    <x v="0"/>
    <n v="5.6113586994347098E-2"/>
  </r>
  <r>
    <x v="1"/>
    <x v="0"/>
    <x v="0"/>
    <x v="0"/>
    <x v="0"/>
    <x v="0"/>
    <x v="1"/>
    <x v="0"/>
    <x v="1"/>
    <x v="6"/>
    <n v="7"/>
    <n v="9"/>
    <n v="0"/>
    <n v="7"/>
    <x v="0"/>
    <n v="0.12882709421977059"/>
  </r>
  <r>
    <x v="21"/>
    <x v="0"/>
    <x v="1"/>
    <x v="1"/>
    <x v="1"/>
    <x v="0"/>
    <x v="0"/>
    <x v="1"/>
    <x v="0"/>
    <x v="5"/>
    <n v="1"/>
    <n v="1"/>
    <n v="0"/>
    <m/>
    <x v="1"/>
    <n v="2.1471043341050454E-2"/>
  </r>
  <r>
    <x v="21"/>
    <x v="0"/>
    <x v="1"/>
    <x v="1"/>
    <x v="3"/>
    <x v="0"/>
    <x v="0"/>
    <x v="1"/>
    <x v="0"/>
    <x v="7"/>
    <n v="1"/>
    <n v="1"/>
    <n v="0"/>
    <m/>
    <x v="1"/>
    <n v="2.8546387018523977E-2"/>
  </r>
  <r>
    <x v="5"/>
    <x v="1"/>
    <x v="1"/>
    <x v="2"/>
    <x v="0"/>
    <x v="0"/>
    <x v="1"/>
    <x v="1"/>
    <x v="2"/>
    <x v="3"/>
    <n v="1"/>
    <n v="1"/>
    <n v="0"/>
    <n v="1"/>
    <x v="0"/>
    <n v="6.410652825092876E-2"/>
  </r>
  <r>
    <x v="17"/>
    <x v="1"/>
    <x v="0"/>
    <x v="0"/>
    <x v="1"/>
    <x v="1"/>
    <x v="0"/>
    <x v="1"/>
    <x v="1"/>
    <x v="8"/>
    <n v="17"/>
    <n v="21"/>
    <n v="2"/>
    <n v="17"/>
    <x v="0"/>
    <n v="2.5071874498022568"/>
  </r>
  <r>
    <x v="20"/>
    <x v="0"/>
    <x v="0"/>
    <x v="0"/>
    <x v="0"/>
    <x v="0"/>
    <x v="0"/>
    <x v="1"/>
    <x v="0"/>
    <x v="0"/>
    <n v="8"/>
    <n v="9"/>
    <n v="0"/>
    <n v="8"/>
    <x v="0"/>
    <n v="0.40129808053568622"/>
  </r>
  <r>
    <x v="3"/>
    <x v="0"/>
    <x v="1"/>
    <x v="2"/>
    <x v="1"/>
    <x v="1"/>
    <x v="0"/>
    <x v="1"/>
    <x v="1"/>
    <x v="1"/>
    <n v="3"/>
    <n v="3"/>
    <n v="0"/>
    <m/>
    <x v="1"/>
    <n v="0.22716649774048389"/>
  </r>
  <r>
    <x v="5"/>
    <x v="0"/>
    <x v="0"/>
    <x v="1"/>
    <x v="2"/>
    <x v="0"/>
    <x v="1"/>
    <x v="1"/>
    <x v="2"/>
    <x v="4"/>
    <n v="2"/>
    <n v="2"/>
    <n v="1"/>
    <n v="2"/>
    <x v="0"/>
    <n v="6.4244019136035085E-2"/>
  </r>
  <r>
    <x v="5"/>
    <x v="0"/>
    <x v="0"/>
    <x v="1"/>
    <x v="1"/>
    <x v="1"/>
    <x v="0"/>
    <x v="1"/>
    <x v="1"/>
    <x v="4"/>
    <n v="2"/>
    <n v="2"/>
    <n v="0"/>
    <n v="2"/>
    <x v="0"/>
    <n v="7.8582346257712016E-2"/>
  </r>
  <r>
    <x v="14"/>
    <x v="1"/>
    <x v="0"/>
    <x v="1"/>
    <x v="3"/>
    <x v="0"/>
    <x v="1"/>
    <x v="1"/>
    <x v="1"/>
    <x v="5"/>
    <n v="1"/>
    <n v="1"/>
    <n v="0"/>
    <m/>
    <x v="1"/>
    <n v="1.9517393207062139E-2"/>
  </r>
  <r>
    <x v="10"/>
    <x v="1"/>
    <x v="0"/>
    <x v="1"/>
    <x v="0"/>
    <x v="0"/>
    <x v="1"/>
    <x v="0"/>
    <x v="1"/>
    <x v="6"/>
    <n v="2"/>
    <n v="2"/>
    <n v="0"/>
    <m/>
    <x v="1"/>
    <n v="1.9829579578179591E-2"/>
  </r>
  <r>
    <x v="11"/>
    <x v="0"/>
    <x v="0"/>
    <x v="2"/>
    <x v="0"/>
    <x v="0"/>
    <x v="0"/>
    <x v="0"/>
    <x v="2"/>
    <x v="8"/>
    <n v="3"/>
    <n v="4"/>
    <n v="0"/>
    <m/>
    <x v="1"/>
    <n v="0.48468662481451541"/>
  </r>
  <r>
    <x v="7"/>
    <x v="0"/>
    <x v="0"/>
    <x v="0"/>
    <x v="2"/>
    <x v="0"/>
    <x v="0"/>
    <x v="1"/>
    <x v="0"/>
    <x v="3"/>
    <n v="6"/>
    <n v="12"/>
    <n v="0"/>
    <m/>
    <x v="1"/>
    <n v="0.76913673245175174"/>
  </r>
  <r>
    <x v="9"/>
    <x v="1"/>
    <x v="0"/>
    <x v="1"/>
    <x v="2"/>
    <x v="0"/>
    <x v="1"/>
    <x v="1"/>
    <x v="1"/>
    <x v="6"/>
    <n v="3"/>
    <n v="3"/>
    <n v="0"/>
    <n v="3"/>
    <x v="0"/>
    <n v="4.3446313523090585E-2"/>
  </r>
  <r>
    <x v="5"/>
    <x v="1"/>
    <x v="1"/>
    <x v="0"/>
    <x v="1"/>
    <x v="1"/>
    <x v="0"/>
    <x v="1"/>
    <x v="0"/>
    <x v="9"/>
    <n v="3"/>
    <n v="3"/>
    <n v="0"/>
    <n v="3"/>
    <x v="0"/>
    <n v="0.37570779373019209"/>
  </r>
  <r>
    <x v="8"/>
    <x v="0"/>
    <x v="0"/>
    <x v="0"/>
    <x v="0"/>
    <x v="1"/>
    <x v="0"/>
    <x v="0"/>
    <x v="1"/>
    <x v="0"/>
    <n v="5"/>
    <n v="7"/>
    <n v="0"/>
    <m/>
    <x v="1"/>
    <n v="0.39879784994570666"/>
  </r>
  <r>
    <x v="0"/>
    <x v="1"/>
    <x v="1"/>
    <x v="0"/>
    <x v="1"/>
    <x v="0"/>
    <x v="0"/>
    <x v="1"/>
    <x v="2"/>
    <x v="9"/>
    <n v="4"/>
    <n v="5"/>
    <n v="1"/>
    <n v="4"/>
    <x v="0"/>
    <n v="0.70207597860023607"/>
  </r>
  <r>
    <x v="22"/>
    <x v="0"/>
    <x v="1"/>
    <x v="0"/>
    <x v="0"/>
    <x v="0"/>
    <x v="0"/>
    <x v="1"/>
    <x v="1"/>
    <x v="5"/>
    <n v="6"/>
    <n v="8"/>
    <n v="0"/>
    <n v="6"/>
    <x v="0"/>
    <n v="0.16697565933268874"/>
  </r>
  <r>
    <x v="12"/>
    <x v="1"/>
    <x v="0"/>
    <x v="0"/>
    <x v="0"/>
    <x v="1"/>
    <x v="0"/>
    <x v="0"/>
    <x v="1"/>
    <x v="1"/>
    <n v="10"/>
    <n v="11"/>
    <n v="1"/>
    <m/>
    <x v="1"/>
    <n v="0.92065085679800529"/>
  </r>
  <r>
    <x v="22"/>
    <x v="1"/>
    <x v="1"/>
    <x v="0"/>
    <x v="0"/>
    <x v="0"/>
    <x v="0"/>
    <x v="0"/>
    <x v="0"/>
    <x v="0"/>
    <n v="3"/>
    <n v="3"/>
    <n v="0"/>
    <n v="3"/>
    <x v="0"/>
    <n v="0.14014657827847735"/>
  </r>
  <r>
    <x v="15"/>
    <x v="1"/>
    <x v="0"/>
    <x v="2"/>
    <x v="3"/>
    <x v="1"/>
    <x v="0"/>
    <x v="0"/>
    <x v="2"/>
    <x v="9"/>
    <n v="2"/>
    <n v="2"/>
    <n v="0"/>
    <n v="2"/>
    <x v="0"/>
    <n v="0.89843734259705377"/>
  </r>
  <r>
    <x v="0"/>
    <x v="0"/>
    <x v="0"/>
    <x v="1"/>
    <x v="0"/>
    <x v="0"/>
    <x v="0"/>
    <x v="0"/>
    <x v="0"/>
    <x v="5"/>
    <n v="1"/>
    <n v="1"/>
    <n v="0"/>
    <n v="1"/>
    <x v="0"/>
    <n v="2.0841983429204125E-2"/>
  </r>
  <r>
    <x v="17"/>
    <x v="0"/>
    <x v="0"/>
    <x v="2"/>
    <x v="1"/>
    <x v="1"/>
    <x v="0"/>
    <x v="1"/>
    <x v="2"/>
    <x v="9"/>
    <n v="2"/>
    <n v="4"/>
    <n v="0"/>
    <n v="2"/>
    <x v="0"/>
    <n v="1.1485728730031477"/>
  </r>
  <r>
    <x v="16"/>
    <x v="1"/>
    <x v="0"/>
    <x v="1"/>
    <x v="0"/>
    <x v="0"/>
    <x v="1"/>
    <x v="1"/>
    <x v="1"/>
    <x v="6"/>
    <n v="5"/>
    <n v="5"/>
    <n v="0"/>
    <m/>
    <x v="1"/>
    <n v="4.9573948945448969E-2"/>
  </r>
  <r>
    <x v="12"/>
    <x v="1"/>
    <x v="1"/>
    <x v="0"/>
    <x v="1"/>
    <x v="1"/>
    <x v="0"/>
    <x v="1"/>
    <x v="2"/>
    <x v="9"/>
    <n v="2"/>
    <n v="3"/>
    <n v="0"/>
    <m/>
    <x v="1"/>
    <n v="0.72988083396058068"/>
  </r>
  <r>
    <x v="5"/>
    <x v="0"/>
    <x v="0"/>
    <x v="0"/>
    <x v="2"/>
    <x v="1"/>
    <x v="1"/>
    <x v="1"/>
    <x v="2"/>
    <x v="9"/>
    <n v="1"/>
    <n v="1"/>
    <n v="0"/>
    <n v="1"/>
    <x v="0"/>
    <n v="0.12527880269335515"/>
  </r>
  <r>
    <x v="1"/>
    <x v="0"/>
    <x v="0"/>
    <x v="2"/>
    <x v="2"/>
    <x v="0"/>
    <x v="0"/>
    <x v="1"/>
    <x v="2"/>
    <x v="9"/>
    <n v="5"/>
    <n v="5"/>
    <n v="3"/>
    <n v="5"/>
    <x v="0"/>
    <n v="0.84139654347145354"/>
  </r>
  <r>
    <x v="15"/>
    <x v="0"/>
    <x v="0"/>
    <x v="0"/>
    <x v="0"/>
    <x v="1"/>
    <x v="0"/>
    <x v="1"/>
    <x v="1"/>
    <x v="0"/>
    <n v="1"/>
    <n v="1"/>
    <n v="0"/>
    <n v="1"/>
    <x v="0"/>
    <n v="5.6971121420815236E-2"/>
  </r>
  <r>
    <x v="17"/>
    <x v="0"/>
    <x v="0"/>
    <x v="2"/>
    <x v="1"/>
    <x v="1"/>
    <x v="0"/>
    <x v="1"/>
    <x v="1"/>
    <x v="8"/>
    <n v="8"/>
    <n v="10"/>
    <n v="2"/>
    <n v="7"/>
    <x v="0"/>
    <n v="1.0551663196804721"/>
  </r>
  <r>
    <x v="2"/>
    <x v="1"/>
    <x v="0"/>
    <x v="1"/>
    <x v="1"/>
    <x v="1"/>
    <x v="0"/>
    <x v="1"/>
    <x v="1"/>
    <x v="0"/>
    <n v="1"/>
    <n v="3"/>
    <n v="0"/>
    <m/>
    <x v="1"/>
    <n v="0.17470287013110697"/>
  </r>
  <r>
    <x v="14"/>
    <x v="1"/>
    <x v="1"/>
    <x v="2"/>
    <x v="2"/>
    <x v="0"/>
    <x v="0"/>
    <x v="0"/>
    <x v="0"/>
    <x v="8"/>
    <n v="1"/>
    <n v="1"/>
    <n v="0"/>
    <m/>
    <x v="1"/>
    <n v="8.6424504948779526E-2"/>
  </r>
  <r>
    <x v="12"/>
    <x v="0"/>
    <x v="0"/>
    <x v="0"/>
    <x v="1"/>
    <x v="1"/>
    <x v="0"/>
    <x v="1"/>
    <x v="0"/>
    <x v="8"/>
    <n v="15"/>
    <n v="19"/>
    <n v="0"/>
    <m/>
    <x v="1"/>
    <n v="2.2796992784275378"/>
  </r>
  <r>
    <x v="17"/>
    <x v="1"/>
    <x v="1"/>
    <x v="0"/>
    <x v="1"/>
    <x v="0"/>
    <x v="0"/>
    <x v="1"/>
    <x v="1"/>
    <x v="0"/>
    <n v="17"/>
    <n v="19"/>
    <n v="3"/>
    <n v="17"/>
    <x v="0"/>
    <n v="0.86743510359364928"/>
  </r>
  <r>
    <x v="20"/>
    <x v="0"/>
    <x v="0"/>
    <x v="0"/>
    <x v="3"/>
    <x v="0"/>
    <x v="1"/>
    <x v="1"/>
    <x v="2"/>
    <x v="8"/>
    <n v="1"/>
    <n v="1"/>
    <n v="0"/>
    <n v="1"/>
    <x v="0"/>
    <n v="8.9725737736983821E-2"/>
  </r>
  <r>
    <x v="14"/>
    <x v="0"/>
    <x v="1"/>
    <x v="2"/>
    <x v="1"/>
    <x v="1"/>
    <x v="0"/>
    <x v="1"/>
    <x v="1"/>
    <x v="1"/>
    <n v="2"/>
    <n v="3"/>
    <n v="0"/>
    <m/>
    <x v="1"/>
    <n v="0.22716649774048389"/>
  </r>
  <r>
    <x v="11"/>
    <x v="1"/>
    <x v="1"/>
    <x v="0"/>
    <x v="1"/>
    <x v="0"/>
    <x v="0"/>
    <x v="1"/>
    <x v="0"/>
    <x v="1"/>
    <n v="7"/>
    <n v="10"/>
    <n v="0"/>
    <m/>
    <x v="1"/>
    <n v="0.67805747848462927"/>
  </r>
  <r>
    <x v="17"/>
    <x v="1"/>
    <x v="0"/>
    <x v="0"/>
    <x v="0"/>
    <x v="1"/>
    <x v="0"/>
    <x v="0"/>
    <x v="1"/>
    <x v="1"/>
    <n v="7"/>
    <n v="8"/>
    <n v="0"/>
    <n v="6"/>
    <x v="0"/>
    <n v="0.66956425948945841"/>
  </r>
  <r>
    <x v="16"/>
    <x v="0"/>
    <x v="1"/>
    <x v="0"/>
    <x v="0"/>
    <x v="0"/>
    <x v="1"/>
    <x v="0"/>
    <x v="1"/>
    <x v="6"/>
    <n v="4"/>
    <n v="4"/>
    <n v="0"/>
    <m/>
    <x v="1"/>
    <n v="3.993924539493561E-2"/>
  </r>
  <r>
    <x v="21"/>
    <x v="1"/>
    <x v="0"/>
    <x v="0"/>
    <x v="2"/>
    <x v="0"/>
    <x v="0"/>
    <x v="1"/>
    <x v="0"/>
    <x v="8"/>
    <n v="4"/>
    <n v="4"/>
    <n v="0"/>
    <m/>
    <x v="1"/>
    <n v="0.37531300962138026"/>
  </r>
  <r>
    <x v="9"/>
    <x v="0"/>
    <x v="1"/>
    <x v="2"/>
    <x v="1"/>
    <x v="0"/>
    <x v="0"/>
    <x v="1"/>
    <x v="0"/>
    <x v="3"/>
    <n v="6"/>
    <n v="7"/>
    <n v="1"/>
    <n v="5"/>
    <x v="0"/>
    <n v="0.41665041593922492"/>
  </r>
  <r>
    <x v="20"/>
    <x v="0"/>
    <x v="1"/>
    <x v="2"/>
    <x v="2"/>
    <x v="0"/>
    <x v="0"/>
    <x v="0"/>
    <x v="2"/>
    <x v="8"/>
    <n v="1"/>
    <n v="1"/>
    <n v="0"/>
    <n v="1"/>
    <x v="0"/>
    <n v="0.12320370260660997"/>
  </r>
  <r>
    <x v="3"/>
    <x v="1"/>
    <x v="0"/>
    <x v="0"/>
    <x v="3"/>
    <x v="1"/>
    <x v="1"/>
    <x v="1"/>
    <x v="0"/>
    <x v="8"/>
    <n v="2"/>
    <n v="3"/>
    <n v="0"/>
    <m/>
    <x v="1"/>
    <n v="0.34657478070034442"/>
  </r>
  <r>
    <x v="9"/>
    <x v="0"/>
    <x v="0"/>
    <x v="1"/>
    <x v="2"/>
    <x v="0"/>
    <x v="0"/>
    <x v="1"/>
    <x v="1"/>
    <x v="5"/>
    <n v="4"/>
    <n v="4"/>
    <n v="0"/>
    <n v="4"/>
    <x v="0"/>
    <n v="8.0517245317780983E-2"/>
  </r>
  <r>
    <x v="1"/>
    <x v="0"/>
    <x v="1"/>
    <x v="0"/>
    <x v="0"/>
    <x v="0"/>
    <x v="1"/>
    <x v="1"/>
    <x v="1"/>
    <x v="6"/>
    <n v="7"/>
    <n v="8"/>
    <n v="0"/>
    <n v="6"/>
    <x v="0"/>
    <n v="7.987849078987122E-2"/>
  </r>
  <r>
    <x v="19"/>
    <x v="0"/>
    <x v="0"/>
    <x v="0"/>
    <x v="0"/>
    <x v="0"/>
    <x v="1"/>
    <x v="0"/>
    <x v="0"/>
    <x v="7"/>
    <n v="2"/>
    <n v="2"/>
    <n v="0"/>
    <m/>
    <x v="1"/>
    <n v="4.3206929616634408E-2"/>
  </r>
  <r>
    <x v="17"/>
    <x v="0"/>
    <x v="0"/>
    <x v="0"/>
    <x v="0"/>
    <x v="0"/>
    <x v="0"/>
    <x v="0"/>
    <x v="2"/>
    <x v="8"/>
    <n v="3"/>
    <n v="5"/>
    <n v="0"/>
    <n v="3"/>
    <x v="0"/>
    <n v="0.47433174864338229"/>
  </r>
  <r>
    <x v="4"/>
    <x v="0"/>
    <x v="0"/>
    <x v="0"/>
    <x v="2"/>
    <x v="0"/>
    <x v="0"/>
    <x v="1"/>
    <x v="0"/>
    <x v="3"/>
    <n v="8"/>
    <n v="11"/>
    <n v="0"/>
    <m/>
    <x v="1"/>
    <n v="0.70504200474743917"/>
  </r>
  <r>
    <x v="15"/>
    <x v="1"/>
    <x v="0"/>
    <x v="1"/>
    <x v="0"/>
    <x v="0"/>
    <x v="0"/>
    <x v="1"/>
    <x v="0"/>
    <x v="4"/>
    <n v="1"/>
    <n v="1"/>
    <n v="0"/>
    <n v="1"/>
    <x v="0"/>
    <n v="3.1179022325415869E-2"/>
  </r>
  <r>
    <x v="1"/>
    <x v="1"/>
    <x v="0"/>
    <x v="0"/>
    <x v="3"/>
    <x v="0"/>
    <x v="0"/>
    <x v="1"/>
    <x v="0"/>
    <x v="8"/>
    <n v="3"/>
    <n v="3"/>
    <n v="0"/>
    <n v="3"/>
    <x v="0"/>
    <n v="0.3690241039999998"/>
  </r>
  <r>
    <x v="20"/>
    <x v="1"/>
    <x v="0"/>
    <x v="0"/>
    <x v="0"/>
    <x v="0"/>
    <x v="1"/>
    <x v="0"/>
    <x v="0"/>
    <x v="4"/>
    <n v="2"/>
    <n v="2"/>
    <n v="0"/>
    <n v="2"/>
    <x v="0"/>
    <n v="6.4611432767311794E-2"/>
  </r>
  <r>
    <x v="13"/>
    <x v="1"/>
    <x v="0"/>
    <x v="0"/>
    <x v="2"/>
    <x v="0"/>
    <x v="0"/>
    <x v="0"/>
    <x v="0"/>
    <x v="8"/>
    <n v="1"/>
    <n v="1"/>
    <n v="0"/>
    <m/>
    <x v="1"/>
    <n v="9.3828252405345064E-2"/>
  </r>
  <r>
    <x v="5"/>
    <x v="1"/>
    <x v="0"/>
    <x v="1"/>
    <x v="0"/>
    <x v="0"/>
    <x v="1"/>
    <x v="1"/>
    <x v="1"/>
    <x v="6"/>
    <n v="9"/>
    <n v="10"/>
    <n v="1"/>
    <n v="9"/>
    <x v="0"/>
    <n v="9.9147897890897937E-2"/>
  </r>
  <r>
    <x v="22"/>
    <x v="1"/>
    <x v="0"/>
    <x v="0"/>
    <x v="1"/>
    <x v="0"/>
    <x v="0"/>
    <x v="1"/>
    <x v="2"/>
    <x v="9"/>
    <n v="12"/>
    <n v="18"/>
    <n v="4"/>
    <n v="11"/>
    <x v="0"/>
    <n v="3.4275647978471766"/>
  </r>
  <r>
    <x v="21"/>
    <x v="0"/>
    <x v="1"/>
    <x v="0"/>
    <x v="3"/>
    <x v="0"/>
    <x v="1"/>
    <x v="1"/>
    <x v="0"/>
    <x v="7"/>
    <n v="1"/>
    <n v="1"/>
    <n v="0"/>
    <m/>
    <x v="1"/>
    <n v="2.9580852115696006E-2"/>
  </r>
  <r>
    <x v="8"/>
    <x v="1"/>
    <x v="1"/>
    <x v="0"/>
    <x v="2"/>
    <x v="0"/>
    <x v="0"/>
    <x v="1"/>
    <x v="2"/>
    <x v="9"/>
    <n v="2"/>
    <n v="3"/>
    <n v="0"/>
    <m/>
    <x v="1"/>
    <n v="0.41712285720746167"/>
  </r>
  <r>
    <x v="13"/>
    <x v="0"/>
    <x v="0"/>
    <x v="0"/>
    <x v="0"/>
    <x v="0"/>
    <x v="0"/>
    <x v="0"/>
    <x v="0"/>
    <x v="0"/>
    <n v="5"/>
    <n v="5"/>
    <n v="0"/>
    <m/>
    <x v="1"/>
    <n v="0.22294337807538123"/>
  </r>
  <r>
    <x v="21"/>
    <x v="0"/>
    <x v="1"/>
    <x v="1"/>
    <x v="3"/>
    <x v="0"/>
    <x v="0"/>
    <x v="1"/>
    <x v="1"/>
    <x v="5"/>
    <n v="1"/>
    <n v="1"/>
    <n v="0"/>
    <m/>
    <x v="1"/>
    <n v="1.8959791303298907E-2"/>
  </r>
  <r>
    <x v="14"/>
    <x v="1"/>
    <x v="0"/>
    <x v="0"/>
    <x v="0"/>
    <x v="0"/>
    <x v="1"/>
    <x v="1"/>
    <x v="1"/>
    <x v="7"/>
    <n v="9"/>
    <n v="12"/>
    <n v="0"/>
    <m/>
    <x v="1"/>
    <n v="0.25781476804562431"/>
  </r>
  <r>
    <x v="8"/>
    <x v="0"/>
    <x v="1"/>
    <x v="1"/>
    <x v="2"/>
    <x v="1"/>
    <x v="0"/>
    <x v="1"/>
    <x v="1"/>
    <x v="7"/>
    <n v="3"/>
    <n v="3"/>
    <n v="0"/>
    <m/>
    <x v="1"/>
    <n v="8.1941499635363263E-2"/>
  </r>
  <r>
    <x v="14"/>
    <x v="1"/>
    <x v="0"/>
    <x v="2"/>
    <x v="1"/>
    <x v="1"/>
    <x v="0"/>
    <x v="1"/>
    <x v="0"/>
    <x v="9"/>
    <n v="2"/>
    <n v="4"/>
    <n v="0"/>
    <m/>
    <x v="1"/>
    <n v="0.85332670687630885"/>
  </r>
  <r>
    <x v="12"/>
    <x v="0"/>
    <x v="0"/>
    <x v="0"/>
    <x v="2"/>
    <x v="0"/>
    <x v="0"/>
    <x v="0"/>
    <x v="2"/>
    <x v="9"/>
    <n v="5"/>
    <n v="8"/>
    <n v="1"/>
    <m/>
    <x v="1"/>
    <n v="1.0663879778056222"/>
  </r>
  <r>
    <x v="14"/>
    <x v="1"/>
    <x v="0"/>
    <x v="1"/>
    <x v="0"/>
    <x v="0"/>
    <x v="0"/>
    <x v="1"/>
    <x v="1"/>
    <x v="5"/>
    <n v="3"/>
    <n v="4"/>
    <n v="0"/>
    <m/>
    <x v="1"/>
    <n v="8.2908739469652437E-2"/>
  </r>
  <r>
    <x v="21"/>
    <x v="0"/>
    <x v="0"/>
    <x v="1"/>
    <x v="3"/>
    <x v="1"/>
    <x v="0"/>
    <x v="1"/>
    <x v="0"/>
    <x v="1"/>
    <n v="1"/>
    <n v="2"/>
    <n v="0"/>
    <m/>
    <x v="1"/>
    <n v="0.15375344795941501"/>
  </r>
  <r>
    <x v="11"/>
    <x v="0"/>
    <x v="0"/>
    <x v="2"/>
    <x v="2"/>
    <x v="0"/>
    <x v="0"/>
    <x v="1"/>
    <x v="0"/>
    <x v="1"/>
    <n v="2"/>
    <n v="3"/>
    <n v="0"/>
    <m/>
    <x v="1"/>
    <n v="0.24793959353321335"/>
  </r>
  <r>
    <x v="0"/>
    <x v="1"/>
    <x v="0"/>
    <x v="0"/>
    <x v="2"/>
    <x v="0"/>
    <x v="0"/>
    <x v="1"/>
    <x v="1"/>
    <x v="3"/>
    <n v="7"/>
    <n v="8"/>
    <n v="0"/>
    <n v="7"/>
    <x v="0"/>
    <n v="0.51005763063491483"/>
  </r>
  <r>
    <x v="16"/>
    <x v="0"/>
    <x v="1"/>
    <x v="0"/>
    <x v="2"/>
    <x v="0"/>
    <x v="0"/>
    <x v="1"/>
    <x v="1"/>
    <x v="7"/>
    <n v="5"/>
    <n v="5"/>
    <n v="0"/>
    <m/>
    <x v="1"/>
    <n v="0.15166065419930277"/>
  </r>
  <r>
    <x v="7"/>
    <x v="1"/>
    <x v="0"/>
    <x v="0"/>
    <x v="2"/>
    <x v="1"/>
    <x v="0"/>
    <x v="0"/>
    <x v="0"/>
    <x v="9"/>
    <n v="1"/>
    <n v="1"/>
    <n v="0"/>
    <m/>
    <x v="1"/>
    <n v="0.1692962067399281"/>
  </r>
  <r>
    <x v="6"/>
    <x v="0"/>
    <x v="0"/>
    <x v="0"/>
    <x v="1"/>
    <x v="0"/>
    <x v="1"/>
    <x v="1"/>
    <x v="2"/>
    <x v="1"/>
    <n v="1"/>
    <n v="1"/>
    <n v="1"/>
    <m/>
    <x v="1"/>
    <n v="6.8556946757267243E-2"/>
  </r>
  <r>
    <x v="9"/>
    <x v="1"/>
    <x v="1"/>
    <x v="1"/>
    <x v="0"/>
    <x v="1"/>
    <x v="1"/>
    <x v="1"/>
    <x v="1"/>
    <x v="6"/>
    <n v="1"/>
    <n v="1"/>
    <n v="0"/>
    <n v="1"/>
    <x v="0"/>
    <n v="1.350380369724709E-2"/>
  </r>
  <r>
    <x v="19"/>
    <x v="1"/>
    <x v="0"/>
    <x v="0"/>
    <x v="0"/>
    <x v="1"/>
    <x v="0"/>
    <x v="0"/>
    <x v="1"/>
    <x v="1"/>
    <n v="4"/>
    <n v="4"/>
    <n v="0"/>
    <m/>
    <x v="1"/>
    <n v="0.33478212974472921"/>
  </r>
  <r>
    <x v="12"/>
    <x v="0"/>
    <x v="0"/>
    <x v="1"/>
    <x v="0"/>
    <x v="0"/>
    <x v="0"/>
    <x v="1"/>
    <x v="0"/>
    <x v="5"/>
    <n v="1"/>
    <n v="1"/>
    <n v="0"/>
    <m/>
    <x v="1"/>
    <n v="2.0841983429204125E-2"/>
  </r>
  <r>
    <x v="22"/>
    <x v="1"/>
    <x v="1"/>
    <x v="0"/>
    <x v="0"/>
    <x v="0"/>
    <x v="0"/>
    <x v="0"/>
    <x v="1"/>
    <x v="4"/>
    <n v="9"/>
    <n v="9"/>
    <n v="0"/>
    <n v="9"/>
    <x v="0"/>
    <n v="0.28101049662807048"/>
  </r>
  <r>
    <x v="22"/>
    <x v="1"/>
    <x v="1"/>
    <x v="0"/>
    <x v="1"/>
    <x v="0"/>
    <x v="0"/>
    <x v="1"/>
    <x v="0"/>
    <x v="1"/>
    <n v="5"/>
    <n v="7"/>
    <n v="1"/>
    <n v="4"/>
    <x v="0"/>
    <n v="0.47464023493924051"/>
  </r>
  <r>
    <x v="1"/>
    <x v="0"/>
    <x v="1"/>
    <x v="1"/>
    <x v="0"/>
    <x v="0"/>
    <x v="0"/>
    <x v="1"/>
    <x v="1"/>
    <x v="6"/>
    <n v="1"/>
    <n v="1"/>
    <n v="0"/>
    <n v="1"/>
    <x v="0"/>
    <n v="9.6288351632262403E-3"/>
  </r>
  <r>
    <x v="3"/>
    <x v="1"/>
    <x v="1"/>
    <x v="2"/>
    <x v="1"/>
    <x v="0"/>
    <x v="0"/>
    <x v="1"/>
    <x v="2"/>
    <x v="9"/>
    <n v="3"/>
    <n v="4"/>
    <n v="0"/>
    <m/>
    <x v="1"/>
    <n v="0.7075298085272419"/>
  </r>
  <r>
    <x v="20"/>
    <x v="0"/>
    <x v="0"/>
    <x v="0"/>
    <x v="2"/>
    <x v="0"/>
    <x v="0"/>
    <x v="0"/>
    <x v="1"/>
    <x v="2"/>
    <n v="5"/>
    <n v="5"/>
    <n v="1"/>
    <n v="5"/>
    <x v="0"/>
    <n v="0.21549874684536813"/>
  </r>
  <r>
    <x v="14"/>
    <x v="0"/>
    <x v="1"/>
    <x v="2"/>
    <x v="0"/>
    <x v="0"/>
    <x v="0"/>
    <x v="0"/>
    <x v="0"/>
    <x v="4"/>
    <n v="2"/>
    <n v="2"/>
    <n v="0"/>
    <m/>
    <x v="1"/>
    <n v="8.1789906034188481E-2"/>
  </r>
  <r>
    <x v="15"/>
    <x v="1"/>
    <x v="0"/>
    <x v="2"/>
    <x v="3"/>
    <x v="0"/>
    <x v="0"/>
    <x v="1"/>
    <x v="0"/>
    <x v="9"/>
    <n v="1"/>
    <n v="1"/>
    <n v="0"/>
    <n v="1"/>
    <x v="0"/>
    <n v="0.15577373535327643"/>
  </r>
  <r>
    <x v="4"/>
    <x v="1"/>
    <x v="0"/>
    <x v="2"/>
    <x v="0"/>
    <x v="0"/>
    <x v="0"/>
    <x v="1"/>
    <x v="2"/>
    <x v="9"/>
    <n v="1"/>
    <n v="2"/>
    <n v="0"/>
    <m/>
    <x v="1"/>
    <n v="0.34500564574730752"/>
  </r>
  <r>
    <x v="10"/>
    <x v="0"/>
    <x v="0"/>
    <x v="0"/>
    <x v="1"/>
    <x v="1"/>
    <x v="0"/>
    <x v="1"/>
    <x v="0"/>
    <x v="8"/>
    <n v="5"/>
    <n v="14"/>
    <n v="0"/>
    <m/>
    <x v="1"/>
    <n v="1.679778415683449"/>
  </r>
  <r>
    <x v="21"/>
    <x v="1"/>
    <x v="1"/>
    <x v="1"/>
    <x v="0"/>
    <x v="0"/>
    <x v="1"/>
    <x v="0"/>
    <x v="1"/>
    <x v="6"/>
    <n v="2"/>
    <n v="2"/>
    <n v="0"/>
    <m/>
    <x v="1"/>
    <n v="1.3813470643303788E-2"/>
  </r>
  <r>
    <x v="1"/>
    <x v="0"/>
    <x v="1"/>
    <x v="1"/>
    <x v="1"/>
    <x v="0"/>
    <x v="0"/>
    <x v="1"/>
    <x v="2"/>
    <x v="0"/>
    <n v="1"/>
    <n v="1"/>
    <n v="0"/>
    <n v="1"/>
    <x v="0"/>
    <n v="4.6962864711200251E-2"/>
  </r>
  <r>
    <x v="0"/>
    <x v="1"/>
    <x v="0"/>
    <x v="1"/>
    <x v="0"/>
    <x v="0"/>
    <x v="0"/>
    <x v="1"/>
    <x v="2"/>
    <x v="1"/>
    <n v="1"/>
    <n v="1"/>
    <n v="0"/>
    <m/>
    <x v="0"/>
    <n v="6.7402860630559377E-2"/>
  </r>
  <r>
    <x v="1"/>
    <x v="1"/>
    <x v="0"/>
    <x v="0"/>
    <x v="0"/>
    <x v="0"/>
    <x v="1"/>
    <x v="1"/>
    <x v="2"/>
    <x v="1"/>
    <n v="3"/>
    <n v="4"/>
    <n v="0"/>
    <n v="3"/>
    <x v="0"/>
    <n v="0.27897726641771564"/>
  </r>
  <r>
    <x v="19"/>
    <x v="1"/>
    <x v="0"/>
    <x v="0"/>
    <x v="2"/>
    <x v="0"/>
    <x v="0"/>
    <x v="1"/>
    <x v="2"/>
    <x v="9"/>
    <n v="7"/>
    <n v="13"/>
    <n v="0"/>
    <m/>
    <x v="1"/>
    <n v="2.452632499654527"/>
  </r>
  <r>
    <x v="16"/>
    <x v="0"/>
    <x v="1"/>
    <x v="0"/>
    <x v="0"/>
    <x v="0"/>
    <x v="0"/>
    <x v="1"/>
    <x v="1"/>
    <x v="5"/>
    <n v="16"/>
    <n v="18"/>
    <n v="1"/>
    <m/>
    <x v="1"/>
    <n v="0.37569523349854966"/>
  </r>
  <r>
    <x v="0"/>
    <x v="1"/>
    <x v="1"/>
    <x v="0"/>
    <x v="2"/>
    <x v="0"/>
    <x v="0"/>
    <x v="0"/>
    <x v="0"/>
    <x v="1"/>
    <n v="1"/>
    <n v="1"/>
    <n v="0"/>
    <n v="1"/>
    <x v="0"/>
    <n v="6.7086671775585666E-2"/>
  </r>
  <r>
    <x v="0"/>
    <x v="1"/>
    <x v="0"/>
    <x v="2"/>
    <x v="2"/>
    <x v="0"/>
    <x v="0"/>
    <x v="1"/>
    <x v="0"/>
    <x v="8"/>
    <n v="1"/>
    <n v="1"/>
    <n v="0"/>
    <n v="1"/>
    <x v="0"/>
    <n v="0.11988383252407406"/>
  </r>
  <r>
    <x v="12"/>
    <x v="1"/>
    <x v="1"/>
    <x v="0"/>
    <x v="3"/>
    <x v="1"/>
    <x v="0"/>
    <x v="1"/>
    <x v="2"/>
    <x v="9"/>
    <n v="2"/>
    <n v="3"/>
    <n v="1"/>
    <m/>
    <x v="1"/>
    <n v="0.90294709665342776"/>
  </r>
  <r>
    <x v="14"/>
    <x v="0"/>
    <x v="0"/>
    <x v="2"/>
    <x v="0"/>
    <x v="0"/>
    <x v="0"/>
    <x v="1"/>
    <x v="2"/>
    <x v="8"/>
    <n v="2"/>
    <n v="2"/>
    <n v="0"/>
    <m/>
    <x v="1"/>
    <n v="0.2423433124072577"/>
  </r>
  <r>
    <x v="1"/>
    <x v="0"/>
    <x v="1"/>
    <x v="0"/>
    <x v="2"/>
    <x v="1"/>
    <x v="1"/>
    <x v="0"/>
    <x v="2"/>
    <x v="8"/>
    <n v="1"/>
    <n v="1"/>
    <n v="0"/>
    <n v="1"/>
    <x v="0"/>
    <n v="9.0468526032261742E-2"/>
  </r>
  <r>
    <x v="12"/>
    <x v="1"/>
    <x v="1"/>
    <x v="0"/>
    <x v="2"/>
    <x v="1"/>
    <x v="0"/>
    <x v="1"/>
    <x v="0"/>
    <x v="8"/>
    <n v="3"/>
    <n v="3"/>
    <n v="0"/>
    <m/>
    <x v="1"/>
    <n v="0.37196645625941471"/>
  </r>
  <r>
    <x v="14"/>
    <x v="0"/>
    <x v="1"/>
    <x v="0"/>
    <x v="2"/>
    <x v="0"/>
    <x v="0"/>
    <x v="1"/>
    <x v="2"/>
    <x v="8"/>
    <n v="1"/>
    <n v="3"/>
    <n v="0"/>
    <m/>
    <x v="1"/>
    <n v="0.28951709683688598"/>
  </r>
  <r>
    <x v="2"/>
    <x v="0"/>
    <x v="0"/>
    <x v="0"/>
    <x v="2"/>
    <x v="0"/>
    <x v="0"/>
    <x v="1"/>
    <x v="0"/>
    <x v="3"/>
    <n v="9"/>
    <n v="13"/>
    <n v="0"/>
    <m/>
    <x v="1"/>
    <n v="0.83323146015606442"/>
  </r>
  <r>
    <x v="20"/>
    <x v="0"/>
    <x v="1"/>
    <x v="0"/>
    <x v="2"/>
    <x v="1"/>
    <x v="1"/>
    <x v="1"/>
    <x v="1"/>
    <x v="7"/>
    <n v="3"/>
    <n v="3"/>
    <n v="0"/>
    <n v="3"/>
    <x v="0"/>
    <n v="8.4914803125449814E-2"/>
  </r>
  <r>
    <x v="2"/>
    <x v="1"/>
    <x v="0"/>
    <x v="0"/>
    <x v="2"/>
    <x v="1"/>
    <x v="0"/>
    <x v="1"/>
    <x v="1"/>
    <x v="8"/>
    <n v="6"/>
    <n v="8"/>
    <n v="0"/>
    <m/>
    <x v="1"/>
    <n v="0.94554492732798401"/>
  </r>
  <r>
    <x v="18"/>
    <x v="1"/>
    <x v="0"/>
    <x v="1"/>
    <x v="0"/>
    <x v="0"/>
    <x v="0"/>
    <x v="1"/>
    <x v="1"/>
    <x v="5"/>
    <n v="1"/>
    <n v="1"/>
    <n v="0"/>
    <m/>
    <x v="1"/>
    <n v="2.0727184867413109E-2"/>
  </r>
  <r>
    <x v="22"/>
    <x v="0"/>
    <x v="1"/>
    <x v="0"/>
    <x v="1"/>
    <x v="1"/>
    <x v="0"/>
    <x v="1"/>
    <x v="1"/>
    <x v="0"/>
    <n v="4"/>
    <n v="5"/>
    <n v="0"/>
    <n v="4"/>
    <x v="0"/>
    <n v="0.29312676956989009"/>
  </r>
  <r>
    <x v="22"/>
    <x v="0"/>
    <x v="0"/>
    <x v="0"/>
    <x v="0"/>
    <x v="0"/>
    <x v="0"/>
    <x v="0"/>
    <x v="2"/>
    <x v="8"/>
    <n v="4"/>
    <n v="7"/>
    <n v="1"/>
    <n v="3"/>
    <x v="0"/>
    <n v="0.66406444810073517"/>
  </r>
  <r>
    <x v="2"/>
    <x v="0"/>
    <x v="0"/>
    <x v="1"/>
    <x v="2"/>
    <x v="1"/>
    <x v="0"/>
    <x v="1"/>
    <x v="1"/>
    <x v="4"/>
    <n v="1"/>
    <n v="1"/>
    <n v="0"/>
    <m/>
    <x v="1"/>
    <n v="3.8861886041588509E-2"/>
  </r>
  <r>
    <x v="1"/>
    <x v="1"/>
    <x v="0"/>
    <x v="0"/>
    <x v="3"/>
    <x v="1"/>
    <x v="0"/>
    <x v="1"/>
    <x v="0"/>
    <x v="9"/>
    <n v="2"/>
    <n v="4"/>
    <n v="0"/>
    <n v="2"/>
    <x v="0"/>
    <n v="0.86537037412188211"/>
  </r>
  <r>
    <x v="7"/>
    <x v="1"/>
    <x v="0"/>
    <x v="0"/>
    <x v="3"/>
    <x v="1"/>
    <x v="0"/>
    <x v="1"/>
    <x v="0"/>
    <x v="9"/>
    <n v="2"/>
    <n v="4"/>
    <n v="0"/>
    <m/>
    <x v="1"/>
    <n v="0.86537037412188211"/>
  </r>
  <r>
    <x v="2"/>
    <x v="0"/>
    <x v="0"/>
    <x v="1"/>
    <x v="1"/>
    <x v="0"/>
    <x v="0"/>
    <x v="1"/>
    <x v="2"/>
    <x v="1"/>
    <n v="4"/>
    <n v="4"/>
    <n v="0"/>
    <m/>
    <x v="1"/>
    <n v="0.26501005669721822"/>
  </r>
  <r>
    <x v="12"/>
    <x v="0"/>
    <x v="1"/>
    <x v="2"/>
    <x v="2"/>
    <x v="0"/>
    <x v="0"/>
    <x v="0"/>
    <x v="1"/>
    <x v="4"/>
    <n v="1"/>
    <n v="1"/>
    <n v="0"/>
    <m/>
    <x v="1"/>
    <n v="3.9524266772527843E-2"/>
  </r>
  <r>
    <x v="19"/>
    <x v="0"/>
    <x v="1"/>
    <x v="1"/>
    <x v="0"/>
    <x v="0"/>
    <x v="1"/>
    <x v="1"/>
    <x v="2"/>
    <x v="5"/>
    <n v="1"/>
    <n v="1"/>
    <n v="0"/>
    <m/>
    <x v="1"/>
    <n v="1.5464261787653045E-2"/>
  </r>
  <r>
    <x v="14"/>
    <x v="1"/>
    <x v="0"/>
    <x v="2"/>
    <x v="0"/>
    <x v="0"/>
    <x v="0"/>
    <x v="1"/>
    <x v="2"/>
    <x v="9"/>
    <n v="1"/>
    <n v="1"/>
    <n v="0"/>
    <m/>
    <x v="1"/>
    <n v="0.17250282287365376"/>
  </r>
  <r>
    <x v="7"/>
    <x v="0"/>
    <x v="1"/>
    <x v="0"/>
    <x v="2"/>
    <x v="1"/>
    <x v="0"/>
    <x v="1"/>
    <x v="1"/>
    <x v="0"/>
    <n v="6"/>
    <n v="8"/>
    <n v="0"/>
    <m/>
    <x v="1"/>
    <n v="0.46398062541382068"/>
  </r>
  <r>
    <x v="2"/>
    <x v="1"/>
    <x v="1"/>
    <x v="0"/>
    <x v="1"/>
    <x v="1"/>
    <x v="0"/>
    <x v="1"/>
    <x v="0"/>
    <x v="9"/>
    <n v="4"/>
    <n v="4"/>
    <n v="0"/>
    <m/>
    <x v="1"/>
    <n v="0.50094372497358941"/>
  </r>
  <r>
    <x v="0"/>
    <x v="0"/>
    <x v="1"/>
    <x v="0"/>
    <x v="0"/>
    <x v="1"/>
    <x v="0"/>
    <x v="0"/>
    <x v="1"/>
    <x v="4"/>
    <n v="3"/>
    <n v="3"/>
    <n v="0"/>
    <n v="2"/>
    <x v="0"/>
    <n v="0.12080173903150901"/>
  </r>
  <r>
    <x v="15"/>
    <x v="0"/>
    <x v="0"/>
    <x v="1"/>
    <x v="1"/>
    <x v="1"/>
    <x v="0"/>
    <x v="1"/>
    <x v="1"/>
    <x v="4"/>
    <n v="4"/>
    <n v="5"/>
    <n v="0"/>
    <n v="4"/>
    <x v="0"/>
    <n v="0.19645586564428005"/>
  </r>
  <r>
    <x v="0"/>
    <x v="0"/>
    <x v="0"/>
    <x v="0"/>
    <x v="0"/>
    <x v="0"/>
    <x v="1"/>
    <x v="0"/>
    <x v="1"/>
    <x v="6"/>
    <n v="7"/>
    <n v="8"/>
    <n v="0"/>
    <n v="7"/>
    <x v="0"/>
    <n v="0.1145129726397961"/>
  </r>
  <r>
    <x v="21"/>
    <x v="0"/>
    <x v="1"/>
    <x v="0"/>
    <x v="3"/>
    <x v="0"/>
    <x v="1"/>
    <x v="1"/>
    <x v="2"/>
    <x v="3"/>
    <n v="2"/>
    <n v="2"/>
    <n v="0"/>
    <m/>
    <x v="1"/>
    <n v="0.12814145198905752"/>
  </r>
  <r>
    <x v="0"/>
    <x v="0"/>
    <x v="0"/>
    <x v="0"/>
    <x v="0"/>
    <x v="0"/>
    <x v="1"/>
    <x v="1"/>
    <x v="0"/>
    <x v="7"/>
    <n v="6"/>
    <n v="6"/>
    <n v="1"/>
    <n v="6"/>
    <x v="0"/>
    <n v="0.12962078884990322"/>
  </r>
  <r>
    <x v="15"/>
    <x v="1"/>
    <x v="0"/>
    <x v="1"/>
    <x v="1"/>
    <x v="0"/>
    <x v="0"/>
    <x v="1"/>
    <x v="1"/>
    <x v="4"/>
    <n v="6"/>
    <n v="6"/>
    <n v="1"/>
    <n v="6"/>
    <x v="0"/>
    <n v="0.18275747852196786"/>
  </r>
  <r>
    <x v="10"/>
    <x v="0"/>
    <x v="1"/>
    <x v="0"/>
    <x v="0"/>
    <x v="0"/>
    <x v="0"/>
    <x v="1"/>
    <x v="0"/>
    <x v="4"/>
    <n v="3"/>
    <n v="3"/>
    <n v="0"/>
    <m/>
    <x v="1"/>
    <n v="9.4183371371262647E-2"/>
  </r>
  <r>
    <x v="3"/>
    <x v="1"/>
    <x v="0"/>
    <x v="0"/>
    <x v="3"/>
    <x v="0"/>
    <x v="1"/>
    <x v="1"/>
    <x v="2"/>
    <x v="9"/>
    <n v="1"/>
    <n v="1"/>
    <n v="0"/>
    <m/>
    <x v="1"/>
    <n v="0.12970168387961117"/>
  </r>
  <r>
    <x v="1"/>
    <x v="0"/>
    <x v="0"/>
    <x v="1"/>
    <x v="3"/>
    <x v="1"/>
    <x v="1"/>
    <x v="1"/>
    <x v="2"/>
    <x v="1"/>
    <n v="1"/>
    <n v="1"/>
    <n v="0"/>
    <n v="1"/>
    <x v="0"/>
    <n v="8.1292767345553685E-2"/>
  </r>
  <r>
    <x v="20"/>
    <x v="0"/>
    <x v="1"/>
    <x v="1"/>
    <x v="0"/>
    <x v="0"/>
    <x v="0"/>
    <x v="1"/>
    <x v="0"/>
    <x v="5"/>
    <n v="3"/>
    <n v="4"/>
    <n v="0"/>
    <n v="3"/>
    <x v="0"/>
    <n v="5.8269994209545303E-2"/>
  </r>
  <r>
    <x v="0"/>
    <x v="1"/>
    <x v="1"/>
    <x v="0"/>
    <x v="2"/>
    <x v="0"/>
    <x v="0"/>
    <x v="1"/>
    <x v="1"/>
    <x v="0"/>
    <n v="2"/>
    <n v="2"/>
    <n v="0"/>
    <n v="2"/>
    <x v="0"/>
    <n v="9.0317871897326291E-2"/>
  </r>
  <r>
    <x v="3"/>
    <x v="1"/>
    <x v="0"/>
    <x v="2"/>
    <x v="2"/>
    <x v="0"/>
    <x v="1"/>
    <x v="1"/>
    <x v="2"/>
    <x v="9"/>
    <n v="1"/>
    <n v="2"/>
    <n v="0"/>
    <m/>
    <x v="1"/>
    <n v="0.25286396656125659"/>
  </r>
  <r>
    <x v="10"/>
    <x v="1"/>
    <x v="0"/>
    <x v="0"/>
    <x v="3"/>
    <x v="1"/>
    <x v="0"/>
    <x v="1"/>
    <x v="0"/>
    <x v="9"/>
    <n v="4"/>
    <n v="4"/>
    <n v="0"/>
    <m/>
    <x v="1"/>
    <n v="0.86537037412188211"/>
  </r>
  <r>
    <x v="17"/>
    <x v="1"/>
    <x v="1"/>
    <x v="2"/>
    <x v="2"/>
    <x v="1"/>
    <x v="1"/>
    <x v="0"/>
    <x v="2"/>
    <x v="9"/>
    <n v="1"/>
    <n v="1"/>
    <n v="0"/>
    <n v="1"/>
    <x v="0"/>
    <n v="0.16516265543163985"/>
  </r>
  <r>
    <x v="20"/>
    <x v="0"/>
    <x v="0"/>
    <x v="2"/>
    <x v="0"/>
    <x v="1"/>
    <x v="0"/>
    <x v="0"/>
    <x v="1"/>
    <x v="1"/>
    <n v="1"/>
    <n v="1"/>
    <n v="0"/>
    <n v="1"/>
    <x v="0"/>
    <n v="7.3623241710018827E-2"/>
  </r>
  <r>
    <x v="16"/>
    <x v="0"/>
    <x v="0"/>
    <x v="0"/>
    <x v="3"/>
    <x v="1"/>
    <x v="1"/>
    <x v="1"/>
    <x v="0"/>
    <x v="1"/>
    <n v="2"/>
    <n v="2"/>
    <n v="0"/>
    <m/>
    <x v="1"/>
    <n v="0.15903844711423848"/>
  </r>
  <r>
    <x v="19"/>
    <x v="1"/>
    <x v="0"/>
    <x v="0"/>
    <x v="0"/>
    <x v="0"/>
    <x v="1"/>
    <x v="0"/>
    <x v="1"/>
    <x v="7"/>
    <n v="8"/>
    <n v="10"/>
    <n v="0"/>
    <m/>
    <x v="1"/>
    <n v="0.21484564003802026"/>
  </r>
  <r>
    <x v="2"/>
    <x v="0"/>
    <x v="1"/>
    <x v="0"/>
    <x v="0"/>
    <x v="0"/>
    <x v="0"/>
    <x v="0"/>
    <x v="0"/>
    <x v="4"/>
    <n v="8"/>
    <n v="8"/>
    <n v="0"/>
    <m/>
    <x v="1"/>
    <n v="0.25115565699003373"/>
  </r>
  <r>
    <x v="3"/>
    <x v="1"/>
    <x v="0"/>
    <x v="0"/>
    <x v="2"/>
    <x v="0"/>
    <x v="0"/>
    <x v="0"/>
    <x v="1"/>
    <x v="3"/>
    <n v="5"/>
    <n v="5"/>
    <n v="0"/>
    <m/>
    <x v="1"/>
    <n v="0.3187860191468217"/>
  </r>
  <r>
    <x v="2"/>
    <x v="0"/>
    <x v="0"/>
    <x v="2"/>
    <x v="0"/>
    <x v="1"/>
    <x v="0"/>
    <x v="0"/>
    <x v="1"/>
    <x v="1"/>
    <n v="2"/>
    <n v="2"/>
    <n v="0"/>
    <m/>
    <x v="1"/>
    <n v="0.14724648342003765"/>
  </r>
  <r>
    <x v="7"/>
    <x v="1"/>
    <x v="0"/>
    <x v="0"/>
    <x v="2"/>
    <x v="1"/>
    <x v="1"/>
    <x v="1"/>
    <x v="0"/>
    <x v="8"/>
    <n v="2"/>
    <n v="2"/>
    <n v="0"/>
    <m/>
    <x v="1"/>
    <n v="0.17588454222228606"/>
  </r>
  <r>
    <x v="7"/>
    <x v="0"/>
    <x v="0"/>
    <x v="0"/>
    <x v="2"/>
    <x v="0"/>
    <x v="1"/>
    <x v="1"/>
    <x v="0"/>
    <x v="4"/>
    <n v="1"/>
    <n v="2"/>
    <n v="0"/>
    <m/>
    <x v="1"/>
    <n v="6.2769130013339253E-2"/>
  </r>
  <r>
    <x v="12"/>
    <x v="0"/>
    <x v="1"/>
    <x v="0"/>
    <x v="3"/>
    <x v="1"/>
    <x v="0"/>
    <x v="0"/>
    <x v="2"/>
    <x v="9"/>
    <n v="1"/>
    <n v="1"/>
    <n v="1"/>
    <m/>
    <x v="1"/>
    <n v="0.22166089127555452"/>
  </r>
  <r>
    <x v="6"/>
    <x v="1"/>
    <x v="0"/>
    <x v="0"/>
    <x v="2"/>
    <x v="1"/>
    <x v="0"/>
    <x v="1"/>
    <x v="1"/>
    <x v="8"/>
    <n v="5"/>
    <n v="6"/>
    <n v="0"/>
    <m/>
    <x v="1"/>
    <n v="0.70915869549598798"/>
  </r>
  <r>
    <x v="0"/>
    <x v="1"/>
    <x v="0"/>
    <x v="0"/>
    <x v="0"/>
    <x v="1"/>
    <x v="0"/>
    <x v="0"/>
    <x v="1"/>
    <x v="1"/>
    <n v="3"/>
    <n v="6"/>
    <n v="0"/>
    <n v="3"/>
    <x v="0"/>
    <n v="0.50217319461709375"/>
  </r>
  <r>
    <x v="5"/>
    <x v="1"/>
    <x v="0"/>
    <x v="2"/>
    <x v="3"/>
    <x v="0"/>
    <x v="1"/>
    <x v="1"/>
    <x v="2"/>
    <x v="9"/>
    <n v="1"/>
    <n v="1"/>
    <n v="0"/>
    <n v="1"/>
    <x v="0"/>
    <n v="0.16391711892382171"/>
  </r>
  <r>
    <x v="14"/>
    <x v="0"/>
    <x v="0"/>
    <x v="2"/>
    <x v="1"/>
    <x v="0"/>
    <x v="0"/>
    <x v="1"/>
    <x v="2"/>
    <x v="9"/>
    <n v="4"/>
    <n v="11"/>
    <n v="0"/>
    <m/>
    <x v="1"/>
    <n v="1.868740646940708"/>
  </r>
  <r>
    <x v="11"/>
    <x v="1"/>
    <x v="1"/>
    <x v="0"/>
    <x v="0"/>
    <x v="0"/>
    <x v="1"/>
    <x v="1"/>
    <x v="2"/>
    <x v="0"/>
    <n v="1"/>
    <n v="1"/>
    <n v="0"/>
    <m/>
    <x v="1"/>
    <n v="4.9491902792675999E-2"/>
  </r>
  <r>
    <x v="0"/>
    <x v="1"/>
    <x v="0"/>
    <x v="2"/>
    <x v="2"/>
    <x v="0"/>
    <x v="1"/>
    <x v="1"/>
    <x v="1"/>
    <x v="4"/>
    <n v="2"/>
    <n v="2"/>
    <n v="0"/>
    <n v="2"/>
    <x v="0"/>
    <n v="8.1323193327279719E-2"/>
  </r>
  <r>
    <x v="21"/>
    <x v="0"/>
    <x v="1"/>
    <x v="0"/>
    <x v="0"/>
    <x v="0"/>
    <x v="0"/>
    <x v="1"/>
    <x v="1"/>
    <x v="5"/>
    <n v="6"/>
    <n v="7"/>
    <n v="0"/>
    <m/>
    <x v="1"/>
    <n v="0.14610370191610264"/>
  </r>
  <r>
    <x v="6"/>
    <x v="0"/>
    <x v="0"/>
    <x v="0"/>
    <x v="2"/>
    <x v="1"/>
    <x v="1"/>
    <x v="1"/>
    <x v="1"/>
    <x v="4"/>
    <n v="2"/>
    <n v="2"/>
    <n v="0"/>
    <m/>
    <x v="1"/>
    <n v="8.0509349356369539E-2"/>
  </r>
  <r>
    <x v="19"/>
    <x v="0"/>
    <x v="0"/>
    <x v="0"/>
    <x v="0"/>
    <x v="1"/>
    <x v="0"/>
    <x v="0"/>
    <x v="2"/>
    <x v="9"/>
    <n v="1"/>
    <n v="2"/>
    <n v="0"/>
    <m/>
    <x v="1"/>
    <n v="0.3420233869536996"/>
  </r>
  <r>
    <x v="22"/>
    <x v="0"/>
    <x v="1"/>
    <x v="1"/>
    <x v="0"/>
    <x v="0"/>
    <x v="1"/>
    <x v="1"/>
    <x v="0"/>
    <x v="6"/>
    <n v="1"/>
    <n v="1"/>
    <n v="0"/>
    <n v="1"/>
    <x v="0"/>
    <n v="6.9455315248842728E-3"/>
  </r>
  <r>
    <x v="0"/>
    <x v="1"/>
    <x v="0"/>
    <x v="0"/>
    <x v="2"/>
    <x v="0"/>
    <x v="1"/>
    <x v="1"/>
    <x v="0"/>
    <x v="0"/>
    <n v="3"/>
    <n v="3"/>
    <n v="0"/>
    <n v="3"/>
    <x v="0"/>
    <n v="0.14010311759983418"/>
  </r>
  <r>
    <x v="12"/>
    <x v="0"/>
    <x v="0"/>
    <x v="2"/>
    <x v="2"/>
    <x v="0"/>
    <x v="0"/>
    <x v="0"/>
    <x v="2"/>
    <x v="9"/>
    <n v="1"/>
    <n v="1"/>
    <n v="0"/>
    <m/>
    <x v="1"/>
    <n v="0.1682793086942907"/>
  </r>
  <r>
    <x v="17"/>
    <x v="1"/>
    <x v="0"/>
    <x v="0"/>
    <x v="2"/>
    <x v="1"/>
    <x v="0"/>
    <x v="0"/>
    <x v="1"/>
    <x v="8"/>
    <n v="2"/>
    <n v="2"/>
    <n v="0"/>
    <n v="2"/>
    <x v="0"/>
    <n v="0.236386231831996"/>
  </r>
  <r>
    <x v="20"/>
    <x v="1"/>
    <x v="0"/>
    <x v="2"/>
    <x v="0"/>
    <x v="0"/>
    <x v="0"/>
    <x v="1"/>
    <x v="1"/>
    <x v="0"/>
    <n v="15"/>
    <n v="16"/>
    <n v="1"/>
    <n v="15"/>
    <x v="0"/>
    <n v="0.92059030889255578"/>
  </r>
  <r>
    <x v="21"/>
    <x v="0"/>
    <x v="0"/>
    <x v="0"/>
    <x v="2"/>
    <x v="1"/>
    <x v="0"/>
    <x v="1"/>
    <x v="1"/>
    <x v="1"/>
    <n v="6"/>
    <n v="8"/>
    <n v="0"/>
    <m/>
    <x v="1"/>
    <n v="0.65145904643868391"/>
  </r>
  <r>
    <x v="2"/>
    <x v="0"/>
    <x v="1"/>
    <x v="2"/>
    <x v="0"/>
    <x v="0"/>
    <x v="0"/>
    <x v="1"/>
    <x v="1"/>
    <x v="7"/>
    <n v="2"/>
    <n v="4"/>
    <n v="0"/>
    <m/>
    <x v="1"/>
    <n v="0.10911136800135676"/>
  </r>
  <r>
    <x v="17"/>
    <x v="1"/>
    <x v="0"/>
    <x v="0"/>
    <x v="3"/>
    <x v="0"/>
    <x v="0"/>
    <x v="1"/>
    <x v="2"/>
    <x v="9"/>
    <n v="2"/>
    <n v="2"/>
    <n v="1"/>
    <n v="2"/>
    <x v="0"/>
    <n v="0.47908124645836453"/>
  </r>
  <r>
    <x v="8"/>
    <x v="0"/>
    <x v="1"/>
    <x v="0"/>
    <x v="1"/>
    <x v="0"/>
    <x v="0"/>
    <x v="1"/>
    <x v="0"/>
    <x v="0"/>
    <n v="6"/>
    <n v="11"/>
    <n v="0"/>
    <m/>
    <x v="1"/>
    <n v="0.50490954276646005"/>
  </r>
  <r>
    <x v="20"/>
    <x v="1"/>
    <x v="0"/>
    <x v="0"/>
    <x v="2"/>
    <x v="1"/>
    <x v="1"/>
    <x v="1"/>
    <x v="1"/>
    <x v="3"/>
    <n v="2"/>
    <n v="2"/>
    <n v="0"/>
    <n v="2"/>
    <x v="0"/>
    <n v="0.11926696437941101"/>
  </r>
  <r>
    <x v="12"/>
    <x v="1"/>
    <x v="1"/>
    <x v="2"/>
    <x v="2"/>
    <x v="0"/>
    <x v="0"/>
    <x v="1"/>
    <x v="1"/>
    <x v="0"/>
    <n v="1"/>
    <n v="2"/>
    <n v="0"/>
    <m/>
    <x v="1"/>
    <n v="0.11714582306338804"/>
  </r>
  <r>
    <x v="20"/>
    <x v="1"/>
    <x v="0"/>
    <x v="0"/>
    <x v="0"/>
    <x v="1"/>
    <x v="1"/>
    <x v="0"/>
    <x v="2"/>
    <x v="9"/>
    <n v="1"/>
    <n v="1"/>
    <n v="0"/>
    <n v="1"/>
    <x v="0"/>
    <n v="0.12858993764061805"/>
  </r>
  <r>
    <x v="17"/>
    <x v="1"/>
    <x v="0"/>
    <x v="0"/>
    <x v="3"/>
    <x v="1"/>
    <x v="0"/>
    <x v="1"/>
    <x v="2"/>
    <x v="9"/>
    <n v="2"/>
    <n v="2"/>
    <n v="0"/>
    <n v="2"/>
    <x v="0"/>
    <n v="0.76542055614954618"/>
  </r>
  <r>
    <x v="9"/>
    <x v="1"/>
    <x v="0"/>
    <x v="0"/>
    <x v="0"/>
    <x v="0"/>
    <x v="0"/>
    <x v="0"/>
    <x v="2"/>
    <x v="9"/>
    <n v="6"/>
    <n v="9"/>
    <n v="0"/>
    <n v="6"/>
    <x v="0"/>
    <n v="1.2310960256699703"/>
  </r>
  <r>
    <x v="19"/>
    <x v="1"/>
    <x v="0"/>
    <x v="0"/>
    <x v="2"/>
    <x v="1"/>
    <x v="0"/>
    <x v="1"/>
    <x v="1"/>
    <x v="8"/>
    <n v="3"/>
    <n v="3"/>
    <n v="0"/>
    <m/>
    <x v="1"/>
    <n v="0.35457934774799399"/>
  </r>
  <r>
    <x v="22"/>
    <x v="1"/>
    <x v="0"/>
    <x v="0"/>
    <x v="0"/>
    <x v="0"/>
    <x v="0"/>
    <x v="1"/>
    <x v="0"/>
    <x v="1"/>
    <n v="5"/>
    <n v="6"/>
    <n v="0"/>
    <n v="5"/>
    <x v="0"/>
    <n v="0.39546365418962082"/>
  </r>
  <r>
    <x v="10"/>
    <x v="0"/>
    <x v="0"/>
    <x v="0"/>
    <x v="2"/>
    <x v="0"/>
    <x v="1"/>
    <x v="1"/>
    <x v="2"/>
    <x v="1"/>
    <n v="1"/>
    <n v="3"/>
    <n v="0"/>
    <m/>
    <x v="1"/>
    <n v="0.2034914518027324"/>
  </r>
  <r>
    <x v="20"/>
    <x v="1"/>
    <x v="1"/>
    <x v="2"/>
    <x v="2"/>
    <x v="0"/>
    <x v="0"/>
    <x v="1"/>
    <x v="2"/>
    <x v="9"/>
    <n v="1"/>
    <n v="1"/>
    <n v="1"/>
    <n v="1"/>
    <x v="0"/>
    <n v="0.17522405795301016"/>
  </r>
  <r>
    <x v="1"/>
    <x v="0"/>
    <x v="1"/>
    <x v="1"/>
    <x v="0"/>
    <x v="0"/>
    <x v="1"/>
    <x v="1"/>
    <x v="1"/>
    <x v="6"/>
    <n v="3"/>
    <n v="3"/>
    <n v="0"/>
    <n v="3"/>
    <x v="0"/>
    <n v="1.3736566616060271E-2"/>
  </r>
  <r>
    <x v="8"/>
    <x v="0"/>
    <x v="0"/>
    <x v="2"/>
    <x v="0"/>
    <x v="1"/>
    <x v="0"/>
    <x v="0"/>
    <x v="1"/>
    <x v="1"/>
    <n v="1"/>
    <n v="2"/>
    <n v="0"/>
    <m/>
    <x v="1"/>
    <n v="0.14724648342003765"/>
  </r>
  <r>
    <x v="13"/>
    <x v="1"/>
    <x v="0"/>
    <x v="0"/>
    <x v="0"/>
    <x v="0"/>
    <x v="1"/>
    <x v="1"/>
    <x v="0"/>
    <x v="4"/>
    <n v="2"/>
    <n v="3"/>
    <n v="0"/>
    <m/>
    <x v="1"/>
    <n v="9.6917149150967677E-2"/>
  </r>
  <r>
    <x v="11"/>
    <x v="0"/>
    <x v="1"/>
    <x v="2"/>
    <x v="1"/>
    <x v="0"/>
    <x v="0"/>
    <x v="1"/>
    <x v="0"/>
    <x v="3"/>
    <n v="4"/>
    <n v="6"/>
    <n v="0"/>
    <m/>
    <x v="1"/>
    <n v="0.35712892794790707"/>
  </r>
  <r>
    <x v="9"/>
    <x v="1"/>
    <x v="0"/>
    <x v="2"/>
    <x v="0"/>
    <x v="0"/>
    <x v="1"/>
    <x v="1"/>
    <x v="0"/>
    <x v="2"/>
    <n v="1"/>
    <n v="1"/>
    <n v="0"/>
    <n v="1"/>
    <x v="0"/>
    <n v="4.2069997453546046E-2"/>
  </r>
  <r>
    <x v="5"/>
    <x v="0"/>
    <x v="0"/>
    <x v="1"/>
    <x v="0"/>
    <x v="1"/>
    <x v="0"/>
    <x v="0"/>
    <x v="1"/>
    <x v="7"/>
    <n v="2"/>
    <n v="2"/>
    <n v="0"/>
    <n v="2"/>
    <x v="0"/>
    <n v="5.3629934482317836E-2"/>
  </r>
  <r>
    <x v="7"/>
    <x v="0"/>
    <x v="1"/>
    <x v="0"/>
    <x v="2"/>
    <x v="0"/>
    <x v="0"/>
    <x v="1"/>
    <x v="2"/>
    <x v="8"/>
    <n v="3"/>
    <n v="7"/>
    <n v="0"/>
    <m/>
    <x v="1"/>
    <n v="0.67553989261940062"/>
  </r>
  <r>
    <x v="0"/>
    <x v="1"/>
    <x v="0"/>
    <x v="0"/>
    <x v="0"/>
    <x v="0"/>
    <x v="0"/>
    <x v="0"/>
    <x v="0"/>
    <x v="1"/>
    <n v="9"/>
    <n v="12"/>
    <n v="1"/>
    <n v="9"/>
    <x v="0"/>
    <n v="0.79092730837924163"/>
  </r>
  <r>
    <x v="15"/>
    <x v="1"/>
    <x v="1"/>
    <x v="1"/>
    <x v="0"/>
    <x v="0"/>
    <x v="1"/>
    <x v="1"/>
    <x v="1"/>
    <x v="6"/>
    <n v="3"/>
    <n v="3"/>
    <n v="0"/>
    <n v="3"/>
    <x v="0"/>
    <n v="2.0720205964955687E-2"/>
  </r>
  <r>
    <x v="5"/>
    <x v="0"/>
    <x v="0"/>
    <x v="0"/>
    <x v="2"/>
    <x v="1"/>
    <x v="1"/>
    <x v="0"/>
    <x v="1"/>
    <x v="4"/>
    <n v="1"/>
    <n v="1"/>
    <n v="0"/>
    <n v="1"/>
    <x v="0"/>
    <n v="4.0254674678184769E-2"/>
  </r>
  <r>
    <x v="11"/>
    <x v="1"/>
    <x v="0"/>
    <x v="1"/>
    <x v="0"/>
    <x v="0"/>
    <x v="1"/>
    <x v="0"/>
    <x v="1"/>
    <x v="6"/>
    <n v="2"/>
    <n v="3"/>
    <n v="0"/>
    <m/>
    <x v="1"/>
    <n v="2.9744369367269385E-2"/>
  </r>
  <r>
    <x v="17"/>
    <x v="1"/>
    <x v="0"/>
    <x v="2"/>
    <x v="0"/>
    <x v="0"/>
    <x v="0"/>
    <x v="1"/>
    <x v="1"/>
    <x v="0"/>
    <n v="8"/>
    <n v="12"/>
    <n v="0"/>
    <n v="7"/>
    <x v="0"/>
    <n v="0.69044273166941683"/>
  </r>
  <r>
    <x v="8"/>
    <x v="0"/>
    <x v="0"/>
    <x v="0"/>
    <x v="1"/>
    <x v="1"/>
    <x v="0"/>
    <x v="1"/>
    <x v="2"/>
    <x v="9"/>
    <n v="5"/>
    <n v="12"/>
    <n v="0"/>
    <m/>
    <x v="1"/>
    <n v="2.8130136493286195"/>
  </r>
  <r>
    <x v="0"/>
    <x v="0"/>
    <x v="0"/>
    <x v="0"/>
    <x v="3"/>
    <x v="1"/>
    <x v="0"/>
    <x v="0"/>
    <x v="1"/>
    <x v="8"/>
    <n v="1"/>
    <n v="1"/>
    <n v="0"/>
    <n v="1"/>
    <x v="0"/>
    <n v="0.1072132568053293"/>
  </r>
  <r>
    <x v="12"/>
    <x v="0"/>
    <x v="0"/>
    <x v="2"/>
    <x v="2"/>
    <x v="1"/>
    <x v="0"/>
    <x v="1"/>
    <x v="2"/>
    <x v="9"/>
    <n v="2"/>
    <n v="2"/>
    <n v="0"/>
    <m/>
    <x v="1"/>
    <n v="0.56961750200508909"/>
  </r>
  <r>
    <x v="16"/>
    <x v="1"/>
    <x v="1"/>
    <x v="0"/>
    <x v="2"/>
    <x v="0"/>
    <x v="0"/>
    <x v="1"/>
    <x v="0"/>
    <x v="1"/>
    <n v="3"/>
    <n v="3"/>
    <n v="0"/>
    <m/>
    <x v="1"/>
    <n v="0.20126001532675697"/>
  </r>
  <r>
    <x v="20"/>
    <x v="1"/>
    <x v="0"/>
    <x v="0"/>
    <x v="3"/>
    <x v="1"/>
    <x v="0"/>
    <x v="1"/>
    <x v="0"/>
    <x v="9"/>
    <n v="2"/>
    <n v="2"/>
    <n v="1"/>
    <n v="2"/>
    <x v="0"/>
    <n v="0.43268518706094106"/>
  </r>
  <r>
    <x v="6"/>
    <x v="1"/>
    <x v="0"/>
    <x v="2"/>
    <x v="1"/>
    <x v="0"/>
    <x v="0"/>
    <x v="1"/>
    <x v="2"/>
    <x v="9"/>
    <n v="4"/>
    <n v="5"/>
    <n v="0"/>
    <m/>
    <x v="1"/>
    <n v="1.1815210250825221"/>
  </r>
  <r>
    <x v="1"/>
    <x v="1"/>
    <x v="0"/>
    <x v="1"/>
    <x v="0"/>
    <x v="0"/>
    <x v="1"/>
    <x v="1"/>
    <x v="1"/>
    <x v="6"/>
    <n v="7"/>
    <n v="9"/>
    <n v="0"/>
    <n v="6"/>
    <x v="0"/>
    <n v="8.9233108101808165E-2"/>
  </r>
  <r>
    <x v="21"/>
    <x v="0"/>
    <x v="0"/>
    <x v="0"/>
    <x v="3"/>
    <x v="1"/>
    <x v="1"/>
    <x v="1"/>
    <x v="1"/>
    <x v="0"/>
    <n v="1"/>
    <n v="1"/>
    <n v="0"/>
    <m/>
    <x v="1"/>
    <n v="5.3762004632525763E-2"/>
  </r>
  <r>
    <x v="6"/>
    <x v="1"/>
    <x v="0"/>
    <x v="0"/>
    <x v="0"/>
    <x v="1"/>
    <x v="0"/>
    <x v="0"/>
    <x v="1"/>
    <x v="1"/>
    <n v="5"/>
    <n v="5"/>
    <n v="0"/>
    <m/>
    <x v="1"/>
    <n v="0.41847766218091148"/>
  </r>
  <r>
    <x v="7"/>
    <x v="1"/>
    <x v="0"/>
    <x v="0"/>
    <x v="2"/>
    <x v="0"/>
    <x v="1"/>
    <x v="1"/>
    <x v="1"/>
    <x v="4"/>
    <n v="3"/>
    <n v="4"/>
    <n v="0"/>
    <m/>
    <x v="1"/>
    <n v="0.1248541942493863"/>
  </r>
  <r>
    <x v="6"/>
    <x v="1"/>
    <x v="0"/>
    <x v="0"/>
    <x v="2"/>
    <x v="0"/>
    <x v="0"/>
    <x v="1"/>
    <x v="1"/>
    <x v="3"/>
    <n v="5"/>
    <n v="6"/>
    <n v="0"/>
    <m/>
    <x v="1"/>
    <n v="0.38254322297618609"/>
  </r>
  <r>
    <x v="17"/>
    <x v="0"/>
    <x v="0"/>
    <x v="2"/>
    <x v="2"/>
    <x v="1"/>
    <x v="1"/>
    <x v="1"/>
    <x v="2"/>
    <x v="9"/>
    <n v="1"/>
    <n v="1"/>
    <n v="0"/>
    <n v="1"/>
    <x v="0"/>
    <n v="0.15854002300480582"/>
  </r>
  <r>
    <x v="9"/>
    <x v="0"/>
    <x v="0"/>
    <x v="0"/>
    <x v="2"/>
    <x v="0"/>
    <x v="0"/>
    <x v="1"/>
    <x v="0"/>
    <x v="3"/>
    <n v="8"/>
    <n v="8"/>
    <n v="1"/>
    <n v="8"/>
    <x v="0"/>
    <n v="0.51275782163450123"/>
  </r>
  <r>
    <x v="8"/>
    <x v="1"/>
    <x v="0"/>
    <x v="1"/>
    <x v="3"/>
    <x v="1"/>
    <x v="0"/>
    <x v="1"/>
    <x v="0"/>
    <x v="8"/>
    <n v="1"/>
    <n v="1"/>
    <n v="0"/>
    <m/>
    <x v="1"/>
    <n v="0.11183128944304827"/>
  </r>
  <r>
    <x v="5"/>
    <x v="0"/>
    <x v="1"/>
    <x v="0"/>
    <x v="2"/>
    <x v="0"/>
    <x v="0"/>
    <x v="1"/>
    <x v="0"/>
    <x v="0"/>
    <n v="1"/>
    <n v="1"/>
    <n v="1"/>
    <n v="1"/>
    <x v="0"/>
    <n v="4.540277721734616E-2"/>
  </r>
  <r>
    <x v="6"/>
    <x v="0"/>
    <x v="1"/>
    <x v="2"/>
    <x v="2"/>
    <x v="1"/>
    <x v="0"/>
    <x v="0"/>
    <x v="0"/>
    <x v="8"/>
    <n v="1"/>
    <n v="1"/>
    <n v="0"/>
    <m/>
    <x v="1"/>
    <n v="0.10964771003463976"/>
  </r>
  <r>
    <x v="15"/>
    <x v="0"/>
    <x v="1"/>
    <x v="2"/>
    <x v="1"/>
    <x v="1"/>
    <x v="0"/>
    <x v="1"/>
    <x v="1"/>
    <x v="1"/>
    <n v="3"/>
    <n v="3"/>
    <n v="1"/>
    <n v="3"/>
    <x v="0"/>
    <n v="0.22716649774048389"/>
  </r>
  <r>
    <x v="9"/>
    <x v="0"/>
    <x v="1"/>
    <x v="0"/>
    <x v="2"/>
    <x v="0"/>
    <x v="1"/>
    <x v="0"/>
    <x v="1"/>
    <x v="5"/>
    <n v="1"/>
    <n v="1"/>
    <n v="0"/>
    <n v="1"/>
    <x v="0"/>
    <n v="1.458390684269004E-2"/>
  </r>
  <r>
    <x v="15"/>
    <x v="0"/>
    <x v="1"/>
    <x v="0"/>
    <x v="2"/>
    <x v="0"/>
    <x v="1"/>
    <x v="1"/>
    <x v="1"/>
    <x v="5"/>
    <n v="1"/>
    <n v="1"/>
    <n v="0"/>
    <n v="1"/>
    <x v="0"/>
    <n v="1.458390684269004E-2"/>
  </r>
  <r>
    <x v="1"/>
    <x v="1"/>
    <x v="1"/>
    <x v="0"/>
    <x v="0"/>
    <x v="0"/>
    <x v="0"/>
    <x v="0"/>
    <x v="2"/>
    <x v="8"/>
    <n v="1"/>
    <n v="1"/>
    <n v="0"/>
    <n v="1"/>
    <x v="0"/>
    <n v="9.9142550923112027E-2"/>
  </r>
  <r>
    <x v="8"/>
    <x v="1"/>
    <x v="0"/>
    <x v="2"/>
    <x v="0"/>
    <x v="1"/>
    <x v="1"/>
    <x v="0"/>
    <x v="1"/>
    <x v="0"/>
    <n v="1"/>
    <n v="1"/>
    <n v="0"/>
    <m/>
    <x v="1"/>
    <n v="5.3792377530532454E-2"/>
  </r>
  <r>
    <x v="16"/>
    <x v="0"/>
    <x v="1"/>
    <x v="2"/>
    <x v="0"/>
    <x v="0"/>
    <x v="0"/>
    <x v="0"/>
    <x v="1"/>
    <x v="7"/>
    <n v="3"/>
    <n v="4"/>
    <n v="0"/>
    <m/>
    <x v="1"/>
    <n v="0.10911136800135676"/>
  </r>
  <r>
    <x v="21"/>
    <x v="0"/>
    <x v="0"/>
    <x v="1"/>
    <x v="1"/>
    <x v="1"/>
    <x v="0"/>
    <x v="1"/>
    <x v="1"/>
    <x v="4"/>
    <n v="12"/>
    <n v="13"/>
    <n v="0"/>
    <m/>
    <x v="1"/>
    <n v="0.51078525067512814"/>
  </r>
  <r>
    <x v="10"/>
    <x v="1"/>
    <x v="0"/>
    <x v="1"/>
    <x v="2"/>
    <x v="0"/>
    <x v="0"/>
    <x v="1"/>
    <x v="2"/>
    <x v="8"/>
    <n v="1"/>
    <n v="1"/>
    <n v="0"/>
    <m/>
    <x v="1"/>
    <n v="9.5887690107650039E-2"/>
  </r>
  <r>
    <x v="20"/>
    <x v="0"/>
    <x v="0"/>
    <x v="0"/>
    <x v="2"/>
    <x v="1"/>
    <x v="1"/>
    <x v="1"/>
    <x v="1"/>
    <x v="4"/>
    <n v="4"/>
    <n v="4"/>
    <n v="0"/>
    <n v="4"/>
    <x v="0"/>
    <n v="0.16101869871273908"/>
  </r>
  <r>
    <x v="3"/>
    <x v="1"/>
    <x v="0"/>
    <x v="2"/>
    <x v="0"/>
    <x v="1"/>
    <x v="1"/>
    <x v="1"/>
    <x v="1"/>
    <x v="0"/>
    <n v="1"/>
    <n v="1"/>
    <n v="0"/>
    <m/>
    <x v="1"/>
    <n v="5.3792377530532454E-2"/>
  </r>
  <r>
    <x v="4"/>
    <x v="0"/>
    <x v="0"/>
    <x v="1"/>
    <x v="2"/>
    <x v="1"/>
    <x v="0"/>
    <x v="1"/>
    <x v="0"/>
    <x v="0"/>
    <n v="1"/>
    <n v="1"/>
    <n v="0"/>
    <m/>
    <x v="1"/>
    <n v="5.7917442228855184E-2"/>
  </r>
  <r>
    <x v="20"/>
    <x v="0"/>
    <x v="1"/>
    <x v="0"/>
    <x v="2"/>
    <x v="1"/>
    <x v="0"/>
    <x v="0"/>
    <x v="1"/>
    <x v="0"/>
    <n v="2"/>
    <n v="2"/>
    <n v="0"/>
    <n v="2"/>
    <x v="0"/>
    <n v="0.11599515635345517"/>
  </r>
  <r>
    <x v="5"/>
    <x v="1"/>
    <x v="0"/>
    <x v="0"/>
    <x v="0"/>
    <x v="1"/>
    <x v="0"/>
    <x v="1"/>
    <x v="1"/>
    <x v="1"/>
    <n v="3"/>
    <n v="3"/>
    <n v="0"/>
    <n v="3"/>
    <x v="0"/>
    <n v="0.25108659730854688"/>
  </r>
  <r>
    <x v="5"/>
    <x v="0"/>
    <x v="0"/>
    <x v="2"/>
    <x v="3"/>
    <x v="1"/>
    <x v="0"/>
    <x v="1"/>
    <x v="0"/>
    <x v="9"/>
    <n v="1"/>
    <n v="1"/>
    <n v="0"/>
    <n v="1"/>
    <x v="0"/>
    <n v="0.19368117151349643"/>
  </r>
  <r>
    <x v="1"/>
    <x v="0"/>
    <x v="1"/>
    <x v="1"/>
    <x v="2"/>
    <x v="0"/>
    <x v="1"/>
    <x v="1"/>
    <x v="0"/>
    <x v="6"/>
    <n v="1"/>
    <n v="3"/>
    <n v="0"/>
    <n v="1"/>
    <x v="0"/>
    <n v="3.0477216717787362E-2"/>
  </r>
  <r>
    <x v="11"/>
    <x v="0"/>
    <x v="0"/>
    <x v="0"/>
    <x v="0"/>
    <x v="0"/>
    <x v="0"/>
    <x v="1"/>
    <x v="2"/>
    <x v="8"/>
    <n v="5"/>
    <n v="6"/>
    <n v="0"/>
    <m/>
    <x v="1"/>
    <n v="0.5691980983720587"/>
  </r>
  <r>
    <x v="7"/>
    <x v="1"/>
    <x v="0"/>
    <x v="1"/>
    <x v="2"/>
    <x v="1"/>
    <x v="0"/>
    <x v="1"/>
    <x v="1"/>
    <x v="0"/>
    <n v="1"/>
    <n v="1"/>
    <n v="0"/>
    <m/>
    <x v="1"/>
    <n v="5.7610445646867868E-2"/>
  </r>
  <r>
    <x v="5"/>
    <x v="1"/>
    <x v="0"/>
    <x v="0"/>
    <x v="0"/>
    <x v="1"/>
    <x v="1"/>
    <x v="0"/>
    <x v="0"/>
    <x v="3"/>
    <n v="1"/>
    <n v="1"/>
    <n v="0"/>
    <n v="1"/>
    <x v="0"/>
    <n v="6.1656780627368547E-2"/>
  </r>
  <r>
    <x v="5"/>
    <x v="0"/>
    <x v="0"/>
    <x v="1"/>
    <x v="0"/>
    <x v="1"/>
    <x v="1"/>
    <x v="0"/>
    <x v="1"/>
    <x v="6"/>
    <n v="1"/>
    <n v="1"/>
    <n v="0"/>
    <n v="0"/>
    <x v="0"/>
    <n v="1.2868595029812536E-2"/>
  </r>
  <r>
    <x v="10"/>
    <x v="0"/>
    <x v="0"/>
    <x v="0"/>
    <x v="2"/>
    <x v="0"/>
    <x v="0"/>
    <x v="1"/>
    <x v="1"/>
    <x v="2"/>
    <n v="6"/>
    <n v="7"/>
    <n v="0"/>
    <m/>
    <x v="1"/>
    <n v="0.30169824558351538"/>
  </r>
  <r>
    <x v="2"/>
    <x v="0"/>
    <x v="0"/>
    <x v="2"/>
    <x v="2"/>
    <x v="1"/>
    <x v="0"/>
    <x v="0"/>
    <x v="0"/>
    <x v="9"/>
    <n v="2"/>
    <n v="2"/>
    <n v="0"/>
    <m/>
    <x v="1"/>
    <n v="0.30123130066825354"/>
  </r>
  <r>
    <x v="19"/>
    <x v="0"/>
    <x v="1"/>
    <x v="0"/>
    <x v="2"/>
    <x v="0"/>
    <x v="0"/>
    <x v="1"/>
    <x v="0"/>
    <x v="0"/>
    <n v="2"/>
    <n v="2"/>
    <n v="0"/>
    <m/>
    <x v="1"/>
    <n v="9.080555443469232E-2"/>
  </r>
  <r>
    <x v="20"/>
    <x v="0"/>
    <x v="0"/>
    <x v="2"/>
    <x v="3"/>
    <x v="1"/>
    <x v="0"/>
    <x v="0"/>
    <x v="1"/>
    <x v="9"/>
    <n v="1"/>
    <n v="1"/>
    <n v="0"/>
    <n v="1"/>
    <x v="0"/>
    <n v="0.13642618392543343"/>
  </r>
  <r>
    <x v="5"/>
    <x v="0"/>
    <x v="1"/>
    <x v="0"/>
    <x v="3"/>
    <x v="0"/>
    <x v="0"/>
    <x v="1"/>
    <x v="0"/>
    <x v="3"/>
    <n v="1"/>
    <n v="1"/>
    <n v="0"/>
    <n v="1"/>
    <x v="0"/>
    <n v="6.0528592439100186E-2"/>
  </r>
  <r>
    <x v="21"/>
    <x v="0"/>
    <x v="0"/>
    <x v="1"/>
    <x v="2"/>
    <x v="1"/>
    <x v="1"/>
    <x v="0"/>
    <x v="0"/>
    <x v="7"/>
    <n v="1"/>
    <n v="1"/>
    <n v="0"/>
    <m/>
    <x v="1"/>
    <n v="2.8264594111214687E-2"/>
  </r>
  <r>
    <x v="19"/>
    <x v="0"/>
    <x v="1"/>
    <x v="2"/>
    <x v="2"/>
    <x v="0"/>
    <x v="1"/>
    <x v="1"/>
    <x v="2"/>
    <x v="3"/>
    <n v="1"/>
    <n v="1"/>
    <n v="0"/>
    <m/>
    <x v="1"/>
    <n v="6.2337033552238463E-2"/>
  </r>
  <r>
    <x v="11"/>
    <x v="1"/>
    <x v="0"/>
    <x v="2"/>
    <x v="2"/>
    <x v="1"/>
    <x v="0"/>
    <x v="1"/>
    <x v="1"/>
    <x v="9"/>
    <n v="2"/>
    <n v="3"/>
    <n v="0"/>
    <m/>
    <x v="1"/>
    <n v="0.44968643551146698"/>
  </r>
  <r>
    <x v="22"/>
    <x v="0"/>
    <x v="1"/>
    <x v="2"/>
    <x v="0"/>
    <x v="0"/>
    <x v="0"/>
    <x v="0"/>
    <x v="2"/>
    <x v="8"/>
    <n v="1"/>
    <n v="1"/>
    <n v="0"/>
    <n v="1"/>
    <x v="0"/>
    <n v="8.7388588178664475E-2"/>
  </r>
  <r>
    <x v="9"/>
    <x v="0"/>
    <x v="0"/>
    <x v="0"/>
    <x v="3"/>
    <x v="1"/>
    <x v="0"/>
    <x v="1"/>
    <x v="1"/>
    <x v="8"/>
    <n v="2"/>
    <n v="2"/>
    <n v="0"/>
    <n v="2"/>
    <x v="0"/>
    <n v="0.21442651361065859"/>
  </r>
  <r>
    <x v="9"/>
    <x v="0"/>
    <x v="0"/>
    <x v="0"/>
    <x v="3"/>
    <x v="1"/>
    <x v="0"/>
    <x v="0"/>
    <x v="2"/>
    <x v="9"/>
    <n v="3"/>
    <n v="3"/>
    <n v="0"/>
    <n v="3"/>
    <x v="0"/>
    <n v="0.87243235062856062"/>
  </r>
  <r>
    <x v="6"/>
    <x v="1"/>
    <x v="0"/>
    <x v="1"/>
    <x v="3"/>
    <x v="0"/>
    <x v="1"/>
    <x v="1"/>
    <x v="0"/>
    <x v="7"/>
    <n v="1"/>
    <n v="1"/>
    <n v="0"/>
    <m/>
    <x v="1"/>
    <n v="2.9377485161460701E-2"/>
  </r>
  <r>
    <x v="19"/>
    <x v="1"/>
    <x v="0"/>
    <x v="2"/>
    <x v="1"/>
    <x v="1"/>
    <x v="0"/>
    <x v="1"/>
    <x v="1"/>
    <x v="9"/>
    <n v="11"/>
    <n v="18"/>
    <n v="0"/>
    <m/>
    <x v="1"/>
    <n v="2.724446600140543"/>
  </r>
  <r>
    <x v="19"/>
    <x v="0"/>
    <x v="0"/>
    <x v="1"/>
    <x v="0"/>
    <x v="0"/>
    <x v="1"/>
    <x v="1"/>
    <x v="1"/>
    <x v="6"/>
    <n v="1"/>
    <n v="2"/>
    <n v="0"/>
    <m/>
    <x v="1"/>
    <n v="1.315955589013206E-2"/>
  </r>
  <r>
    <x v="0"/>
    <x v="1"/>
    <x v="1"/>
    <x v="2"/>
    <x v="0"/>
    <x v="0"/>
    <x v="0"/>
    <x v="0"/>
    <x v="1"/>
    <x v="4"/>
    <n v="4"/>
    <n v="4"/>
    <n v="0"/>
    <n v="4"/>
    <x v="0"/>
    <n v="0.16269716010612686"/>
  </r>
  <r>
    <x v="12"/>
    <x v="0"/>
    <x v="0"/>
    <x v="0"/>
    <x v="0"/>
    <x v="0"/>
    <x v="0"/>
    <x v="1"/>
    <x v="2"/>
    <x v="8"/>
    <n v="5"/>
    <n v="9"/>
    <n v="0"/>
    <m/>
    <x v="1"/>
    <n v="0.85379714755808811"/>
  </r>
  <r>
    <x v="2"/>
    <x v="0"/>
    <x v="0"/>
    <x v="1"/>
    <x v="3"/>
    <x v="1"/>
    <x v="1"/>
    <x v="1"/>
    <x v="1"/>
    <x v="7"/>
    <n v="2"/>
    <n v="2"/>
    <n v="0"/>
    <m/>
    <x v="1"/>
    <n v="5.0518025643448448E-2"/>
  </r>
  <r>
    <x v="16"/>
    <x v="1"/>
    <x v="0"/>
    <x v="0"/>
    <x v="2"/>
    <x v="0"/>
    <x v="1"/>
    <x v="1"/>
    <x v="2"/>
    <x v="8"/>
    <n v="5"/>
    <n v="6"/>
    <n v="0"/>
    <m/>
    <x v="1"/>
    <n v="0.59468097787678198"/>
  </r>
  <r>
    <x v="12"/>
    <x v="0"/>
    <x v="0"/>
    <x v="2"/>
    <x v="2"/>
    <x v="1"/>
    <x v="0"/>
    <x v="0"/>
    <x v="1"/>
    <x v="8"/>
    <n v="2"/>
    <n v="2"/>
    <n v="0"/>
    <m/>
    <x v="1"/>
    <n v="0.20888488220949553"/>
  </r>
  <r>
    <x v="22"/>
    <x v="0"/>
    <x v="1"/>
    <x v="1"/>
    <x v="0"/>
    <x v="1"/>
    <x v="1"/>
    <x v="1"/>
    <x v="1"/>
    <x v="6"/>
    <n v="1"/>
    <n v="1"/>
    <n v="0"/>
    <n v="1"/>
    <x v="0"/>
    <n v="8.972504978647905E-3"/>
  </r>
  <r>
    <x v="12"/>
    <x v="0"/>
    <x v="0"/>
    <x v="2"/>
    <x v="0"/>
    <x v="0"/>
    <x v="0"/>
    <x v="0"/>
    <x v="1"/>
    <x v="4"/>
    <n v="9"/>
    <n v="13"/>
    <n v="0"/>
    <m/>
    <x v="1"/>
    <n v="0.5045467079028999"/>
  </r>
  <r>
    <x v="17"/>
    <x v="0"/>
    <x v="0"/>
    <x v="1"/>
    <x v="2"/>
    <x v="0"/>
    <x v="0"/>
    <x v="1"/>
    <x v="1"/>
    <x v="5"/>
    <n v="1"/>
    <n v="1"/>
    <n v="0"/>
    <n v="1"/>
    <x v="0"/>
    <n v="2.0129311329445246E-2"/>
  </r>
  <r>
    <x v="9"/>
    <x v="1"/>
    <x v="1"/>
    <x v="2"/>
    <x v="0"/>
    <x v="0"/>
    <x v="0"/>
    <x v="1"/>
    <x v="2"/>
    <x v="9"/>
    <n v="1"/>
    <n v="1"/>
    <n v="1"/>
    <n v="1"/>
    <x v="0"/>
    <n v="0.12646792194996428"/>
  </r>
  <r>
    <x v="9"/>
    <x v="0"/>
    <x v="0"/>
    <x v="2"/>
    <x v="1"/>
    <x v="0"/>
    <x v="0"/>
    <x v="1"/>
    <x v="1"/>
    <x v="0"/>
    <n v="13"/>
    <n v="15"/>
    <n v="0"/>
    <n v="12"/>
    <x v="0"/>
    <n v="0.84817077790116036"/>
  </r>
  <r>
    <x v="16"/>
    <x v="0"/>
    <x v="0"/>
    <x v="0"/>
    <x v="0"/>
    <x v="0"/>
    <x v="0"/>
    <x v="0"/>
    <x v="0"/>
    <x v="0"/>
    <n v="6"/>
    <n v="8"/>
    <n v="0"/>
    <m/>
    <x v="1"/>
    <n v="0.35670940492060998"/>
  </r>
  <r>
    <x v="3"/>
    <x v="1"/>
    <x v="1"/>
    <x v="1"/>
    <x v="0"/>
    <x v="0"/>
    <x v="1"/>
    <x v="0"/>
    <x v="1"/>
    <x v="6"/>
    <n v="2"/>
    <n v="3"/>
    <n v="0"/>
    <m/>
    <x v="1"/>
    <n v="2.0720205964955687E-2"/>
  </r>
  <r>
    <x v="17"/>
    <x v="1"/>
    <x v="1"/>
    <x v="0"/>
    <x v="1"/>
    <x v="1"/>
    <x v="0"/>
    <x v="1"/>
    <x v="0"/>
    <x v="9"/>
    <n v="2"/>
    <n v="2"/>
    <n v="0"/>
    <n v="2"/>
    <x v="0"/>
    <n v="0.25047186248679471"/>
  </r>
  <r>
    <x v="20"/>
    <x v="1"/>
    <x v="0"/>
    <x v="1"/>
    <x v="0"/>
    <x v="1"/>
    <x v="1"/>
    <x v="1"/>
    <x v="1"/>
    <x v="5"/>
    <n v="1"/>
    <n v="2"/>
    <n v="0"/>
    <n v="1"/>
    <x v="0"/>
    <n v="3.8658245155649057E-2"/>
  </r>
  <r>
    <x v="22"/>
    <x v="0"/>
    <x v="1"/>
    <x v="1"/>
    <x v="2"/>
    <x v="1"/>
    <x v="0"/>
    <x v="1"/>
    <x v="1"/>
    <x v="7"/>
    <n v="1"/>
    <n v="1"/>
    <n v="0"/>
    <n v="1"/>
    <x v="0"/>
    <n v="2.7313833211787753E-2"/>
  </r>
  <r>
    <x v="0"/>
    <x v="1"/>
    <x v="0"/>
    <x v="0"/>
    <x v="0"/>
    <x v="0"/>
    <x v="1"/>
    <x v="1"/>
    <x v="0"/>
    <x v="4"/>
    <n v="3"/>
    <n v="3"/>
    <n v="0"/>
    <n v="3"/>
    <x v="0"/>
    <n v="9.6917149150967677E-2"/>
  </r>
  <r>
    <x v="21"/>
    <x v="0"/>
    <x v="0"/>
    <x v="2"/>
    <x v="0"/>
    <x v="0"/>
    <x v="0"/>
    <x v="1"/>
    <x v="2"/>
    <x v="8"/>
    <n v="1"/>
    <n v="1"/>
    <n v="0"/>
    <m/>
    <x v="1"/>
    <n v="0.12117165620362885"/>
  </r>
  <r>
    <x v="10"/>
    <x v="1"/>
    <x v="1"/>
    <x v="1"/>
    <x v="0"/>
    <x v="0"/>
    <x v="0"/>
    <x v="0"/>
    <x v="1"/>
    <x v="6"/>
    <n v="1"/>
    <n v="1"/>
    <n v="0"/>
    <m/>
    <x v="1"/>
    <n v="1.4486748808385878E-2"/>
  </r>
  <r>
    <x v="8"/>
    <x v="0"/>
    <x v="1"/>
    <x v="0"/>
    <x v="2"/>
    <x v="0"/>
    <x v="0"/>
    <x v="1"/>
    <x v="0"/>
    <x v="0"/>
    <n v="1"/>
    <n v="1"/>
    <n v="0"/>
    <m/>
    <x v="1"/>
    <n v="4.540277721734616E-2"/>
  </r>
  <r>
    <x v="11"/>
    <x v="0"/>
    <x v="0"/>
    <x v="1"/>
    <x v="2"/>
    <x v="0"/>
    <x v="1"/>
    <x v="1"/>
    <x v="2"/>
    <x v="4"/>
    <n v="1"/>
    <n v="1"/>
    <n v="0"/>
    <m/>
    <x v="1"/>
    <n v="3.2122009568017543E-2"/>
  </r>
  <r>
    <x v="0"/>
    <x v="0"/>
    <x v="1"/>
    <x v="2"/>
    <x v="1"/>
    <x v="1"/>
    <x v="0"/>
    <x v="1"/>
    <x v="2"/>
    <x v="9"/>
    <n v="3"/>
    <n v="3"/>
    <n v="0"/>
    <n v="3"/>
    <x v="0"/>
    <n v="0.65578981298371197"/>
  </r>
  <r>
    <x v="0"/>
    <x v="1"/>
    <x v="0"/>
    <x v="0"/>
    <x v="3"/>
    <x v="1"/>
    <x v="0"/>
    <x v="1"/>
    <x v="2"/>
    <x v="9"/>
    <n v="2"/>
    <n v="2"/>
    <n v="0"/>
    <n v="1"/>
    <x v="0"/>
    <n v="0.76542055614954618"/>
  </r>
  <r>
    <x v="10"/>
    <x v="0"/>
    <x v="1"/>
    <x v="2"/>
    <x v="0"/>
    <x v="0"/>
    <x v="1"/>
    <x v="0"/>
    <x v="0"/>
    <x v="5"/>
    <n v="1"/>
    <n v="1"/>
    <n v="0"/>
    <m/>
    <x v="1"/>
    <n v="1.9774425808023691E-2"/>
  </r>
  <r>
    <x v="8"/>
    <x v="0"/>
    <x v="1"/>
    <x v="1"/>
    <x v="1"/>
    <x v="1"/>
    <x v="0"/>
    <x v="1"/>
    <x v="1"/>
    <x v="7"/>
    <n v="5"/>
    <n v="5"/>
    <n v="0"/>
    <m/>
    <x v="1"/>
    <n v="0.13809610332189687"/>
  </r>
  <r>
    <x v="19"/>
    <x v="1"/>
    <x v="0"/>
    <x v="0"/>
    <x v="2"/>
    <x v="1"/>
    <x v="0"/>
    <x v="0"/>
    <x v="0"/>
    <x v="9"/>
    <n v="1"/>
    <n v="1"/>
    <n v="0"/>
    <m/>
    <x v="1"/>
    <n v="0.1692962067399281"/>
  </r>
  <r>
    <x v="18"/>
    <x v="0"/>
    <x v="0"/>
    <x v="2"/>
    <x v="0"/>
    <x v="0"/>
    <x v="0"/>
    <x v="1"/>
    <x v="1"/>
    <x v="4"/>
    <n v="2"/>
    <n v="2"/>
    <n v="0"/>
    <m/>
    <x v="1"/>
    <n v="7.7622570446599981E-2"/>
  </r>
  <r>
    <x v="15"/>
    <x v="1"/>
    <x v="1"/>
    <x v="1"/>
    <x v="1"/>
    <x v="1"/>
    <x v="0"/>
    <x v="1"/>
    <x v="1"/>
    <x v="4"/>
    <n v="1"/>
    <n v="1"/>
    <n v="0"/>
    <n v="1"/>
    <x v="0"/>
    <n v="4.1176226521704343E-2"/>
  </r>
  <r>
    <x v="19"/>
    <x v="1"/>
    <x v="0"/>
    <x v="2"/>
    <x v="0"/>
    <x v="0"/>
    <x v="0"/>
    <x v="1"/>
    <x v="2"/>
    <x v="9"/>
    <n v="1"/>
    <n v="2"/>
    <n v="0"/>
    <m/>
    <x v="1"/>
    <n v="0.34500564574730752"/>
  </r>
  <r>
    <x v="7"/>
    <x v="1"/>
    <x v="1"/>
    <x v="0"/>
    <x v="0"/>
    <x v="1"/>
    <x v="0"/>
    <x v="0"/>
    <x v="1"/>
    <x v="3"/>
    <n v="4"/>
    <n v="4"/>
    <n v="0"/>
    <m/>
    <x v="1"/>
    <n v="0.23860691904656331"/>
  </r>
  <r>
    <x v="15"/>
    <x v="0"/>
    <x v="0"/>
    <x v="0"/>
    <x v="2"/>
    <x v="0"/>
    <x v="1"/>
    <x v="1"/>
    <x v="0"/>
    <x v="4"/>
    <n v="5"/>
    <n v="5"/>
    <n v="0"/>
    <n v="4"/>
    <x v="0"/>
    <n v="0.15692282503334812"/>
  </r>
  <r>
    <x v="16"/>
    <x v="0"/>
    <x v="1"/>
    <x v="0"/>
    <x v="0"/>
    <x v="0"/>
    <x v="0"/>
    <x v="1"/>
    <x v="0"/>
    <x v="4"/>
    <n v="2"/>
    <n v="2"/>
    <n v="0"/>
    <m/>
    <x v="1"/>
    <n v="6.2788914247508432E-2"/>
  </r>
  <r>
    <x v="7"/>
    <x v="1"/>
    <x v="0"/>
    <x v="1"/>
    <x v="0"/>
    <x v="0"/>
    <x v="0"/>
    <x v="0"/>
    <x v="2"/>
    <x v="1"/>
    <n v="1"/>
    <n v="1"/>
    <n v="0"/>
    <m/>
    <x v="1"/>
    <n v="6.7402860630559377E-2"/>
  </r>
  <r>
    <x v="11"/>
    <x v="1"/>
    <x v="0"/>
    <x v="2"/>
    <x v="1"/>
    <x v="1"/>
    <x v="0"/>
    <x v="1"/>
    <x v="0"/>
    <x v="9"/>
    <n v="1"/>
    <n v="1"/>
    <n v="0"/>
    <m/>
    <x v="1"/>
    <n v="0.21333167671907721"/>
  </r>
  <r>
    <x v="9"/>
    <x v="1"/>
    <x v="1"/>
    <x v="0"/>
    <x v="2"/>
    <x v="1"/>
    <x v="0"/>
    <x v="1"/>
    <x v="1"/>
    <x v="8"/>
    <n v="1"/>
    <n v="3"/>
    <n v="0"/>
    <n v="1"/>
    <x v="0"/>
    <n v="0.25548001550009786"/>
  </r>
  <r>
    <x v="14"/>
    <x v="1"/>
    <x v="1"/>
    <x v="0"/>
    <x v="0"/>
    <x v="1"/>
    <x v="0"/>
    <x v="0"/>
    <x v="1"/>
    <x v="3"/>
    <n v="3"/>
    <n v="3"/>
    <n v="0"/>
    <m/>
    <x v="1"/>
    <n v="0.17895518928492249"/>
  </r>
  <r>
    <x v="19"/>
    <x v="1"/>
    <x v="1"/>
    <x v="2"/>
    <x v="1"/>
    <x v="1"/>
    <x v="0"/>
    <x v="1"/>
    <x v="0"/>
    <x v="9"/>
    <n v="1"/>
    <n v="1"/>
    <n v="0"/>
    <m/>
    <x v="1"/>
    <n v="0.15848783160330054"/>
  </r>
  <r>
    <x v="12"/>
    <x v="1"/>
    <x v="1"/>
    <x v="0"/>
    <x v="1"/>
    <x v="1"/>
    <x v="0"/>
    <x v="1"/>
    <x v="1"/>
    <x v="8"/>
    <n v="7"/>
    <n v="7"/>
    <n v="2"/>
    <m/>
    <x v="1"/>
    <n v="0.60238452995226344"/>
  </r>
  <r>
    <x v="1"/>
    <x v="0"/>
    <x v="1"/>
    <x v="0"/>
    <x v="0"/>
    <x v="0"/>
    <x v="0"/>
    <x v="0"/>
    <x v="2"/>
    <x v="1"/>
    <n v="2"/>
    <n v="3"/>
    <n v="0"/>
    <n v="2"/>
    <x v="0"/>
    <n v="0.20355317631477285"/>
  </r>
  <r>
    <x v="14"/>
    <x v="0"/>
    <x v="1"/>
    <x v="1"/>
    <x v="0"/>
    <x v="0"/>
    <x v="0"/>
    <x v="1"/>
    <x v="1"/>
    <x v="6"/>
    <n v="1"/>
    <n v="1"/>
    <n v="0"/>
    <m/>
    <x v="1"/>
    <n v="9.6288351632262403E-3"/>
  </r>
  <r>
    <x v="0"/>
    <x v="1"/>
    <x v="0"/>
    <x v="0"/>
    <x v="2"/>
    <x v="1"/>
    <x v="1"/>
    <x v="1"/>
    <x v="0"/>
    <x v="8"/>
    <n v="1"/>
    <n v="1"/>
    <n v="0"/>
    <n v="1"/>
    <x v="0"/>
    <n v="8.7942271111143028E-2"/>
  </r>
  <r>
    <x v="13"/>
    <x v="0"/>
    <x v="0"/>
    <x v="1"/>
    <x v="1"/>
    <x v="0"/>
    <x v="0"/>
    <x v="1"/>
    <x v="1"/>
    <x v="5"/>
    <n v="2"/>
    <n v="3"/>
    <n v="0"/>
    <m/>
    <x v="1"/>
    <n v="6.1068155875594214E-2"/>
  </r>
  <r>
    <x v="20"/>
    <x v="0"/>
    <x v="1"/>
    <x v="0"/>
    <x v="1"/>
    <x v="1"/>
    <x v="0"/>
    <x v="1"/>
    <x v="2"/>
    <x v="9"/>
    <n v="3"/>
    <n v="3"/>
    <n v="0"/>
    <n v="3"/>
    <x v="0"/>
    <n v="0.52608446281763066"/>
  </r>
  <r>
    <x v="4"/>
    <x v="1"/>
    <x v="0"/>
    <x v="2"/>
    <x v="1"/>
    <x v="0"/>
    <x v="0"/>
    <x v="1"/>
    <x v="2"/>
    <x v="9"/>
    <n v="4"/>
    <n v="14"/>
    <n v="0"/>
    <m/>
    <x v="1"/>
    <n v="3.3082588702310622"/>
  </r>
  <r>
    <x v="22"/>
    <x v="1"/>
    <x v="0"/>
    <x v="2"/>
    <x v="3"/>
    <x v="1"/>
    <x v="0"/>
    <x v="0"/>
    <x v="0"/>
    <x v="9"/>
    <n v="1"/>
    <n v="1"/>
    <n v="0"/>
    <n v="1"/>
    <x v="0"/>
    <n v="0.26641728068577614"/>
  </r>
  <r>
    <x v="20"/>
    <x v="0"/>
    <x v="0"/>
    <x v="0"/>
    <x v="3"/>
    <x v="0"/>
    <x v="0"/>
    <x v="1"/>
    <x v="2"/>
    <x v="9"/>
    <n v="3"/>
    <n v="3"/>
    <n v="1"/>
    <n v="3"/>
    <x v="0"/>
    <n v="0.51725290808077895"/>
  </r>
  <r>
    <x v="14"/>
    <x v="1"/>
    <x v="0"/>
    <x v="2"/>
    <x v="0"/>
    <x v="0"/>
    <x v="1"/>
    <x v="1"/>
    <x v="0"/>
    <x v="2"/>
    <n v="1"/>
    <n v="1"/>
    <n v="0"/>
    <m/>
    <x v="1"/>
    <n v="4.2069997453546046E-2"/>
  </r>
  <r>
    <x v="0"/>
    <x v="0"/>
    <x v="1"/>
    <x v="1"/>
    <x v="0"/>
    <x v="0"/>
    <x v="1"/>
    <x v="1"/>
    <x v="0"/>
    <x v="6"/>
    <n v="1"/>
    <n v="1"/>
    <n v="0"/>
    <n v="1"/>
    <x v="0"/>
    <n v="6.9455315248842728E-3"/>
  </r>
  <r>
    <x v="0"/>
    <x v="1"/>
    <x v="0"/>
    <x v="1"/>
    <x v="1"/>
    <x v="1"/>
    <x v="0"/>
    <x v="1"/>
    <x v="1"/>
    <x v="0"/>
    <n v="3"/>
    <n v="5"/>
    <n v="0"/>
    <n v="3"/>
    <x v="0"/>
    <n v="0.29117145021851165"/>
  </r>
  <r>
    <x v="9"/>
    <x v="1"/>
    <x v="0"/>
    <x v="2"/>
    <x v="2"/>
    <x v="0"/>
    <x v="1"/>
    <x v="0"/>
    <x v="1"/>
    <x v="4"/>
    <n v="1"/>
    <n v="1"/>
    <n v="0"/>
    <n v="1"/>
    <x v="0"/>
    <n v="4.066159666363986E-2"/>
  </r>
  <r>
    <x v="1"/>
    <x v="0"/>
    <x v="0"/>
    <x v="1"/>
    <x v="1"/>
    <x v="0"/>
    <x v="0"/>
    <x v="1"/>
    <x v="2"/>
    <x v="1"/>
    <n v="1"/>
    <n v="2"/>
    <n v="1"/>
    <n v="1"/>
    <x v="0"/>
    <n v="0.13250502834860911"/>
  </r>
  <r>
    <x v="20"/>
    <x v="1"/>
    <x v="0"/>
    <x v="1"/>
    <x v="1"/>
    <x v="1"/>
    <x v="0"/>
    <x v="1"/>
    <x v="1"/>
    <x v="0"/>
    <n v="3"/>
    <n v="3"/>
    <n v="0"/>
    <n v="3"/>
    <x v="0"/>
    <n v="0.17470287013110697"/>
  </r>
  <r>
    <x v="22"/>
    <x v="0"/>
    <x v="1"/>
    <x v="0"/>
    <x v="2"/>
    <x v="0"/>
    <x v="0"/>
    <x v="1"/>
    <x v="0"/>
    <x v="0"/>
    <n v="1"/>
    <n v="1"/>
    <n v="0"/>
    <n v="1"/>
    <x v="0"/>
    <n v="4.540277721734616E-2"/>
  </r>
  <r>
    <x v="9"/>
    <x v="1"/>
    <x v="1"/>
    <x v="0"/>
    <x v="2"/>
    <x v="0"/>
    <x v="0"/>
    <x v="1"/>
    <x v="1"/>
    <x v="0"/>
    <n v="1"/>
    <n v="1"/>
    <n v="0"/>
    <n v="1"/>
    <x v="0"/>
    <n v="4.5158935948663145E-2"/>
  </r>
  <r>
    <x v="15"/>
    <x v="0"/>
    <x v="1"/>
    <x v="1"/>
    <x v="2"/>
    <x v="0"/>
    <x v="1"/>
    <x v="1"/>
    <x v="1"/>
    <x v="6"/>
    <n v="2"/>
    <n v="3"/>
    <n v="0"/>
    <n v="2"/>
    <x v="0"/>
    <n v="2.0114345439492583E-2"/>
  </r>
  <r>
    <x v="12"/>
    <x v="0"/>
    <x v="0"/>
    <x v="0"/>
    <x v="0"/>
    <x v="0"/>
    <x v="1"/>
    <x v="1"/>
    <x v="0"/>
    <x v="7"/>
    <n v="1"/>
    <n v="1"/>
    <n v="0"/>
    <m/>
    <x v="1"/>
    <n v="2.1603464808317204E-2"/>
  </r>
  <r>
    <x v="14"/>
    <x v="1"/>
    <x v="0"/>
    <x v="1"/>
    <x v="0"/>
    <x v="0"/>
    <x v="1"/>
    <x v="1"/>
    <x v="0"/>
    <x v="5"/>
    <n v="2"/>
    <n v="2"/>
    <n v="0"/>
    <m/>
    <x v="1"/>
    <n v="2.9995798450621777E-2"/>
  </r>
  <r>
    <x v="0"/>
    <x v="0"/>
    <x v="1"/>
    <x v="2"/>
    <x v="1"/>
    <x v="0"/>
    <x v="0"/>
    <x v="1"/>
    <x v="0"/>
    <x v="3"/>
    <n v="2"/>
    <n v="2"/>
    <n v="0"/>
    <n v="2"/>
    <x v="0"/>
    <n v="0.11904297598263569"/>
  </r>
  <r>
    <x v="11"/>
    <x v="1"/>
    <x v="0"/>
    <x v="2"/>
    <x v="0"/>
    <x v="0"/>
    <x v="1"/>
    <x v="1"/>
    <x v="0"/>
    <x v="2"/>
    <n v="2"/>
    <n v="2"/>
    <n v="0"/>
    <m/>
    <x v="1"/>
    <n v="8.4139994907092092E-2"/>
  </r>
  <r>
    <x v="7"/>
    <x v="1"/>
    <x v="0"/>
    <x v="0"/>
    <x v="2"/>
    <x v="0"/>
    <x v="1"/>
    <x v="0"/>
    <x v="1"/>
    <x v="4"/>
    <n v="1"/>
    <n v="1"/>
    <n v="0"/>
    <m/>
    <x v="1"/>
    <n v="3.1213548562346576E-2"/>
  </r>
  <r>
    <x v="16"/>
    <x v="0"/>
    <x v="0"/>
    <x v="2"/>
    <x v="0"/>
    <x v="0"/>
    <x v="0"/>
    <x v="1"/>
    <x v="2"/>
    <x v="8"/>
    <n v="1"/>
    <n v="1"/>
    <n v="0"/>
    <m/>
    <x v="1"/>
    <n v="0.12117165620362885"/>
  </r>
  <r>
    <x v="7"/>
    <x v="1"/>
    <x v="0"/>
    <x v="2"/>
    <x v="2"/>
    <x v="1"/>
    <x v="0"/>
    <x v="0"/>
    <x v="1"/>
    <x v="9"/>
    <n v="1"/>
    <n v="2"/>
    <n v="0"/>
    <m/>
    <x v="1"/>
    <n v="0.29979095700764463"/>
  </r>
  <r>
    <x v="5"/>
    <x v="0"/>
    <x v="0"/>
    <x v="0"/>
    <x v="3"/>
    <x v="0"/>
    <x v="0"/>
    <x v="1"/>
    <x v="2"/>
    <x v="9"/>
    <n v="1"/>
    <n v="3"/>
    <n v="1"/>
    <n v="1"/>
    <x v="0"/>
    <n v="0.51725290808077895"/>
  </r>
  <r>
    <x v="10"/>
    <x v="1"/>
    <x v="1"/>
    <x v="0"/>
    <x v="2"/>
    <x v="0"/>
    <x v="0"/>
    <x v="0"/>
    <x v="2"/>
    <x v="9"/>
    <n v="1"/>
    <n v="2"/>
    <n v="0"/>
    <m/>
    <x v="1"/>
    <n v="0.27808190480497447"/>
  </r>
  <r>
    <x v="4"/>
    <x v="1"/>
    <x v="1"/>
    <x v="0"/>
    <x v="0"/>
    <x v="0"/>
    <x v="1"/>
    <x v="1"/>
    <x v="2"/>
    <x v="0"/>
    <n v="1"/>
    <n v="1"/>
    <n v="0"/>
    <m/>
    <x v="1"/>
    <n v="4.9491902792675999E-2"/>
  </r>
  <r>
    <x v="16"/>
    <x v="1"/>
    <x v="0"/>
    <x v="2"/>
    <x v="0"/>
    <x v="0"/>
    <x v="1"/>
    <x v="1"/>
    <x v="1"/>
    <x v="7"/>
    <n v="2"/>
    <n v="2"/>
    <n v="0"/>
    <m/>
    <x v="1"/>
    <n v="5.6146150112140698E-2"/>
  </r>
  <r>
    <x v="21"/>
    <x v="0"/>
    <x v="0"/>
    <x v="0"/>
    <x v="2"/>
    <x v="1"/>
    <x v="1"/>
    <x v="0"/>
    <x v="1"/>
    <x v="4"/>
    <n v="1"/>
    <n v="2"/>
    <n v="0"/>
    <m/>
    <x v="1"/>
    <n v="8.0509349356369539E-2"/>
  </r>
  <r>
    <x v="22"/>
    <x v="1"/>
    <x v="0"/>
    <x v="0"/>
    <x v="2"/>
    <x v="0"/>
    <x v="1"/>
    <x v="0"/>
    <x v="2"/>
    <x v="8"/>
    <n v="1"/>
    <n v="1"/>
    <n v="0"/>
    <n v="1"/>
    <x v="0"/>
    <n v="9.9113496312796978E-2"/>
  </r>
  <r>
    <x v="10"/>
    <x v="1"/>
    <x v="0"/>
    <x v="2"/>
    <x v="1"/>
    <x v="1"/>
    <x v="0"/>
    <x v="1"/>
    <x v="1"/>
    <x v="9"/>
    <n v="3"/>
    <n v="5"/>
    <n v="0"/>
    <m/>
    <x v="1"/>
    <n v="0.75679072226126198"/>
  </r>
  <r>
    <x v="21"/>
    <x v="1"/>
    <x v="0"/>
    <x v="0"/>
    <x v="3"/>
    <x v="0"/>
    <x v="1"/>
    <x v="1"/>
    <x v="1"/>
    <x v="4"/>
    <n v="1"/>
    <n v="1"/>
    <n v="0"/>
    <m/>
    <x v="1"/>
    <n v="4.1819346475315163E-2"/>
  </r>
  <r>
    <x v="11"/>
    <x v="0"/>
    <x v="1"/>
    <x v="1"/>
    <x v="2"/>
    <x v="1"/>
    <x v="0"/>
    <x v="1"/>
    <x v="1"/>
    <x v="7"/>
    <n v="1"/>
    <n v="1"/>
    <n v="0"/>
    <m/>
    <x v="1"/>
    <n v="2.7313833211787753E-2"/>
  </r>
  <r>
    <x v="20"/>
    <x v="1"/>
    <x v="0"/>
    <x v="0"/>
    <x v="0"/>
    <x v="1"/>
    <x v="0"/>
    <x v="0"/>
    <x v="0"/>
    <x v="8"/>
    <n v="1"/>
    <n v="1"/>
    <n v="0"/>
    <n v="1"/>
    <x v="0"/>
    <n v="0.12194562411528299"/>
  </r>
  <r>
    <x v="3"/>
    <x v="0"/>
    <x v="1"/>
    <x v="0"/>
    <x v="0"/>
    <x v="1"/>
    <x v="1"/>
    <x v="0"/>
    <x v="1"/>
    <x v="5"/>
    <n v="1"/>
    <n v="1"/>
    <n v="0"/>
    <m/>
    <x v="1"/>
    <n v="1.946432421526037E-2"/>
  </r>
  <r>
    <x v="1"/>
    <x v="0"/>
    <x v="1"/>
    <x v="1"/>
    <x v="0"/>
    <x v="0"/>
    <x v="1"/>
    <x v="0"/>
    <x v="1"/>
    <x v="6"/>
    <n v="3"/>
    <n v="3"/>
    <n v="0"/>
    <n v="3"/>
    <x v="0"/>
    <n v="1.3736566616060271E-2"/>
  </r>
  <r>
    <x v="20"/>
    <x v="1"/>
    <x v="1"/>
    <x v="0"/>
    <x v="1"/>
    <x v="1"/>
    <x v="0"/>
    <x v="1"/>
    <x v="2"/>
    <x v="9"/>
    <n v="2"/>
    <n v="2"/>
    <n v="0"/>
    <n v="2"/>
    <x v="0"/>
    <n v="0.48658722264038706"/>
  </r>
  <r>
    <x v="11"/>
    <x v="1"/>
    <x v="0"/>
    <x v="1"/>
    <x v="0"/>
    <x v="0"/>
    <x v="0"/>
    <x v="1"/>
    <x v="1"/>
    <x v="5"/>
    <n v="2"/>
    <n v="2"/>
    <n v="0"/>
    <m/>
    <x v="1"/>
    <n v="4.1454369734826219E-2"/>
  </r>
  <r>
    <x v="15"/>
    <x v="0"/>
    <x v="0"/>
    <x v="0"/>
    <x v="2"/>
    <x v="0"/>
    <x v="1"/>
    <x v="0"/>
    <x v="0"/>
    <x v="4"/>
    <n v="2"/>
    <n v="2"/>
    <n v="0"/>
    <n v="2"/>
    <x v="0"/>
    <n v="6.2769130013339253E-2"/>
  </r>
  <r>
    <x v="20"/>
    <x v="0"/>
    <x v="1"/>
    <x v="0"/>
    <x v="1"/>
    <x v="1"/>
    <x v="0"/>
    <x v="1"/>
    <x v="0"/>
    <x v="8"/>
    <n v="10"/>
    <n v="10"/>
    <n v="1"/>
    <n v="10"/>
    <x v="0"/>
    <n v="0.86499592639521639"/>
  </r>
  <r>
    <x v="5"/>
    <x v="0"/>
    <x v="1"/>
    <x v="0"/>
    <x v="2"/>
    <x v="1"/>
    <x v="0"/>
    <x v="0"/>
    <x v="1"/>
    <x v="0"/>
    <n v="6"/>
    <n v="6"/>
    <n v="0"/>
    <n v="6"/>
    <x v="0"/>
    <n v="0.34798546906036548"/>
  </r>
  <r>
    <x v="20"/>
    <x v="0"/>
    <x v="0"/>
    <x v="0"/>
    <x v="0"/>
    <x v="1"/>
    <x v="0"/>
    <x v="1"/>
    <x v="1"/>
    <x v="0"/>
    <n v="3"/>
    <n v="4"/>
    <n v="0"/>
    <n v="3"/>
    <x v="0"/>
    <n v="0.22788448568326095"/>
  </r>
  <r>
    <x v="19"/>
    <x v="1"/>
    <x v="1"/>
    <x v="1"/>
    <x v="0"/>
    <x v="0"/>
    <x v="0"/>
    <x v="1"/>
    <x v="1"/>
    <x v="6"/>
    <n v="2"/>
    <n v="2"/>
    <n v="0"/>
    <m/>
    <x v="1"/>
    <n v="2.8973497616771756E-2"/>
  </r>
  <r>
    <x v="6"/>
    <x v="1"/>
    <x v="1"/>
    <x v="0"/>
    <x v="2"/>
    <x v="0"/>
    <x v="1"/>
    <x v="1"/>
    <x v="0"/>
    <x v="4"/>
    <n v="1"/>
    <n v="1"/>
    <n v="0"/>
    <m/>
    <x v="1"/>
    <n v="3.2903278637901254E-2"/>
  </r>
  <r>
    <x v="10"/>
    <x v="1"/>
    <x v="1"/>
    <x v="0"/>
    <x v="0"/>
    <x v="0"/>
    <x v="1"/>
    <x v="0"/>
    <x v="1"/>
    <x v="5"/>
    <n v="2"/>
    <n v="3"/>
    <n v="0"/>
    <m/>
    <x v="1"/>
    <n v="4.5058792320559406E-2"/>
  </r>
  <r>
    <x v="21"/>
    <x v="1"/>
    <x v="1"/>
    <x v="0"/>
    <x v="0"/>
    <x v="1"/>
    <x v="0"/>
    <x v="0"/>
    <x v="1"/>
    <x v="3"/>
    <n v="1"/>
    <n v="1"/>
    <n v="0"/>
    <m/>
    <x v="1"/>
    <n v="5.9651729761640827E-2"/>
  </r>
  <r>
    <x v="14"/>
    <x v="0"/>
    <x v="0"/>
    <x v="2"/>
    <x v="2"/>
    <x v="0"/>
    <x v="0"/>
    <x v="0"/>
    <x v="1"/>
    <x v="0"/>
    <n v="2"/>
    <n v="3"/>
    <n v="0"/>
    <m/>
    <x v="1"/>
    <n v="0.16781369661237011"/>
  </r>
  <r>
    <x v="19"/>
    <x v="0"/>
    <x v="0"/>
    <x v="1"/>
    <x v="0"/>
    <x v="0"/>
    <x v="1"/>
    <x v="0"/>
    <x v="1"/>
    <x v="6"/>
    <n v="2"/>
    <n v="2"/>
    <n v="0"/>
    <m/>
    <x v="1"/>
    <n v="1.315955589013206E-2"/>
  </r>
  <r>
    <x v="9"/>
    <x v="1"/>
    <x v="0"/>
    <x v="0"/>
    <x v="2"/>
    <x v="0"/>
    <x v="1"/>
    <x v="1"/>
    <x v="0"/>
    <x v="0"/>
    <n v="4"/>
    <n v="4"/>
    <n v="0"/>
    <n v="4"/>
    <x v="0"/>
    <n v="0.18680415679977894"/>
  </r>
  <r>
    <x v="11"/>
    <x v="1"/>
    <x v="1"/>
    <x v="2"/>
    <x v="1"/>
    <x v="0"/>
    <x v="0"/>
    <x v="1"/>
    <x v="0"/>
    <x v="8"/>
    <n v="4"/>
    <n v="6"/>
    <n v="0"/>
    <m/>
    <x v="1"/>
    <n v="0.52398871478106568"/>
  </r>
  <r>
    <x v="11"/>
    <x v="0"/>
    <x v="0"/>
    <x v="0"/>
    <x v="3"/>
    <x v="1"/>
    <x v="0"/>
    <x v="1"/>
    <x v="2"/>
    <x v="9"/>
    <n v="3"/>
    <n v="7"/>
    <n v="0"/>
    <m/>
    <x v="1"/>
    <n v="2.0356754847999747"/>
  </r>
  <r>
    <x v="1"/>
    <x v="1"/>
    <x v="1"/>
    <x v="2"/>
    <x v="0"/>
    <x v="1"/>
    <x v="1"/>
    <x v="0"/>
    <x v="0"/>
    <x v="0"/>
    <n v="1"/>
    <n v="2"/>
    <n v="0"/>
    <n v="1"/>
    <x v="0"/>
    <n v="0.11326589801181829"/>
  </r>
  <r>
    <x v="8"/>
    <x v="1"/>
    <x v="1"/>
    <x v="0"/>
    <x v="1"/>
    <x v="1"/>
    <x v="0"/>
    <x v="1"/>
    <x v="1"/>
    <x v="8"/>
    <n v="3"/>
    <n v="8"/>
    <n v="0"/>
    <m/>
    <x v="1"/>
    <n v="0.68843946280258683"/>
  </r>
  <r>
    <x v="5"/>
    <x v="0"/>
    <x v="0"/>
    <x v="0"/>
    <x v="3"/>
    <x v="1"/>
    <x v="0"/>
    <x v="0"/>
    <x v="2"/>
    <x v="9"/>
    <n v="1"/>
    <n v="1"/>
    <n v="0"/>
    <n v="1"/>
    <x v="0"/>
    <n v="0.29081078354285356"/>
  </r>
  <r>
    <x v="11"/>
    <x v="0"/>
    <x v="1"/>
    <x v="0"/>
    <x v="2"/>
    <x v="0"/>
    <x v="0"/>
    <x v="0"/>
    <x v="0"/>
    <x v="0"/>
    <n v="2"/>
    <n v="2"/>
    <n v="0"/>
    <m/>
    <x v="1"/>
    <n v="9.080555443469232E-2"/>
  </r>
  <r>
    <x v="15"/>
    <x v="1"/>
    <x v="1"/>
    <x v="1"/>
    <x v="0"/>
    <x v="0"/>
    <x v="0"/>
    <x v="0"/>
    <x v="1"/>
    <x v="6"/>
    <n v="1"/>
    <n v="1"/>
    <n v="0"/>
    <n v="1"/>
    <x v="0"/>
    <n v="1.4486748808385878E-2"/>
  </r>
  <r>
    <x v="10"/>
    <x v="0"/>
    <x v="1"/>
    <x v="2"/>
    <x v="1"/>
    <x v="1"/>
    <x v="0"/>
    <x v="1"/>
    <x v="0"/>
    <x v="8"/>
    <n v="3"/>
    <n v="3"/>
    <n v="0"/>
    <m/>
    <x v="1"/>
    <n v="0.33230644612304222"/>
  </r>
  <r>
    <x v="8"/>
    <x v="0"/>
    <x v="1"/>
    <x v="2"/>
    <x v="0"/>
    <x v="0"/>
    <x v="1"/>
    <x v="1"/>
    <x v="1"/>
    <x v="6"/>
    <n v="1"/>
    <n v="2"/>
    <n v="0"/>
    <m/>
    <x v="1"/>
    <n v="2.6187938623725072E-2"/>
  </r>
  <r>
    <x v="2"/>
    <x v="1"/>
    <x v="0"/>
    <x v="0"/>
    <x v="0"/>
    <x v="0"/>
    <x v="1"/>
    <x v="1"/>
    <x v="0"/>
    <x v="4"/>
    <n v="4"/>
    <n v="5"/>
    <n v="0"/>
    <m/>
    <x v="1"/>
    <n v="0.16152858191827948"/>
  </r>
  <r>
    <x v="20"/>
    <x v="1"/>
    <x v="1"/>
    <x v="1"/>
    <x v="0"/>
    <x v="0"/>
    <x v="0"/>
    <x v="1"/>
    <x v="1"/>
    <x v="6"/>
    <n v="3"/>
    <n v="3"/>
    <n v="0"/>
    <n v="3"/>
    <x v="0"/>
    <n v="4.3460246425157632E-2"/>
  </r>
  <r>
    <x v="4"/>
    <x v="1"/>
    <x v="0"/>
    <x v="0"/>
    <x v="3"/>
    <x v="1"/>
    <x v="0"/>
    <x v="1"/>
    <x v="0"/>
    <x v="9"/>
    <n v="1"/>
    <n v="3"/>
    <n v="0"/>
    <m/>
    <x v="1"/>
    <n v="0.64902778059141164"/>
  </r>
  <r>
    <x v="8"/>
    <x v="1"/>
    <x v="0"/>
    <x v="1"/>
    <x v="0"/>
    <x v="0"/>
    <x v="1"/>
    <x v="1"/>
    <x v="1"/>
    <x v="6"/>
    <n v="3"/>
    <n v="3"/>
    <n v="0"/>
    <m/>
    <x v="1"/>
    <n v="2.9744369367269385E-2"/>
  </r>
  <r>
    <x v="16"/>
    <x v="1"/>
    <x v="1"/>
    <x v="1"/>
    <x v="0"/>
    <x v="0"/>
    <x v="0"/>
    <x v="0"/>
    <x v="1"/>
    <x v="6"/>
    <n v="1"/>
    <n v="1"/>
    <n v="0"/>
    <m/>
    <x v="1"/>
    <n v="1.4486748808385878E-2"/>
  </r>
  <r>
    <x v="7"/>
    <x v="0"/>
    <x v="0"/>
    <x v="1"/>
    <x v="3"/>
    <x v="1"/>
    <x v="1"/>
    <x v="1"/>
    <x v="1"/>
    <x v="7"/>
    <n v="1"/>
    <n v="1"/>
    <n v="0"/>
    <m/>
    <x v="1"/>
    <n v="2.5259012821724224E-2"/>
  </r>
  <r>
    <x v="7"/>
    <x v="0"/>
    <x v="0"/>
    <x v="0"/>
    <x v="0"/>
    <x v="0"/>
    <x v="1"/>
    <x v="0"/>
    <x v="2"/>
    <x v="0"/>
    <n v="1"/>
    <n v="2"/>
    <n v="0"/>
    <m/>
    <x v="1"/>
    <n v="9.4489829543465659E-2"/>
  </r>
  <r>
    <x v="13"/>
    <x v="1"/>
    <x v="0"/>
    <x v="1"/>
    <x v="2"/>
    <x v="1"/>
    <x v="1"/>
    <x v="1"/>
    <x v="1"/>
    <x v="7"/>
    <n v="1"/>
    <n v="1"/>
    <n v="0"/>
    <m/>
    <x v="1"/>
    <n v="2.811008520036597E-2"/>
  </r>
  <r>
    <x v="11"/>
    <x v="0"/>
    <x v="0"/>
    <x v="1"/>
    <x v="2"/>
    <x v="0"/>
    <x v="0"/>
    <x v="1"/>
    <x v="2"/>
    <x v="1"/>
    <n v="1"/>
    <n v="1"/>
    <n v="0"/>
    <m/>
    <x v="1"/>
    <n v="6.5548751803400848E-2"/>
  </r>
  <r>
    <x v="8"/>
    <x v="1"/>
    <x v="0"/>
    <x v="0"/>
    <x v="2"/>
    <x v="1"/>
    <x v="0"/>
    <x v="0"/>
    <x v="0"/>
    <x v="9"/>
    <n v="1"/>
    <n v="2"/>
    <n v="0"/>
    <m/>
    <x v="1"/>
    <n v="0.33859241347985619"/>
  </r>
  <r>
    <x v="7"/>
    <x v="1"/>
    <x v="1"/>
    <x v="2"/>
    <x v="0"/>
    <x v="0"/>
    <x v="0"/>
    <x v="0"/>
    <x v="2"/>
    <x v="9"/>
    <n v="2"/>
    <n v="3"/>
    <n v="0"/>
    <m/>
    <x v="1"/>
    <n v="0.37940376584989283"/>
  </r>
  <r>
    <x v="12"/>
    <x v="1"/>
    <x v="1"/>
    <x v="1"/>
    <x v="1"/>
    <x v="0"/>
    <x v="0"/>
    <x v="1"/>
    <x v="1"/>
    <x v="5"/>
    <n v="1"/>
    <n v="2"/>
    <n v="0"/>
    <m/>
    <x v="1"/>
    <n v="4.270571089939363E-2"/>
  </r>
  <r>
    <x v="21"/>
    <x v="1"/>
    <x v="0"/>
    <x v="2"/>
    <x v="0"/>
    <x v="0"/>
    <x v="1"/>
    <x v="1"/>
    <x v="0"/>
    <x v="2"/>
    <n v="2"/>
    <n v="2"/>
    <n v="0"/>
    <m/>
    <x v="1"/>
    <n v="8.4139994907092092E-2"/>
  </r>
  <r>
    <x v="8"/>
    <x v="1"/>
    <x v="1"/>
    <x v="1"/>
    <x v="3"/>
    <x v="1"/>
    <x v="0"/>
    <x v="1"/>
    <x v="2"/>
    <x v="9"/>
    <n v="1"/>
    <n v="1"/>
    <n v="0"/>
    <m/>
    <x v="1"/>
    <n v="0.16414761566971484"/>
  </r>
  <r>
    <x v="17"/>
    <x v="0"/>
    <x v="1"/>
    <x v="2"/>
    <x v="0"/>
    <x v="1"/>
    <x v="0"/>
    <x v="1"/>
    <x v="0"/>
    <x v="1"/>
    <n v="1"/>
    <n v="1"/>
    <n v="0"/>
    <n v="1"/>
    <x v="0"/>
    <n v="7.7425317298704582E-2"/>
  </r>
  <r>
    <x v="22"/>
    <x v="0"/>
    <x v="0"/>
    <x v="2"/>
    <x v="0"/>
    <x v="1"/>
    <x v="1"/>
    <x v="0"/>
    <x v="1"/>
    <x v="4"/>
    <n v="1"/>
    <n v="1"/>
    <n v="0"/>
    <n v="1"/>
    <x v="0"/>
    <n v="3.6238577293788529E-2"/>
  </r>
  <r>
    <x v="6"/>
    <x v="1"/>
    <x v="1"/>
    <x v="2"/>
    <x v="0"/>
    <x v="1"/>
    <x v="0"/>
    <x v="0"/>
    <x v="1"/>
    <x v="1"/>
    <n v="1"/>
    <n v="1"/>
    <n v="0"/>
    <m/>
    <x v="1"/>
    <n v="7.7023371586454323E-2"/>
  </r>
  <r>
    <x v="12"/>
    <x v="0"/>
    <x v="0"/>
    <x v="1"/>
    <x v="1"/>
    <x v="1"/>
    <x v="0"/>
    <x v="1"/>
    <x v="0"/>
    <x v="0"/>
    <n v="2"/>
    <n v="3"/>
    <n v="0"/>
    <m/>
    <x v="1"/>
    <n v="0.17563321340738813"/>
  </r>
  <r>
    <x v="16"/>
    <x v="0"/>
    <x v="0"/>
    <x v="2"/>
    <x v="2"/>
    <x v="0"/>
    <x v="1"/>
    <x v="1"/>
    <x v="2"/>
    <x v="8"/>
    <n v="1"/>
    <n v="1"/>
    <n v="0"/>
    <m/>
    <x v="1"/>
    <n v="8.7362644124071173E-2"/>
  </r>
  <r>
    <x v="18"/>
    <x v="1"/>
    <x v="1"/>
    <x v="2"/>
    <x v="1"/>
    <x v="0"/>
    <x v="0"/>
    <x v="1"/>
    <x v="1"/>
    <x v="3"/>
    <n v="1"/>
    <n v="1"/>
    <n v="0"/>
    <m/>
    <x v="1"/>
    <n v="5.9206523366033159E-2"/>
  </r>
  <r>
    <x v="22"/>
    <x v="0"/>
    <x v="0"/>
    <x v="0"/>
    <x v="2"/>
    <x v="0"/>
    <x v="0"/>
    <x v="0"/>
    <x v="1"/>
    <x v="2"/>
    <n v="2"/>
    <n v="3"/>
    <n v="0"/>
    <n v="2"/>
    <x v="0"/>
    <n v="0.12929924810722088"/>
  </r>
  <r>
    <x v="18"/>
    <x v="1"/>
    <x v="0"/>
    <x v="0"/>
    <x v="0"/>
    <x v="0"/>
    <x v="1"/>
    <x v="0"/>
    <x v="1"/>
    <x v="7"/>
    <n v="2"/>
    <n v="2"/>
    <n v="0"/>
    <m/>
    <x v="1"/>
    <n v="4.2969128007604052E-2"/>
  </r>
  <r>
    <x v="19"/>
    <x v="1"/>
    <x v="0"/>
    <x v="0"/>
    <x v="2"/>
    <x v="0"/>
    <x v="0"/>
    <x v="0"/>
    <x v="2"/>
    <x v="9"/>
    <n v="2"/>
    <n v="2"/>
    <n v="0"/>
    <m/>
    <x v="1"/>
    <n v="0.37732807686992731"/>
  </r>
  <r>
    <x v="22"/>
    <x v="0"/>
    <x v="1"/>
    <x v="0"/>
    <x v="3"/>
    <x v="0"/>
    <x v="1"/>
    <x v="1"/>
    <x v="2"/>
    <x v="3"/>
    <n v="1"/>
    <n v="1"/>
    <n v="0"/>
    <n v="1"/>
    <x v="0"/>
    <n v="6.407072599452876E-2"/>
  </r>
  <r>
    <x v="8"/>
    <x v="1"/>
    <x v="0"/>
    <x v="2"/>
    <x v="1"/>
    <x v="0"/>
    <x v="0"/>
    <x v="1"/>
    <x v="2"/>
    <x v="9"/>
    <n v="6"/>
    <n v="13"/>
    <n v="1"/>
    <m/>
    <x v="1"/>
    <n v="3.071954665214558"/>
  </r>
  <r>
    <x v="11"/>
    <x v="1"/>
    <x v="0"/>
    <x v="0"/>
    <x v="0"/>
    <x v="0"/>
    <x v="1"/>
    <x v="1"/>
    <x v="0"/>
    <x v="4"/>
    <n v="3"/>
    <n v="6"/>
    <n v="0"/>
    <m/>
    <x v="1"/>
    <n v="0.19383429830193535"/>
  </r>
  <r>
    <x v="2"/>
    <x v="1"/>
    <x v="0"/>
    <x v="0"/>
    <x v="0"/>
    <x v="1"/>
    <x v="0"/>
    <x v="0"/>
    <x v="2"/>
    <x v="9"/>
    <n v="1"/>
    <n v="2"/>
    <n v="0"/>
    <m/>
    <x v="1"/>
    <n v="0.47548915672805464"/>
  </r>
  <r>
    <x v="0"/>
    <x v="0"/>
    <x v="0"/>
    <x v="1"/>
    <x v="0"/>
    <x v="1"/>
    <x v="0"/>
    <x v="0"/>
    <x v="1"/>
    <x v="7"/>
    <n v="1"/>
    <n v="1"/>
    <n v="0"/>
    <n v="1"/>
    <x v="0"/>
    <n v="2.6814967241158918E-2"/>
  </r>
  <r>
    <x v="21"/>
    <x v="0"/>
    <x v="0"/>
    <x v="0"/>
    <x v="0"/>
    <x v="0"/>
    <x v="0"/>
    <x v="1"/>
    <x v="2"/>
    <x v="8"/>
    <n v="2"/>
    <n v="4"/>
    <n v="0"/>
    <m/>
    <x v="1"/>
    <n v="0.37946539891470582"/>
  </r>
  <r>
    <x v="19"/>
    <x v="1"/>
    <x v="0"/>
    <x v="0"/>
    <x v="0"/>
    <x v="0"/>
    <x v="1"/>
    <x v="1"/>
    <x v="0"/>
    <x v="4"/>
    <n v="3"/>
    <n v="3"/>
    <n v="0"/>
    <m/>
    <x v="1"/>
    <n v="9.6917149150967677E-2"/>
  </r>
  <r>
    <x v="3"/>
    <x v="1"/>
    <x v="0"/>
    <x v="0"/>
    <x v="1"/>
    <x v="1"/>
    <x v="0"/>
    <x v="1"/>
    <x v="2"/>
    <x v="9"/>
    <n v="1"/>
    <n v="12"/>
    <n v="0"/>
    <m/>
    <x v="1"/>
    <n v="3.7973799935059076"/>
  </r>
  <r>
    <x v="16"/>
    <x v="0"/>
    <x v="0"/>
    <x v="1"/>
    <x v="2"/>
    <x v="0"/>
    <x v="0"/>
    <x v="1"/>
    <x v="2"/>
    <x v="1"/>
    <n v="3"/>
    <n v="4"/>
    <n v="0"/>
    <m/>
    <x v="1"/>
    <n v="0.26219500721360339"/>
  </r>
  <r>
    <x v="6"/>
    <x v="0"/>
    <x v="0"/>
    <x v="1"/>
    <x v="1"/>
    <x v="1"/>
    <x v="0"/>
    <x v="1"/>
    <x v="1"/>
    <x v="4"/>
    <n v="4"/>
    <n v="5"/>
    <n v="0"/>
    <m/>
    <x v="1"/>
    <n v="0.19645586564428005"/>
  </r>
  <r>
    <x v="7"/>
    <x v="0"/>
    <x v="1"/>
    <x v="0"/>
    <x v="3"/>
    <x v="1"/>
    <x v="0"/>
    <x v="1"/>
    <x v="1"/>
    <x v="1"/>
    <n v="2"/>
    <n v="3"/>
    <n v="0"/>
    <m/>
    <x v="1"/>
    <n v="0.23094284666121603"/>
  </r>
  <r>
    <x v="12"/>
    <x v="1"/>
    <x v="0"/>
    <x v="0"/>
    <x v="2"/>
    <x v="0"/>
    <x v="1"/>
    <x v="1"/>
    <x v="0"/>
    <x v="0"/>
    <n v="4"/>
    <n v="4"/>
    <n v="0"/>
    <m/>
    <x v="1"/>
    <n v="0.18680415679977894"/>
  </r>
  <r>
    <x v="20"/>
    <x v="0"/>
    <x v="1"/>
    <x v="0"/>
    <x v="0"/>
    <x v="0"/>
    <x v="1"/>
    <x v="0"/>
    <x v="2"/>
    <x v="4"/>
    <n v="1"/>
    <n v="1"/>
    <n v="0"/>
    <n v="1"/>
    <x v="0"/>
    <n v="3.3292078574409821E-2"/>
  </r>
  <r>
    <x v="13"/>
    <x v="1"/>
    <x v="0"/>
    <x v="0"/>
    <x v="0"/>
    <x v="0"/>
    <x v="0"/>
    <x v="0"/>
    <x v="0"/>
    <x v="1"/>
    <n v="2"/>
    <n v="2"/>
    <n v="0"/>
    <m/>
    <x v="1"/>
    <n v="0.13182121806320693"/>
  </r>
  <r>
    <x v="7"/>
    <x v="0"/>
    <x v="0"/>
    <x v="0"/>
    <x v="0"/>
    <x v="0"/>
    <x v="1"/>
    <x v="1"/>
    <x v="2"/>
    <x v="0"/>
    <n v="2"/>
    <n v="2"/>
    <n v="0"/>
    <m/>
    <x v="1"/>
    <n v="9.4489829543465659E-2"/>
  </r>
  <r>
    <x v="3"/>
    <x v="0"/>
    <x v="0"/>
    <x v="0"/>
    <x v="2"/>
    <x v="0"/>
    <x v="1"/>
    <x v="1"/>
    <x v="0"/>
    <x v="4"/>
    <n v="1"/>
    <n v="2"/>
    <n v="0"/>
    <m/>
    <x v="1"/>
    <n v="6.2769130013339253E-2"/>
  </r>
  <r>
    <x v="18"/>
    <x v="0"/>
    <x v="0"/>
    <x v="2"/>
    <x v="0"/>
    <x v="1"/>
    <x v="0"/>
    <x v="0"/>
    <x v="1"/>
    <x v="1"/>
    <n v="1"/>
    <n v="1"/>
    <n v="0"/>
    <m/>
    <x v="1"/>
    <n v="7.3623241710018827E-2"/>
  </r>
  <r>
    <x v="7"/>
    <x v="0"/>
    <x v="0"/>
    <x v="1"/>
    <x v="0"/>
    <x v="0"/>
    <x v="0"/>
    <x v="1"/>
    <x v="0"/>
    <x v="5"/>
    <n v="1"/>
    <n v="1"/>
    <n v="0"/>
    <m/>
    <x v="1"/>
    <n v="2.0841983429204125E-2"/>
  </r>
  <r>
    <x v="9"/>
    <x v="0"/>
    <x v="1"/>
    <x v="0"/>
    <x v="0"/>
    <x v="0"/>
    <x v="1"/>
    <x v="0"/>
    <x v="0"/>
    <x v="5"/>
    <n v="1"/>
    <n v="1"/>
    <n v="0"/>
    <n v="1"/>
    <x v="0"/>
    <n v="1.5103271786810353E-2"/>
  </r>
  <r>
    <x v="12"/>
    <x v="1"/>
    <x v="0"/>
    <x v="0"/>
    <x v="3"/>
    <x v="1"/>
    <x v="0"/>
    <x v="0"/>
    <x v="1"/>
    <x v="9"/>
    <n v="1"/>
    <n v="1"/>
    <n v="0"/>
    <m/>
    <x v="1"/>
    <n v="0.15366523766540796"/>
  </r>
  <r>
    <x v="12"/>
    <x v="0"/>
    <x v="0"/>
    <x v="1"/>
    <x v="0"/>
    <x v="0"/>
    <x v="0"/>
    <x v="0"/>
    <x v="1"/>
    <x v="6"/>
    <n v="1"/>
    <n v="3"/>
    <n v="0"/>
    <m/>
    <x v="1"/>
    <n v="4.1417850699998968E-2"/>
  </r>
  <r>
    <x v="10"/>
    <x v="0"/>
    <x v="0"/>
    <x v="2"/>
    <x v="2"/>
    <x v="1"/>
    <x v="0"/>
    <x v="0"/>
    <x v="2"/>
    <x v="9"/>
    <n v="1"/>
    <n v="1"/>
    <n v="0"/>
    <m/>
    <x v="1"/>
    <n v="0.28480875100254455"/>
  </r>
  <r>
    <x v="8"/>
    <x v="1"/>
    <x v="0"/>
    <x v="1"/>
    <x v="1"/>
    <x v="0"/>
    <x v="0"/>
    <x v="1"/>
    <x v="0"/>
    <x v="0"/>
    <n v="3"/>
    <n v="3"/>
    <n v="0"/>
    <m/>
    <x v="1"/>
    <n v="0.13677171718722211"/>
  </r>
  <r>
    <x v="0"/>
    <x v="0"/>
    <x v="0"/>
    <x v="0"/>
    <x v="0"/>
    <x v="1"/>
    <x v="0"/>
    <x v="1"/>
    <x v="1"/>
    <x v="0"/>
    <n v="2"/>
    <n v="2"/>
    <n v="0"/>
    <n v="2"/>
    <x v="0"/>
    <n v="0.11394224284163047"/>
  </r>
  <r>
    <x v="7"/>
    <x v="1"/>
    <x v="0"/>
    <x v="1"/>
    <x v="3"/>
    <x v="0"/>
    <x v="0"/>
    <x v="1"/>
    <x v="0"/>
    <x v="3"/>
    <n v="1"/>
    <n v="1"/>
    <n v="0"/>
    <m/>
    <x v="1"/>
    <n v="6.0125643777037441E-2"/>
  </r>
  <r>
    <x v="12"/>
    <x v="0"/>
    <x v="0"/>
    <x v="0"/>
    <x v="2"/>
    <x v="1"/>
    <x v="0"/>
    <x v="1"/>
    <x v="2"/>
    <x v="9"/>
    <n v="1"/>
    <n v="2"/>
    <n v="0"/>
    <m/>
    <x v="1"/>
    <n v="0.4647445253393937"/>
  </r>
  <r>
    <x v="11"/>
    <x v="0"/>
    <x v="1"/>
    <x v="0"/>
    <x v="0"/>
    <x v="0"/>
    <x v="1"/>
    <x v="1"/>
    <x v="1"/>
    <x v="6"/>
    <n v="3"/>
    <n v="3"/>
    <n v="0"/>
    <m/>
    <x v="1"/>
    <n v="2.9954434046201708E-2"/>
  </r>
  <r>
    <x v="15"/>
    <x v="1"/>
    <x v="0"/>
    <x v="2"/>
    <x v="2"/>
    <x v="0"/>
    <x v="0"/>
    <x v="0"/>
    <x v="1"/>
    <x v="1"/>
    <n v="1"/>
    <n v="2"/>
    <n v="1"/>
    <n v="1"/>
    <x v="0"/>
    <n v="0.16443979139191614"/>
  </r>
  <r>
    <x v="6"/>
    <x v="1"/>
    <x v="1"/>
    <x v="1"/>
    <x v="1"/>
    <x v="0"/>
    <x v="0"/>
    <x v="1"/>
    <x v="1"/>
    <x v="5"/>
    <n v="3"/>
    <n v="3"/>
    <n v="0"/>
    <m/>
    <x v="1"/>
    <n v="6.4058566349090448E-2"/>
  </r>
  <r>
    <x v="18"/>
    <x v="0"/>
    <x v="0"/>
    <x v="0"/>
    <x v="3"/>
    <x v="1"/>
    <x v="1"/>
    <x v="1"/>
    <x v="2"/>
    <x v="9"/>
    <n v="1"/>
    <n v="1"/>
    <n v="0"/>
    <m/>
    <x v="1"/>
    <n v="0.16248563228241489"/>
  </r>
  <r>
    <x v="20"/>
    <x v="0"/>
    <x v="0"/>
    <x v="0"/>
    <x v="3"/>
    <x v="0"/>
    <x v="1"/>
    <x v="1"/>
    <x v="1"/>
    <x v="7"/>
    <n v="1"/>
    <n v="1"/>
    <n v="0"/>
    <n v="1"/>
    <x v="0"/>
    <n v="2.8056793497173549E-2"/>
  </r>
  <r>
    <x v="5"/>
    <x v="0"/>
    <x v="1"/>
    <x v="2"/>
    <x v="0"/>
    <x v="0"/>
    <x v="0"/>
    <x v="0"/>
    <x v="2"/>
    <x v="8"/>
    <n v="1"/>
    <n v="1"/>
    <n v="0"/>
    <n v="1"/>
    <x v="0"/>
    <n v="8.7388588178664475E-2"/>
  </r>
  <r>
    <x v="6"/>
    <x v="0"/>
    <x v="1"/>
    <x v="0"/>
    <x v="2"/>
    <x v="1"/>
    <x v="0"/>
    <x v="1"/>
    <x v="1"/>
    <x v="0"/>
    <n v="1"/>
    <n v="1"/>
    <n v="0"/>
    <m/>
    <x v="1"/>
    <n v="5.7997578176727585E-2"/>
  </r>
  <r>
    <x v="1"/>
    <x v="0"/>
    <x v="0"/>
    <x v="2"/>
    <x v="1"/>
    <x v="1"/>
    <x v="0"/>
    <x v="1"/>
    <x v="0"/>
    <x v="9"/>
    <n v="2"/>
    <n v="4"/>
    <n v="0"/>
    <n v="1"/>
    <x v="0"/>
    <n v="0.60833634580759355"/>
  </r>
  <r>
    <x v="0"/>
    <x v="1"/>
    <x v="0"/>
    <x v="1"/>
    <x v="1"/>
    <x v="0"/>
    <x v="0"/>
    <x v="1"/>
    <x v="2"/>
    <x v="8"/>
    <n v="1"/>
    <n v="2"/>
    <n v="0"/>
    <n v="1"/>
    <x v="0"/>
    <n v="0.19376682762166147"/>
  </r>
  <r>
    <x v="22"/>
    <x v="0"/>
    <x v="0"/>
    <x v="2"/>
    <x v="0"/>
    <x v="0"/>
    <x v="0"/>
    <x v="1"/>
    <x v="2"/>
    <x v="8"/>
    <n v="1"/>
    <n v="1"/>
    <n v="0"/>
    <n v="1"/>
    <x v="0"/>
    <n v="0.12117165620362885"/>
  </r>
  <r>
    <x v="14"/>
    <x v="0"/>
    <x v="1"/>
    <x v="0"/>
    <x v="2"/>
    <x v="0"/>
    <x v="0"/>
    <x v="1"/>
    <x v="1"/>
    <x v="7"/>
    <n v="1"/>
    <n v="1"/>
    <n v="0"/>
    <m/>
    <x v="1"/>
    <n v="3.0332130839860555E-2"/>
  </r>
  <r>
    <x v="2"/>
    <x v="1"/>
    <x v="0"/>
    <x v="0"/>
    <x v="1"/>
    <x v="1"/>
    <x v="0"/>
    <x v="1"/>
    <x v="2"/>
    <x v="9"/>
    <n v="2"/>
    <n v="8"/>
    <n v="0"/>
    <m/>
    <x v="1"/>
    <n v="2.531586662337272"/>
  </r>
  <r>
    <x v="19"/>
    <x v="0"/>
    <x v="0"/>
    <x v="1"/>
    <x v="1"/>
    <x v="0"/>
    <x v="0"/>
    <x v="1"/>
    <x v="0"/>
    <x v="4"/>
    <n v="4"/>
    <n v="5"/>
    <n v="0"/>
    <m/>
    <x v="1"/>
    <n v="0.15313297929032194"/>
  </r>
  <r>
    <x v="9"/>
    <x v="1"/>
    <x v="0"/>
    <x v="0"/>
    <x v="3"/>
    <x v="0"/>
    <x v="0"/>
    <x v="1"/>
    <x v="1"/>
    <x v="8"/>
    <n v="1"/>
    <n v="1"/>
    <n v="0"/>
    <n v="1"/>
    <x v="0"/>
    <n v="8.4456755045901957E-2"/>
  </r>
  <r>
    <x v="9"/>
    <x v="0"/>
    <x v="0"/>
    <x v="2"/>
    <x v="0"/>
    <x v="1"/>
    <x v="0"/>
    <x v="1"/>
    <x v="1"/>
    <x v="1"/>
    <n v="1"/>
    <n v="1"/>
    <n v="0"/>
    <m/>
    <x v="0"/>
    <n v="7.3623241710018827E-2"/>
  </r>
  <r>
    <x v="15"/>
    <x v="0"/>
    <x v="0"/>
    <x v="2"/>
    <x v="0"/>
    <x v="0"/>
    <x v="0"/>
    <x v="0"/>
    <x v="2"/>
    <x v="8"/>
    <n v="1"/>
    <n v="2"/>
    <n v="0"/>
    <n v="1"/>
    <x v="0"/>
    <n v="0.2423433124072577"/>
  </r>
  <r>
    <x v="6"/>
    <x v="1"/>
    <x v="0"/>
    <x v="2"/>
    <x v="2"/>
    <x v="0"/>
    <x v="1"/>
    <x v="1"/>
    <x v="2"/>
    <x v="9"/>
    <n v="1"/>
    <n v="2"/>
    <n v="0"/>
    <m/>
    <x v="1"/>
    <n v="0.25286396656125659"/>
  </r>
  <r>
    <x v="7"/>
    <x v="0"/>
    <x v="0"/>
    <x v="2"/>
    <x v="0"/>
    <x v="0"/>
    <x v="0"/>
    <x v="0"/>
    <x v="2"/>
    <x v="8"/>
    <n v="1"/>
    <n v="1"/>
    <n v="0"/>
    <m/>
    <x v="1"/>
    <n v="0.12117165620362885"/>
  </r>
  <r>
    <x v="12"/>
    <x v="0"/>
    <x v="0"/>
    <x v="2"/>
    <x v="0"/>
    <x v="0"/>
    <x v="0"/>
    <x v="1"/>
    <x v="0"/>
    <x v="0"/>
    <n v="1"/>
    <n v="2"/>
    <n v="0"/>
    <m/>
    <x v="1"/>
    <n v="0.11568704600419652"/>
  </r>
  <r>
    <x v="6"/>
    <x v="0"/>
    <x v="1"/>
    <x v="1"/>
    <x v="0"/>
    <x v="0"/>
    <x v="0"/>
    <x v="0"/>
    <x v="0"/>
    <x v="5"/>
    <n v="1"/>
    <n v="1"/>
    <n v="0"/>
    <m/>
    <x v="1"/>
    <n v="1.4567498552386326E-2"/>
  </r>
  <r>
    <x v="22"/>
    <x v="1"/>
    <x v="0"/>
    <x v="0"/>
    <x v="0"/>
    <x v="0"/>
    <x v="0"/>
    <x v="1"/>
    <x v="2"/>
    <x v="9"/>
    <n v="3"/>
    <n v="4"/>
    <n v="1"/>
    <n v="3"/>
    <x v="0"/>
    <n v="0.54715378918665358"/>
  </r>
  <r>
    <x v="3"/>
    <x v="0"/>
    <x v="0"/>
    <x v="2"/>
    <x v="2"/>
    <x v="0"/>
    <x v="1"/>
    <x v="1"/>
    <x v="1"/>
    <x v="7"/>
    <n v="1"/>
    <n v="1"/>
    <n v="0"/>
    <m/>
    <x v="1"/>
    <n v="2.7269210474849294E-2"/>
  </r>
  <r>
    <x v="0"/>
    <x v="1"/>
    <x v="0"/>
    <x v="2"/>
    <x v="0"/>
    <x v="1"/>
    <x v="0"/>
    <x v="0"/>
    <x v="0"/>
    <x v="9"/>
    <n v="1"/>
    <n v="1"/>
    <n v="0"/>
    <n v="1"/>
    <x v="0"/>
    <n v="0.15447817831305766"/>
  </r>
  <r>
    <x v="11"/>
    <x v="0"/>
    <x v="0"/>
    <x v="0"/>
    <x v="3"/>
    <x v="0"/>
    <x v="1"/>
    <x v="1"/>
    <x v="0"/>
    <x v="2"/>
    <n v="1"/>
    <n v="1"/>
    <n v="0"/>
    <m/>
    <x v="1"/>
    <n v="4.2045949270268397E-2"/>
  </r>
  <r>
    <x v="8"/>
    <x v="0"/>
    <x v="1"/>
    <x v="2"/>
    <x v="1"/>
    <x v="0"/>
    <x v="0"/>
    <x v="1"/>
    <x v="2"/>
    <x v="8"/>
    <n v="1"/>
    <n v="2"/>
    <n v="0"/>
    <m/>
    <x v="1"/>
    <n v="0.24888808001119248"/>
  </r>
  <r>
    <x v="13"/>
    <x v="1"/>
    <x v="1"/>
    <x v="0"/>
    <x v="0"/>
    <x v="0"/>
    <x v="0"/>
    <x v="0"/>
    <x v="1"/>
    <x v="4"/>
    <n v="1"/>
    <n v="1"/>
    <n v="0"/>
    <m/>
    <x v="1"/>
    <n v="3.1223388514230056E-2"/>
  </r>
  <r>
    <x v="22"/>
    <x v="0"/>
    <x v="0"/>
    <x v="2"/>
    <x v="2"/>
    <x v="0"/>
    <x v="0"/>
    <x v="1"/>
    <x v="0"/>
    <x v="1"/>
    <n v="1"/>
    <n v="3"/>
    <n v="0"/>
    <n v="1"/>
    <x v="0"/>
    <n v="0.24793959353321335"/>
  </r>
  <r>
    <x v="22"/>
    <x v="0"/>
    <x v="1"/>
    <x v="0"/>
    <x v="2"/>
    <x v="0"/>
    <x v="0"/>
    <x v="1"/>
    <x v="2"/>
    <x v="8"/>
    <n v="1"/>
    <n v="1"/>
    <n v="0"/>
    <n v="1"/>
    <x v="0"/>
    <n v="9.650569894562866E-2"/>
  </r>
  <r>
    <x v="5"/>
    <x v="1"/>
    <x v="0"/>
    <x v="2"/>
    <x v="3"/>
    <x v="1"/>
    <x v="1"/>
    <x v="1"/>
    <x v="2"/>
    <x v="9"/>
    <n v="1"/>
    <n v="1"/>
    <n v="0"/>
    <n v="1"/>
    <x v="0"/>
    <n v="0.27843709927306881"/>
  </r>
  <r>
    <x v="19"/>
    <x v="0"/>
    <x v="0"/>
    <x v="1"/>
    <x v="0"/>
    <x v="0"/>
    <x v="0"/>
    <x v="0"/>
    <x v="0"/>
    <x v="5"/>
    <n v="4"/>
    <n v="4"/>
    <n v="0"/>
    <m/>
    <x v="1"/>
    <n v="8.33679337168165E-2"/>
  </r>
  <r>
    <x v="14"/>
    <x v="0"/>
    <x v="0"/>
    <x v="1"/>
    <x v="1"/>
    <x v="0"/>
    <x v="0"/>
    <x v="1"/>
    <x v="0"/>
    <x v="4"/>
    <n v="2"/>
    <n v="2"/>
    <n v="0"/>
    <m/>
    <x v="1"/>
    <n v="6.1253191716128773E-2"/>
  </r>
  <r>
    <x v="8"/>
    <x v="1"/>
    <x v="1"/>
    <x v="1"/>
    <x v="1"/>
    <x v="0"/>
    <x v="0"/>
    <x v="1"/>
    <x v="1"/>
    <x v="5"/>
    <n v="2"/>
    <n v="2"/>
    <n v="0"/>
    <m/>
    <x v="1"/>
    <n v="4.270571089939363E-2"/>
  </r>
  <r>
    <x v="12"/>
    <x v="1"/>
    <x v="0"/>
    <x v="2"/>
    <x v="2"/>
    <x v="0"/>
    <x v="0"/>
    <x v="1"/>
    <x v="0"/>
    <x v="8"/>
    <n v="2"/>
    <n v="2"/>
    <n v="0"/>
    <m/>
    <x v="1"/>
    <n v="0.23976766504814812"/>
  </r>
  <r>
    <x v="2"/>
    <x v="0"/>
    <x v="0"/>
    <x v="2"/>
    <x v="0"/>
    <x v="0"/>
    <x v="0"/>
    <x v="0"/>
    <x v="0"/>
    <x v="0"/>
    <n v="2"/>
    <n v="2"/>
    <n v="0"/>
    <m/>
    <x v="1"/>
    <n v="0.11568704600419652"/>
  </r>
  <r>
    <x v="3"/>
    <x v="1"/>
    <x v="1"/>
    <x v="0"/>
    <x v="2"/>
    <x v="0"/>
    <x v="0"/>
    <x v="1"/>
    <x v="1"/>
    <x v="0"/>
    <n v="1"/>
    <n v="1"/>
    <n v="0"/>
    <m/>
    <x v="1"/>
    <n v="4.5158935948663145E-2"/>
  </r>
  <r>
    <x v="1"/>
    <x v="0"/>
    <x v="1"/>
    <x v="0"/>
    <x v="2"/>
    <x v="1"/>
    <x v="1"/>
    <x v="1"/>
    <x v="0"/>
    <x v="2"/>
    <n v="1"/>
    <n v="1"/>
    <n v="0"/>
    <n v="1"/>
    <x v="0"/>
    <n v="4.2412414648078343E-2"/>
  </r>
  <r>
    <x v="10"/>
    <x v="1"/>
    <x v="1"/>
    <x v="0"/>
    <x v="1"/>
    <x v="1"/>
    <x v="0"/>
    <x v="1"/>
    <x v="2"/>
    <x v="9"/>
    <n v="2"/>
    <n v="4"/>
    <n v="0"/>
    <m/>
    <x v="1"/>
    <n v="0.97317444528077413"/>
  </r>
  <r>
    <x v="17"/>
    <x v="1"/>
    <x v="0"/>
    <x v="2"/>
    <x v="3"/>
    <x v="0"/>
    <x v="0"/>
    <x v="1"/>
    <x v="2"/>
    <x v="9"/>
    <n v="1"/>
    <n v="1"/>
    <n v="0"/>
    <n v="1"/>
    <x v="0"/>
    <n v="0.2929773242473675"/>
  </r>
  <r>
    <x v="0"/>
    <x v="0"/>
    <x v="0"/>
    <x v="1"/>
    <x v="0"/>
    <x v="0"/>
    <x v="0"/>
    <x v="1"/>
    <x v="0"/>
    <x v="5"/>
    <n v="2"/>
    <n v="3"/>
    <n v="0"/>
    <n v="1"/>
    <x v="0"/>
    <n v="6.2525950287612375E-2"/>
  </r>
  <r>
    <x v="1"/>
    <x v="0"/>
    <x v="0"/>
    <x v="2"/>
    <x v="2"/>
    <x v="0"/>
    <x v="0"/>
    <x v="0"/>
    <x v="0"/>
    <x v="1"/>
    <n v="2"/>
    <n v="2"/>
    <n v="0"/>
    <n v="2"/>
    <x v="0"/>
    <n v="0.16529306235547556"/>
  </r>
  <r>
    <x v="8"/>
    <x v="0"/>
    <x v="1"/>
    <x v="1"/>
    <x v="1"/>
    <x v="0"/>
    <x v="0"/>
    <x v="1"/>
    <x v="0"/>
    <x v="5"/>
    <n v="2"/>
    <n v="3"/>
    <n v="0"/>
    <m/>
    <x v="1"/>
    <n v="6.4413130023151369E-2"/>
  </r>
  <r>
    <x v="16"/>
    <x v="0"/>
    <x v="0"/>
    <x v="2"/>
    <x v="1"/>
    <x v="1"/>
    <x v="0"/>
    <x v="1"/>
    <x v="2"/>
    <x v="9"/>
    <n v="1"/>
    <n v="1"/>
    <n v="1"/>
    <m/>
    <x v="1"/>
    <n v="0.28714321825078692"/>
  </r>
  <r>
    <x v="3"/>
    <x v="1"/>
    <x v="0"/>
    <x v="1"/>
    <x v="0"/>
    <x v="0"/>
    <x v="0"/>
    <x v="0"/>
    <x v="2"/>
    <x v="1"/>
    <n v="1"/>
    <n v="1"/>
    <n v="0"/>
    <m/>
    <x v="1"/>
    <n v="6.7402860630559377E-2"/>
  </r>
  <r>
    <x v="8"/>
    <x v="0"/>
    <x v="0"/>
    <x v="0"/>
    <x v="0"/>
    <x v="1"/>
    <x v="1"/>
    <x v="0"/>
    <x v="0"/>
    <x v="4"/>
    <n v="1"/>
    <n v="1"/>
    <n v="0"/>
    <m/>
    <x v="1"/>
    <n v="4.1649592776730845E-2"/>
  </r>
  <r>
    <x v="9"/>
    <x v="0"/>
    <x v="1"/>
    <x v="0"/>
    <x v="0"/>
    <x v="0"/>
    <x v="0"/>
    <x v="0"/>
    <x v="0"/>
    <x v="4"/>
    <n v="3"/>
    <n v="4"/>
    <n v="0"/>
    <n v="3"/>
    <x v="0"/>
    <n v="0.12557782849501686"/>
  </r>
  <r>
    <x v="12"/>
    <x v="1"/>
    <x v="0"/>
    <x v="0"/>
    <x v="3"/>
    <x v="0"/>
    <x v="1"/>
    <x v="1"/>
    <x v="1"/>
    <x v="4"/>
    <n v="2"/>
    <n v="2"/>
    <n v="0"/>
    <m/>
    <x v="1"/>
    <n v="8.3638692950630325E-2"/>
  </r>
  <r>
    <x v="11"/>
    <x v="1"/>
    <x v="0"/>
    <x v="1"/>
    <x v="0"/>
    <x v="0"/>
    <x v="1"/>
    <x v="1"/>
    <x v="1"/>
    <x v="6"/>
    <n v="1"/>
    <n v="1"/>
    <n v="0"/>
    <m/>
    <x v="1"/>
    <n v="9.9147897890897955E-3"/>
  </r>
  <r>
    <x v="16"/>
    <x v="0"/>
    <x v="0"/>
    <x v="2"/>
    <x v="0"/>
    <x v="0"/>
    <x v="1"/>
    <x v="1"/>
    <x v="1"/>
    <x v="5"/>
    <n v="2"/>
    <n v="2"/>
    <n v="0"/>
    <m/>
    <x v="1"/>
    <n v="3.7491703864349239E-2"/>
  </r>
  <r>
    <x v="6"/>
    <x v="1"/>
    <x v="1"/>
    <x v="2"/>
    <x v="0"/>
    <x v="0"/>
    <x v="0"/>
    <x v="0"/>
    <x v="2"/>
    <x v="9"/>
    <n v="1"/>
    <n v="1"/>
    <n v="0"/>
    <m/>
    <x v="1"/>
    <n v="0.12646792194996428"/>
  </r>
  <r>
    <x v="10"/>
    <x v="0"/>
    <x v="0"/>
    <x v="0"/>
    <x v="2"/>
    <x v="0"/>
    <x v="1"/>
    <x v="1"/>
    <x v="0"/>
    <x v="4"/>
    <n v="3"/>
    <n v="3"/>
    <n v="0"/>
    <m/>
    <x v="1"/>
    <n v="9.4153695020008865E-2"/>
  </r>
  <r>
    <x v="8"/>
    <x v="0"/>
    <x v="0"/>
    <x v="0"/>
    <x v="3"/>
    <x v="1"/>
    <x v="0"/>
    <x v="0"/>
    <x v="1"/>
    <x v="8"/>
    <n v="1"/>
    <n v="1"/>
    <n v="0"/>
    <m/>
    <x v="1"/>
    <n v="0.1072132568053293"/>
  </r>
  <r>
    <x v="11"/>
    <x v="0"/>
    <x v="1"/>
    <x v="2"/>
    <x v="2"/>
    <x v="0"/>
    <x v="0"/>
    <x v="0"/>
    <x v="1"/>
    <x v="4"/>
    <n v="1"/>
    <n v="1"/>
    <n v="0"/>
    <m/>
    <x v="1"/>
    <n v="3.9524266772527843E-2"/>
  </r>
  <r>
    <x v="8"/>
    <x v="0"/>
    <x v="0"/>
    <x v="1"/>
    <x v="0"/>
    <x v="0"/>
    <x v="0"/>
    <x v="1"/>
    <x v="0"/>
    <x v="5"/>
    <n v="1"/>
    <n v="1"/>
    <n v="0"/>
    <m/>
    <x v="1"/>
    <n v="2.0841983429204125E-2"/>
  </r>
  <r>
    <x v="13"/>
    <x v="1"/>
    <x v="1"/>
    <x v="0"/>
    <x v="1"/>
    <x v="0"/>
    <x v="0"/>
    <x v="1"/>
    <x v="1"/>
    <x v="0"/>
    <n v="2"/>
    <n v="2"/>
    <n v="0"/>
    <m/>
    <x v="1"/>
    <n v="9.1308958273015703E-2"/>
  </r>
  <r>
    <x v="2"/>
    <x v="0"/>
    <x v="0"/>
    <x v="0"/>
    <x v="0"/>
    <x v="0"/>
    <x v="1"/>
    <x v="0"/>
    <x v="2"/>
    <x v="0"/>
    <n v="2"/>
    <n v="2"/>
    <n v="0"/>
    <m/>
    <x v="1"/>
    <n v="9.4489829543465659E-2"/>
  </r>
  <r>
    <x v="13"/>
    <x v="1"/>
    <x v="0"/>
    <x v="1"/>
    <x v="3"/>
    <x v="0"/>
    <x v="0"/>
    <x v="1"/>
    <x v="2"/>
    <x v="9"/>
    <n v="1"/>
    <n v="1"/>
    <n v="0"/>
    <m/>
    <x v="1"/>
    <n v="0.12561915426424905"/>
  </r>
  <r>
    <x v="14"/>
    <x v="1"/>
    <x v="0"/>
    <x v="1"/>
    <x v="0"/>
    <x v="1"/>
    <x v="1"/>
    <x v="1"/>
    <x v="1"/>
    <x v="5"/>
    <n v="1"/>
    <n v="2"/>
    <n v="0"/>
    <m/>
    <x v="1"/>
    <n v="3.8658245155649057E-2"/>
  </r>
  <r>
    <x v="0"/>
    <x v="0"/>
    <x v="0"/>
    <x v="0"/>
    <x v="1"/>
    <x v="1"/>
    <x v="1"/>
    <x v="1"/>
    <x v="1"/>
    <x v="4"/>
    <n v="1"/>
    <n v="1"/>
    <n v="0"/>
    <n v="1"/>
    <x v="0"/>
    <n v="4.0698695694561068E-2"/>
  </r>
  <r>
    <x v="13"/>
    <x v="0"/>
    <x v="1"/>
    <x v="0"/>
    <x v="3"/>
    <x v="1"/>
    <x v="1"/>
    <x v="1"/>
    <x v="0"/>
    <x v="0"/>
    <n v="1"/>
    <n v="1"/>
    <n v="0"/>
    <m/>
    <x v="1"/>
    <n v="5.6601068172472908E-2"/>
  </r>
  <r>
    <x v="19"/>
    <x v="0"/>
    <x v="0"/>
    <x v="2"/>
    <x v="2"/>
    <x v="0"/>
    <x v="0"/>
    <x v="0"/>
    <x v="2"/>
    <x v="9"/>
    <n v="2"/>
    <n v="3"/>
    <n v="0"/>
    <m/>
    <x v="1"/>
    <n v="0.50483792608287215"/>
  </r>
  <r>
    <x v="2"/>
    <x v="1"/>
    <x v="0"/>
    <x v="2"/>
    <x v="3"/>
    <x v="0"/>
    <x v="0"/>
    <x v="0"/>
    <x v="2"/>
    <x v="9"/>
    <n v="1"/>
    <n v="1"/>
    <n v="0"/>
    <m/>
    <x v="1"/>
    <n v="0.2929773242473675"/>
  </r>
  <r>
    <x v="2"/>
    <x v="0"/>
    <x v="1"/>
    <x v="2"/>
    <x v="1"/>
    <x v="1"/>
    <x v="0"/>
    <x v="1"/>
    <x v="0"/>
    <x v="8"/>
    <n v="1"/>
    <n v="2"/>
    <n v="0"/>
    <m/>
    <x v="1"/>
    <n v="0.22153763074869481"/>
  </r>
  <r>
    <x v="4"/>
    <x v="0"/>
    <x v="0"/>
    <x v="2"/>
    <x v="2"/>
    <x v="0"/>
    <x v="0"/>
    <x v="1"/>
    <x v="1"/>
    <x v="0"/>
    <n v="2"/>
    <n v="2"/>
    <n v="0"/>
    <m/>
    <x v="1"/>
    <n v="0.11187579774158009"/>
  </r>
  <r>
    <x v="5"/>
    <x v="0"/>
    <x v="0"/>
    <x v="0"/>
    <x v="0"/>
    <x v="1"/>
    <x v="0"/>
    <x v="0"/>
    <x v="2"/>
    <x v="9"/>
    <n v="1"/>
    <n v="1"/>
    <n v="0"/>
    <n v="1"/>
    <x v="0"/>
    <n v="0.1710116934768498"/>
  </r>
  <r>
    <x v="10"/>
    <x v="1"/>
    <x v="0"/>
    <x v="1"/>
    <x v="1"/>
    <x v="1"/>
    <x v="0"/>
    <x v="1"/>
    <x v="1"/>
    <x v="0"/>
    <n v="1"/>
    <n v="1"/>
    <n v="0"/>
    <m/>
    <x v="1"/>
    <n v="5.8234290043702328E-2"/>
  </r>
  <r>
    <x v="19"/>
    <x v="0"/>
    <x v="0"/>
    <x v="1"/>
    <x v="0"/>
    <x v="0"/>
    <x v="0"/>
    <x v="1"/>
    <x v="0"/>
    <x v="5"/>
    <n v="1"/>
    <n v="1"/>
    <n v="0"/>
    <m/>
    <x v="1"/>
    <n v="2.0841983429204125E-2"/>
  </r>
  <r>
    <x v="21"/>
    <x v="1"/>
    <x v="1"/>
    <x v="0"/>
    <x v="2"/>
    <x v="0"/>
    <x v="1"/>
    <x v="1"/>
    <x v="1"/>
    <x v="7"/>
    <n v="2"/>
    <n v="2"/>
    <n v="0"/>
    <m/>
    <x v="1"/>
    <n v="4.3772986615182218E-2"/>
  </r>
  <r>
    <x v="16"/>
    <x v="0"/>
    <x v="0"/>
    <x v="1"/>
    <x v="2"/>
    <x v="0"/>
    <x v="1"/>
    <x v="1"/>
    <x v="2"/>
    <x v="4"/>
    <n v="1"/>
    <n v="1"/>
    <n v="0"/>
    <m/>
    <x v="1"/>
    <n v="3.2122009568017543E-2"/>
  </r>
  <r>
    <x v="5"/>
    <x v="0"/>
    <x v="1"/>
    <x v="1"/>
    <x v="1"/>
    <x v="0"/>
    <x v="0"/>
    <x v="1"/>
    <x v="0"/>
    <x v="5"/>
    <n v="1"/>
    <n v="1"/>
    <n v="0"/>
    <n v="1"/>
    <x v="0"/>
    <n v="2.1471043341050454E-2"/>
  </r>
  <r>
    <x v="10"/>
    <x v="1"/>
    <x v="1"/>
    <x v="2"/>
    <x v="0"/>
    <x v="1"/>
    <x v="0"/>
    <x v="0"/>
    <x v="1"/>
    <x v="1"/>
    <n v="1"/>
    <n v="1"/>
    <n v="0"/>
    <m/>
    <x v="1"/>
    <n v="7.7023371586454323E-2"/>
  </r>
  <r>
    <x v="21"/>
    <x v="1"/>
    <x v="0"/>
    <x v="0"/>
    <x v="0"/>
    <x v="1"/>
    <x v="0"/>
    <x v="1"/>
    <x v="1"/>
    <x v="1"/>
    <n v="1"/>
    <n v="1"/>
    <n v="0"/>
    <m/>
    <x v="1"/>
    <n v="8.3695532436182302E-2"/>
  </r>
  <r>
    <x v="2"/>
    <x v="0"/>
    <x v="1"/>
    <x v="2"/>
    <x v="2"/>
    <x v="0"/>
    <x v="0"/>
    <x v="1"/>
    <x v="0"/>
    <x v="3"/>
    <n v="1"/>
    <n v="1"/>
    <n v="0"/>
    <m/>
    <x v="1"/>
    <n v="5.8884716464189815E-2"/>
  </r>
  <r>
    <x v="10"/>
    <x v="0"/>
    <x v="0"/>
    <x v="1"/>
    <x v="3"/>
    <x v="0"/>
    <x v="0"/>
    <x v="1"/>
    <x v="2"/>
    <x v="8"/>
    <n v="1"/>
    <n v="1"/>
    <n v="0"/>
    <m/>
    <x v="1"/>
    <n v="8.6776040583617209E-2"/>
  </r>
  <r>
    <x v="15"/>
    <x v="0"/>
    <x v="1"/>
    <x v="1"/>
    <x v="2"/>
    <x v="0"/>
    <x v="1"/>
    <x v="1"/>
    <x v="0"/>
    <x v="6"/>
    <n v="1"/>
    <n v="1"/>
    <n v="0"/>
    <n v="1"/>
    <x v="0"/>
    <n v="1.0159072239262455E-2"/>
  </r>
  <r>
    <x v="11"/>
    <x v="0"/>
    <x v="0"/>
    <x v="0"/>
    <x v="2"/>
    <x v="1"/>
    <x v="1"/>
    <x v="1"/>
    <x v="0"/>
    <x v="3"/>
    <n v="1"/>
    <n v="3"/>
    <n v="0"/>
    <m/>
    <x v="1"/>
    <n v="0.17985172019451962"/>
  </r>
  <r>
    <x v="1"/>
    <x v="1"/>
    <x v="0"/>
    <x v="2"/>
    <x v="3"/>
    <x v="0"/>
    <x v="0"/>
    <x v="0"/>
    <x v="0"/>
    <x v="9"/>
    <n v="1"/>
    <n v="1"/>
    <n v="0"/>
    <n v="1"/>
    <x v="0"/>
    <n v="0.15577373535327643"/>
  </r>
  <r>
    <x v="22"/>
    <x v="0"/>
    <x v="1"/>
    <x v="0"/>
    <x v="2"/>
    <x v="0"/>
    <x v="1"/>
    <x v="1"/>
    <x v="2"/>
    <x v="0"/>
    <n v="2"/>
    <n v="2"/>
    <n v="0"/>
    <n v="2"/>
    <x v="0"/>
    <n v="9.6210144432727171E-2"/>
  </r>
  <r>
    <x v="21"/>
    <x v="1"/>
    <x v="1"/>
    <x v="0"/>
    <x v="3"/>
    <x v="1"/>
    <x v="0"/>
    <x v="1"/>
    <x v="1"/>
    <x v="8"/>
    <n v="1"/>
    <n v="2"/>
    <n v="0"/>
    <m/>
    <x v="1"/>
    <n v="0.22395431047086944"/>
  </r>
  <r>
    <x v="4"/>
    <x v="0"/>
    <x v="0"/>
    <x v="0"/>
    <x v="0"/>
    <x v="0"/>
    <x v="0"/>
    <x v="1"/>
    <x v="2"/>
    <x v="8"/>
    <n v="1"/>
    <n v="2"/>
    <n v="0"/>
    <m/>
    <x v="1"/>
    <n v="0.18973269945735291"/>
  </r>
  <r>
    <x v="15"/>
    <x v="0"/>
    <x v="0"/>
    <x v="2"/>
    <x v="3"/>
    <x v="1"/>
    <x v="0"/>
    <x v="1"/>
    <x v="0"/>
    <x v="9"/>
    <n v="2"/>
    <n v="3"/>
    <n v="0"/>
    <n v="2"/>
    <x v="0"/>
    <n v="0.5810435145404893"/>
  </r>
  <r>
    <x v="2"/>
    <x v="1"/>
    <x v="1"/>
    <x v="1"/>
    <x v="0"/>
    <x v="0"/>
    <x v="0"/>
    <x v="1"/>
    <x v="1"/>
    <x v="6"/>
    <n v="1"/>
    <n v="1"/>
    <n v="0"/>
    <m/>
    <x v="1"/>
    <n v="1.4486748808385878E-2"/>
  </r>
  <r>
    <x v="3"/>
    <x v="0"/>
    <x v="0"/>
    <x v="1"/>
    <x v="0"/>
    <x v="0"/>
    <x v="0"/>
    <x v="1"/>
    <x v="1"/>
    <x v="6"/>
    <n v="3"/>
    <n v="3"/>
    <n v="0"/>
    <m/>
    <x v="1"/>
    <n v="4.1417850699998968E-2"/>
  </r>
  <r>
    <x v="7"/>
    <x v="0"/>
    <x v="0"/>
    <x v="1"/>
    <x v="0"/>
    <x v="1"/>
    <x v="0"/>
    <x v="1"/>
    <x v="0"/>
    <x v="4"/>
    <n v="1"/>
    <n v="1"/>
    <n v="0"/>
    <m/>
    <x v="1"/>
    <n v="4.0210562870550678E-2"/>
  </r>
  <r>
    <x v="5"/>
    <x v="1"/>
    <x v="0"/>
    <x v="0"/>
    <x v="0"/>
    <x v="1"/>
    <x v="1"/>
    <x v="1"/>
    <x v="0"/>
    <x v="3"/>
    <n v="1"/>
    <n v="1"/>
    <n v="0"/>
    <n v="1"/>
    <x v="0"/>
    <n v="6.1656780627368547E-2"/>
  </r>
  <r>
    <x v="9"/>
    <x v="0"/>
    <x v="0"/>
    <x v="2"/>
    <x v="1"/>
    <x v="1"/>
    <x v="0"/>
    <x v="1"/>
    <x v="0"/>
    <x v="9"/>
    <n v="1"/>
    <n v="1"/>
    <n v="0"/>
    <n v="1"/>
    <x v="0"/>
    <n v="0.15208408645189839"/>
  </r>
  <r>
    <x v="9"/>
    <x v="1"/>
    <x v="0"/>
    <x v="2"/>
    <x v="0"/>
    <x v="0"/>
    <x v="1"/>
    <x v="0"/>
    <x v="1"/>
    <x v="7"/>
    <n v="1"/>
    <n v="1"/>
    <n v="0"/>
    <n v="1"/>
    <x v="0"/>
    <n v="2.8073075056070349E-2"/>
  </r>
  <r>
    <x v="10"/>
    <x v="0"/>
    <x v="0"/>
    <x v="0"/>
    <x v="2"/>
    <x v="0"/>
    <x v="0"/>
    <x v="0"/>
    <x v="1"/>
    <x v="2"/>
    <n v="1"/>
    <n v="2"/>
    <n v="0"/>
    <m/>
    <x v="1"/>
    <n v="8.6199498738147251E-2"/>
  </r>
  <r>
    <x v="10"/>
    <x v="0"/>
    <x v="0"/>
    <x v="0"/>
    <x v="2"/>
    <x v="1"/>
    <x v="0"/>
    <x v="1"/>
    <x v="0"/>
    <x v="8"/>
    <n v="1"/>
    <n v="2"/>
    <n v="0"/>
    <m/>
    <x v="1"/>
    <n v="0.23756451250297758"/>
  </r>
  <r>
    <x v="5"/>
    <x v="1"/>
    <x v="0"/>
    <x v="0"/>
    <x v="2"/>
    <x v="1"/>
    <x v="0"/>
    <x v="0"/>
    <x v="2"/>
    <x v="9"/>
    <n v="1"/>
    <n v="1"/>
    <n v="0"/>
    <n v="1"/>
    <x v="0"/>
    <n v="0.31398055376811668"/>
  </r>
  <r>
    <x v="22"/>
    <x v="0"/>
    <x v="0"/>
    <x v="0"/>
    <x v="2"/>
    <x v="1"/>
    <x v="0"/>
    <x v="1"/>
    <x v="0"/>
    <x v="8"/>
    <n v="2"/>
    <n v="2"/>
    <n v="1"/>
    <n v="2"/>
    <x v="0"/>
    <n v="0.23756451250297758"/>
  </r>
  <r>
    <x v="1"/>
    <x v="0"/>
    <x v="0"/>
    <x v="1"/>
    <x v="0"/>
    <x v="0"/>
    <x v="0"/>
    <x v="1"/>
    <x v="2"/>
    <x v="0"/>
    <n v="1"/>
    <n v="1"/>
    <n v="0"/>
    <n v="1"/>
    <x v="0"/>
    <n v="4.5621764642715154E-2"/>
  </r>
  <r>
    <x v="8"/>
    <x v="1"/>
    <x v="0"/>
    <x v="1"/>
    <x v="0"/>
    <x v="1"/>
    <x v="1"/>
    <x v="0"/>
    <x v="1"/>
    <x v="5"/>
    <n v="1"/>
    <n v="1"/>
    <n v="0"/>
    <m/>
    <x v="1"/>
    <n v="1.9329122577824528E-2"/>
  </r>
  <r>
    <x v="18"/>
    <x v="1"/>
    <x v="0"/>
    <x v="0"/>
    <x v="2"/>
    <x v="0"/>
    <x v="1"/>
    <x v="0"/>
    <x v="2"/>
    <x v="8"/>
    <n v="1"/>
    <n v="1"/>
    <n v="0"/>
    <m/>
    <x v="1"/>
    <n v="9.9113496312796978E-2"/>
  </r>
  <r>
    <x v="2"/>
    <x v="0"/>
    <x v="0"/>
    <x v="0"/>
    <x v="3"/>
    <x v="1"/>
    <x v="0"/>
    <x v="0"/>
    <x v="0"/>
    <x v="9"/>
    <n v="2"/>
    <n v="2"/>
    <n v="1"/>
    <m/>
    <x v="1"/>
    <n v="0.30880046345207129"/>
  </r>
  <r>
    <x v="3"/>
    <x v="0"/>
    <x v="1"/>
    <x v="1"/>
    <x v="1"/>
    <x v="1"/>
    <x v="0"/>
    <x v="1"/>
    <x v="2"/>
    <x v="8"/>
    <n v="1"/>
    <n v="1"/>
    <n v="0"/>
    <m/>
    <x v="1"/>
    <n v="8.8413868051613997E-2"/>
  </r>
  <r>
    <x v="0"/>
    <x v="0"/>
    <x v="0"/>
    <x v="2"/>
    <x v="2"/>
    <x v="0"/>
    <x v="0"/>
    <x v="0"/>
    <x v="0"/>
    <x v="1"/>
    <n v="1"/>
    <n v="1"/>
    <n v="0"/>
    <n v="1"/>
    <x v="0"/>
    <n v="8.2646531177737778E-2"/>
  </r>
  <r>
    <x v="15"/>
    <x v="0"/>
    <x v="0"/>
    <x v="2"/>
    <x v="2"/>
    <x v="1"/>
    <x v="0"/>
    <x v="0"/>
    <x v="1"/>
    <x v="8"/>
    <n v="2"/>
    <n v="3"/>
    <n v="0"/>
    <n v="1"/>
    <x v="0"/>
    <n v="0.31332732331424329"/>
  </r>
  <r>
    <x v="15"/>
    <x v="0"/>
    <x v="1"/>
    <x v="2"/>
    <x v="3"/>
    <x v="1"/>
    <x v="1"/>
    <x v="1"/>
    <x v="0"/>
    <x v="1"/>
    <n v="1"/>
    <n v="1"/>
    <n v="0"/>
    <n v="1"/>
    <x v="0"/>
    <n v="7.3153415909843644E-2"/>
  </r>
  <r>
    <x v="22"/>
    <x v="0"/>
    <x v="1"/>
    <x v="2"/>
    <x v="0"/>
    <x v="0"/>
    <x v="0"/>
    <x v="1"/>
    <x v="1"/>
    <x v="7"/>
    <n v="1"/>
    <n v="2"/>
    <n v="0"/>
    <n v="1"/>
    <x v="0"/>
    <n v="5.4555684000678381E-2"/>
  </r>
  <r>
    <x v="15"/>
    <x v="1"/>
    <x v="1"/>
    <x v="2"/>
    <x v="3"/>
    <x v="1"/>
    <x v="0"/>
    <x v="1"/>
    <x v="1"/>
    <x v="9"/>
    <n v="1"/>
    <n v="1"/>
    <n v="0"/>
    <n v="1"/>
    <x v="0"/>
    <n v="0.14228125938985361"/>
  </r>
  <r>
    <x v="6"/>
    <x v="0"/>
    <x v="1"/>
    <x v="2"/>
    <x v="1"/>
    <x v="1"/>
    <x v="0"/>
    <x v="1"/>
    <x v="1"/>
    <x v="1"/>
    <n v="3"/>
    <n v="3"/>
    <n v="0"/>
    <m/>
    <x v="1"/>
    <n v="0.22716649774048389"/>
  </r>
  <r>
    <x v="8"/>
    <x v="1"/>
    <x v="0"/>
    <x v="2"/>
    <x v="0"/>
    <x v="1"/>
    <x v="0"/>
    <x v="0"/>
    <x v="1"/>
    <x v="8"/>
    <n v="1"/>
    <n v="4"/>
    <n v="0"/>
    <m/>
    <x v="1"/>
    <n v="0.42908161486376767"/>
  </r>
  <r>
    <x v="2"/>
    <x v="0"/>
    <x v="1"/>
    <x v="1"/>
    <x v="2"/>
    <x v="0"/>
    <x v="0"/>
    <x v="0"/>
    <x v="0"/>
    <x v="5"/>
    <n v="1"/>
    <n v="1"/>
    <n v="0"/>
    <m/>
    <x v="1"/>
    <n v="2.1232152294556311E-2"/>
  </r>
  <r>
    <x v="1"/>
    <x v="0"/>
    <x v="0"/>
    <x v="0"/>
    <x v="2"/>
    <x v="1"/>
    <x v="1"/>
    <x v="1"/>
    <x v="0"/>
    <x v="3"/>
    <n v="2"/>
    <n v="3"/>
    <n v="0"/>
    <n v="2"/>
    <x v="0"/>
    <n v="0.17985172019451962"/>
  </r>
  <r>
    <x v="17"/>
    <x v="1"/>
    <x v="1"/>
    <x v="0"/>
    <x v="2"/>
    <x v="1"/>
    <x v="1"/>
    <x v="1"/>
    <x v="1"/>
    <x v="2"/>
    <n v="1"/>
    <n v="1"/>
    <n v="0"/>
    <n v="1"/>
    <x v="0"/>
    <n v="4.2183923792892507E-2"/>
  </r>
  <r>
    <x v="8"/>
    <x v="1"/>
    <x v="1"/>
    <x v="0"/>
    <x v="1"/>
    <x v="0"/>
    <x v="0"/>
    <x v="1"/>
    <x v="2"/>
    <x v="9"/>
    <n v="2"/>
    <n v="5"/>
    <n v="0"/>
    <m/>
    <x v="1"/>
    <n v="0.70207597860023607"/>
  </r>
  <r>
    <x v="17"/>
    <x v="1"/>
    <x v="0"/>
    <x v="0"/>
    <x v="3"/>
    <x v="1"/>
    <x v="1"/>
    <x v="0"/>
    <x v="0"/>
    <x v="8"/>
    <n v="1"/>
    <n v="2"/>
    <n v="0"/>
    <n v="1"/>
    <x v="0"/>
    <n v="0.23104985380022963"/>
  </r>
  <r>
    <x v="5"/>
    <x v="1"/>
    <x v="1"/>
    <x v="1"/>
    <x v="0"/>
    <x v="1"/>
    <x v="0"/>
    <x v="0"/>
    <x v="1"/>
    <x v="7"/>
    <n v="1"/>
    <n v="1"/>
    <n v="0"/>
    <n v="1"/>
    <x v="0"/>
    <n v="2.8118975193987015E-2"/>
  </r>
  <r>
    <x v="21"/>
    <x v="0"/>
    <x v="0"/>
    <x v="0"/>
    <x v="0"/>
    <x v="0"/>
    <x v="1"/>
    <x v="0"/>
    <x v="0"/>
    <x v="7"/>
    <n v="1"/>
    <n v="1"/>
    <n v="0"/>
    <m/>
    <x v="1"/>
    <n v="2.1603464808317204E-2"/>
  </r>
  <r>
    <x v="0"/>
    <x v="1"/>
    <x v="0"/>
    <x v="2"/>
    <x v="2"/>
    <x v="1"/>
    <x v="0"/>
    <x v="0"/>
    <x v="1"/>
    <x v="9"/>
    <n v="2"/>
    <n v="2"/>
    <n v="0"/>
    <n v="2"/>
    <x v="0"/>
    <n v="0.29979095700764463"/>
  </r>
  <r>
    <x v="14"/>
    <x v="0"/>
    <x v="1"/>
    <x v="0"/>
    <x v="0"/>
    <x v="0"/>
    <x v="0"/>
    <x v="1"/>
    <x v="0"/>
    <x v="4"/>
    <n v="1"/>
    <n v="1"/>
    <n v="0"/>
    <m/>
    <x v="1"/>
    <n v="3.1394457123754216E-2"/>
  </r>
  <r>
    <x v="11"/>
    <x v="0"/>
    <x v="1"/>
    <x v="1"/>
    <x v="1"/>
    <x v="1"/>
    <x v="0"/>
    <x v="1"/>
    <x v="0"/>
    <x v="4"/>
    <n v="1"/>
    <n v="1"/>
    <n v="0"/>
    <m/>
    <x v="1"/>
    <n v="4.1399495065687533E-2"/>
  </r>
  <r>
    <x v="11"/>
    <x v="0"/>
    <x v="0"/>
    <x v="2"/>
    <x v="2"/>
    <x v="0"/>
    <x v="0"/>
    <x v="0"/>
    <x v="2"/>
    <x v="9"/>
    <n v="1"/>
    <n v="1"/>
    <n v="0"/>
    <m/>
    <x v="1"/>
    <n v="0.1682793086942907"/>
  </r>
  <r>
    <x v="4"/>
    <x v="1"/>
    <x v="0"/>
    <x v="2"/>
    <x v="3"/>
    <x v="0"/>
    <x v="1"/>
    <x v="1"/>
    <x v="0"/>
    <x v="1"/>
    <n v="1"/>
    <n v="1"/>
    <n v="0"/>
    <m/>
    <x v="1"/>
    <n v="8.028985391245845E-2"/>
  </r>
  <r>
    <x v="15"/>
    <x v="0"/>
    <x v="0"/>
    <x v="2"/>
    <x v="2"/>
    <x v="0"/>
    <x v="0"/>
    <x v="1"/>
    <x v="0"/>
    <x v="1"/>
    <n v="4"/>
    <n v="4"/>
    <n v="0"/>
    <n v="3"/>
    <x v="0"/>
    <n v="0.33058612471095111"/>
  </r>
  <r>
    <x v="16"/>
    <x v="1"/>
    <x v="1"/>
    <x v="0"/>
    <x v="1"/>
    <x v="1"/>
    <x v="0"/>
    <x v="1"/>
    <x v="0"/>
    <x v="9"/>
    <n v="2"/>
    <n v="2"/>
    <n v="0"/>
    <m/>
    <x v="1"/>
    <n v="0.25047186248679471"/>
  </r>
  <r>
    <x v="20"/>
    <x v="1"/>
    <x v="1"/>
    <x v="0"/>
    <x v="1"/>
    <x v="0"/>
    <x v="1"/>
    <x v="1"/>
    <x v="1"/>
    <x v="7"/>
    <n v="1"/>
    <n v="1"/>
    <n v="0"/>
    <n v="1"/>
    <x v="0"/>
    <n v="2.2132580114377243E-2"/>
  </r>
  <r>
    <x v="12"/>
    <x v="1"/>
    <x v="0"/>
    <x v="1"/>
    <x v="3"/>
    <x v="0"/>
    <x v="0"/>
    <x v="1"/>
    <x v="1"/>
    <x v="4"/>
    <n v="1"/>
    <n v="1"/>
    <n v="0"/>
    <m/>
    <x v="1"/>
    <n v="4.0374698524789331E-2"/>
  </r>
  <r>
    <x v="20"/>
    <x v="0"/>
    <x v="1"/>
    <x v="2"/>
    <x v="1"/>
    <x v="0"/>
    <x v="0"/>
    <x v="1"/>
    <x v="2"/>
    <x v="8"/>
    <n v="2"/>
    <n v="2"/>
    <n v="0"/>
    <n v="2"/>
    <x v="0"/>
    <n v="0.24888808001119248"/>
  </r>
  <r>
    <x v="1"/>
    <x v="1"/>
    <x v="0"/>
    <x v="2"/>
    <x v="2"/>
    <x v="1"/>
    <x v="0"/>
    <x v="1"/>
    <x v="0"/>
    <x v="9"/>
    <n v="1"/>
    <n v="2"/>
    <n v="0"/>
    <n v="1"/>
    <x v="0"/>
    <n v="0.42283864350132133"/>
  </r>
  <r>
    <x v="16"/>
    <x v="1"/>
    <x v="0"/>
    <x v="2"/>
    <x v="2"/>
    <x v="1"/>
    <x v="0"/>
    <x v="1"/>
    <x v="1"/>
    <x v="9"/>
    <n v="1"/>
    <n v="1"/>
    <n v="0"/>
    <m/>
    <x v="1"/>
    <n v="0.14989547850382232"/>
  </r>
  <r>
    <x v="6"/>
    <x v="1"/>
    <x v="0"/>
    <x v="0"/>
    <x v="2"/>
    <x v="1"/>
    <x v="0"/>
    <x v="0"/>
    <x v="1"/>
    <x v="8"/>
    <n v="1"/>
    <n v="1"/>
    <n v="0"/>
    <m/>
    <x v="1"/>
    <n v="0.118193115915998"/>
  </r>
  <r>
    <x v="13"/>
    <x v="1"/>
    <x v="0"/>
    <x v="0"/>
    <x v="0"/>
    <x v="1"/>
    <x v="1"/>
    <x v="1"/>
    <x v="2"/>
    <x v="9"/>
    <n v="1"/>
    <n v="1"/>
    <n v="0"/>
    <m/>
    <x v="1"/>
    <n v="0.12858993764061805"/>
  </r>
  <r>
    <x v="13"/>
    <x v="1"/>
    <x v="1"/>
    <x v="0"/>
    <x v="0"/>
    <x v="1"/>
    <x v="0"/>
    <x v="0"/>
    <x v="2"/>
    <x v="9"/>
    <n v="1"/>
    <n v="1"/>
    <n v="0"/>
    <m/>
    <x v="1"/>
    <n v="0.17804506696932551"/>
  </r>
  <r>
    <x v="8"/>
    <x v="0"/>
    <x v="0"/>
    <x v="0"/>
    <x v="2"/>
    <x v="0"/>
    <x v="1"/>
    <x v="1"/>
    <x v="0"/>
    <x v="4"/>
    <n v="1"/>
    <n v="1"/>
    <n v="0"/>
    <m/>
    <x v="1"/>
    <n v="3.1384565006669626E-2"/>
  </r>
  <r>
    <x v="9"/>
    <x v="0"/>
    <x v="0"/>
    <x v="2"/>
    <x v="2"/>
    <x v="0"/>
    <x v="0"/>
    <x v="0"/>
    <x v="0"/>
    <x v="1"/>
    <n v="1"/>
    <n v="1"/>
    <n v="0"/>
    <n v="1"/>
    <x v="0"/>
    <n v="8.2646531177737778E-2"/>
  </r>
  <r>
    <x v="21"/>
    <x v="0"/>
    <x v="0"/>
    <x v="2"/>
    <x v="3"/>
    <x v="1"/>
    <x v="0"/>
    <x v="1"/>
    <x v="1"/>
    <x v="9"/>
    <n v="1"/>
    <n v="1"/>
    <n v="0"/>
    <m/>
    <x v="1"/>
    <n v="0.13642618392543343"/>
  </r>
  <r>
    <x v="9"/>
    <x v="0"/>
    <x v="1"/>
    <x v="1"/>
    <x v="0"/>
    <x v="1"/>
    <x v="0"/>
    <x v="0"/>
    <x v="0"/>
    <x v="7"/>
    <n v="1"/>
    <n v="1"/>
    <n v="0"/>
    <n v="1"/>
    <x v="0"/>
    <n v="2.8273531547734397E-2"/>
  </r>
  <r>
    <x v="7"/>
    <x v="1"/>
    <x v="1"/>
    <x v="1"/>
    <x v="0"/>
    <x v="1"/>
    <x v="0"/>
    <x v="1"/>
    <x v="0"/>
    <x v="2"/>
    <n v="1"/>
    <n v="1"/>
    <n v="0"/>
    <m/>
    <x v="1"/>
    <n v="4.2137790699068305E-2"/>
  </r>
  <r>
    <x v="16"/>
    <x v="1"/>
    <x v="0"/>
    <x v="2"/>
    <x v="3"/>
    <x v="1"/>
    <x v="0"/>
    <x v="1"/>
    <x v="0"/>
    <x v="9"/>
    <n v="1"/>
    <n v="1"/>
    <n v="0"/>
    <m/>
    <x v="1"/>
    <n v="0.26641728068577614"/>
  </r>
  <r>
    <x v="21"/>
    <x v="1"/>
    <x v="0"/>
    <x v="2"/>
    <x v="2"/>
    <x v="1"/>
    <x v="0"/>
    <x v="1"/>
    <x v="0"/>
    <x v="9"/>
    <n v="1"/>
    <n v="1"/>
    <n v="0"/>
    <m/>
    <x v="1"/>
    <n v="0.21141932175066067"/>
  </r>
  <r>
    <x v="14"/>
    <x v="0"/>
    <x v="0"/>
    <x v="0"/>
    <x v="3"/>
    <x v="1"/>
    <x v="0"/>
    <x v="0"/>
    <x v="2"/>
    <x v="9"/>
    <n v="1"/>
    <n v="1"/>
    <n v="1"/>
    <m/>
    <x v="1"/>
    <n v="0.29081078354285356"/>
  </r>
  <r>
    <x v="10"/>
    <x v="1"/>
    <x v="1"/>
    <x v="1"/>
    <x v="0"/>
    <x v="1"/>
    <x v="0"/>
    <x v="0"/>
    <x v="1"/>
    <x v="7"/>
    <n v="1"/>
    <n v="1"/>
    <n v="0"/>
    <m/>
    <x v="1"/>
    <n v="2.8118975193987015E-2"/>
  </r>
  <r>
    <x v="3"/>
    <x v="1"/>
    <x v="0"/>
    <x v="0"/>
    <x v="2"/>
    <x v="1"/>
    <x v="1"/>
    <x v="1"/>
    <x v="1"/>
    <x v="3"/>
    <n v="1"/>
    <n v="1"/>
    <n v="0"/>
    <m/>
    <x v="1"/>
    <n v="5.9633482189705503E-2"/>
  </r>
  <r>
    <x v="1"/>
    <x v="0"/>
    <x v="0"/>
    <x v="0"/>
    <x v="1"/>
    <x v="0"/>
    <x v="1"/>
    <x v="1"/>
    <x v="1"/>
    <x v="5"/>
    <n v="1"/>
    <n v="1"/>
    <n v="0"/>
    <n v="1"/>
    <x v="0"/>
    <n v="2.1100161961676144E-2"/>
  </r>
  <r>
    <x v="5"/>
    <x v="0"/>
    <x v="1"/>
    <x v="0"/>
    <x v="0"/>
    <x v="0"/>
    <x v="1"/>
    <x v="0"/>
    <x v="0"/>
    <x v="5"/>
    <n v="2"/>
    <n v="2"/>
    <n v="0"/>
    <n v="2"/>
    <x v="0"/>
    <n v="3.0206543573620705E-2"/>
  </r>
  <r>
    <x v="8"/>
    <x v="0"/>
    <x v="0"/>
    <x v="0"/>
    <x v="2"/>
    <x v="0"/>
    <x v="1"/>
    <x v="1"/>
    <x v="1"/>
    <x v="5"/>
    <n v="2"/>
    <n v="2"/>
    <n v="0"/>
    <m/>
    <x v="1"/>
    <n v="4.1730618848715956E-2"/>
  </r>
  <r>
    <x v="5"/>
    <x v="1"/>
    <x v="0"/>
    <x v="2"/>
    <x v="0"/>
    <x v="0"/>
    <x v="1"/>
    <x v="0"/>
    <x v="2"/>
    <x v="8"/>
    <n v="1"/>
    <n v="2"/>
    <n v="0"/>
    <n v="1"/>
    <x v="0"/>
    <n v="0.17954900146378353"/>
  </r>
  <r>
    <x v="9"/>
    <x v="1"/>
    <x v="0"/>
    <x v="0"/>
    <x v="3"/>
    <x v="1"/>
    <x v="0"/>
    <x v="1"/>
    <x v="0"/>
    <x v="9"/>
    <n v="2"/>
    <n v="2"/>
    <n v="0"/>
    <n v="2"/>
    <x v="0"/>
    <n v="0.43268518706094106"/>
  </r>
  <r>
    <x v="9"/>
    <x v="0"/>
    <x v="0"/>
    <x v="2"/>
    <x v="2"/>
    <x v="0"/>
    <x v="0"/>
    <x v="1"/>
    <x v="2"/>
    <x v="9"/>
    <n v="2"/>
    <n v="2"/>
    <n v="0"/>
    <n v="2"/>
    <x v="0"/>
    <n v="0.33655861738858139"/>
  </r>
  <r>
    <x v="2"/>
    <x v="1"/>
    <x v="0"/>
    <x v="0"/>
    <x v="3"/>
    <x v="0"/>
    <x v="1"/>
    <x v="1"/>
    <x v="1"/>
    <x v="4"/>
    <n v="1"/>
    <n v="1"/>
    <n v="0"/>
    <m/>
    <x v="1"/>
    <n v="4.1819346475315163E-2"/>
  </r>
  <r>
    <x v="17"/>
    <x v="0"/>
    <x v="0"/>
    <x v="1"/>
    <x v="0"/>
    <x v="0"/>
    <x v="0"/>
    <x v="1"/>
    <x v="2"/>
    <x v="0"/>
    <n v="2"/>
    <n v="2"/>
    <n v="0"/>
    <n v="2"/>
    <x v="0"/>
    <n v="9.1243529285430308E-2"/>
  </r>
  <r>
    <x v="10"/>
    <x v="0"/>
    <x v="1"/>
    <x v="1"/>
    <x v="1"/>
    <x v="1"/>
    <x v="0"/>
    <x v="1"/>
    <x v="1"/>
    <x v="7"/>
    <n v="1"/>
    <n v="1"/>
    <n v="0"/>
    <m/>
    <x v="1"/>
    <n v="2.7619220664379374E-2"/>
  </r>
  <r>
    <x v="22"/>
    <x v="1"/>
    <x v="0"/>
    <x v="0"/>
    <x v="3"/>
    <x v="1"/>
    <x v="0"/>
    <x v="1"/>
    <x v="1"/>
    <x v="9"/>
    <n v="3"/>
    <n v="3"/>
    <n v="1"/>
    <n v="3"/>
    <x v="0"/>
    <n v="0.46099571299622388"/>
  </r>
  <r>
    <x v="12"/>
    <x v="1"/>
    <x v="1"/>
    <x v="0"/>
    <x v="3"/>
    <x v="1"/>
    <x v="0"/>
    <x v="1"/>
    <x v="1"/>
    <x v="8"/>
    <n v="1"/>
    <n v="1"/>
    <n v="0"/>
    <m/>
    <x v="1"/>
    <n v="0.11197715523543472"/>
  </r>
  <r>
    <x v="6"/>
    <x v="0"/>
    <x v="0"/>
    <x v="0"/>
    <x v="0"/>
    <x v="1"/>
    <x v="1"/>
    <x v="0"/>
    <x v="1"/>
    <x v="7"/>
    <n v="1"/>
    <n v="1"/>
    <n v="0"/>
    <m/>
    <x v="1"/>
    <n v="2.7788483854578296E-2"/>
  </r>
  <r>
    <x v="7"/>
    <x v="1"/>
    <x v="0"/>
    <x v="1"/>
    <x v="2"/>
    <x v="0"/>
    <x v="0"/>
    <x v="1"/>
    <x v="1"/>
    <x v="7"/>
    <n v="1"/>
    <n v="1"/>
    <n v="0"/>
    <m/>
    <x v="1"/>
    <n v="3.012375921220177E-2"/>
  </r>
  <r>
    <x v="4"/>
    <x v="1"/>
    <x v="0"/>
    <x v="1"/>
    <x v="2"/>
    <x v="1"/>
    <x v="1"/>
    <x v="1"/>
    <x v="1"/>
    <x v="7"/>
    <n v="1"/>
    <n v="1"/>
    <n v="0"/>
    <m/>
    <x v="1"/>
    <n v="2.811008520036597E-2"/>
  </r>
  <r>
    <x v="16"/>
    <x v="1"/>
    <x v="1"/>
    <x v="1"/>
    <x v="1"/>
    <x v="0"/>
    <x v="0"/>
    <x v="1"/>
    <x v="0"/>
    <x v="4"/>
    <n v="1"/>
    <n v="1"/>
    <n v="0"/>
    <m/>
    <x v="1"/>
    <n v="3.2109846912100462E-2"/>
  </r>
  <r>
    <x v="19"/>
    <x v="1"/>
    <x v="0"/>
    <x v="1"/>
    <x v="0"/>
    <x v="0"/>
    <x v="1"/>
    <x v="0"/>
    <x v="0"/>
    <x v="5"/>
    <n v="1"/>
    <n v="1"/>
    <n v="0"/>
    <m/>
    <x v="1"/>
    <n v="1.4997899225310888E-2"/>
  </r>
  <r>
    <x v="0"/>
    <x v="0"/>
    <x v="1"/>
    <x v="1"/>
    <x v="2"/>
    <x v="1"/>
    <x v="1"/>
    <x v="1"/>
    <x v="0"/>
    <x v="5"/>
    <n v="1"/>
    <n v="1"/>
    <n v="0"/>
    <n v="1"/>
    <x v="0"/>
    <n v="1.9800718313777412E-2"/>
  </r>
  <r>
    <x v="20"/>
    <x v="0"/>
    <x v="1"/>
    <x v="1"/>
    <x v="1"/>
    <x v="1"/>
    <x v="0"/>
    <x v="1"/>
    <x v="2"/>
    <x v="8"/>
    <n v="1"/>
    <n v="1"/>
    <n v="0"/>
    <n v="1"/>
    <x v="0"/>
    <n v="8.8413868051613997E-2"/>
  </r>
  <r>
    <x v="20"/>
    <x v="1"/>
    <x v="1"/>
    <x v="0"/>
    <x v="1"/>
    <x v="1"/>
    <x v="0"/>
    <x v="1"/>
    <x v="0"/>
    <x v="9"/>
    <n v="1"/>
    <n v="1"/>
    <n v="0"/>
    <n v="1"/>
    <x v="0"/>
    <n v="0.12523593124339735"/>
  </r>
  <r>
    <x v="22"/>
    <x v="1"/>
    <x v="0"/>
    <x v="2"/>
    <x v="2"/>
    <x v="0"/>
    <x v="1"/>
    <x v="1"/>
    <x v="1"/>
    <x v="4"/>
    <n v="1"/>
    <n v="1"/>
    <n v="0"/>
    <n v="1"/>
    <x v="0"/>
    <n v="4.066159666363986E-2"/>
  </r>
  <r>
    <x v="19"/>
    <x v="0"/>
    <x v="1"/>
    <x v="0"/>
    <x v="3"/>
    <x v="1"/>
    <x v="0"/>
    <x v="0"/>
    <x v="1"/>
    <x v="1"/>
    <n v="1"/>
    <n v="1"/>
    <n v="0"/>
    <m/>
    <x v="1"/>
    <n v="7.6980948887072007E-2"/>
  </r>
  <r>
    <x v="10"/>
    <x v="0"/>
    <x v="0"/>
    <x v="0"/>
    <x v="3"/>
    <x v="1"/>
    <x v="1"/>
    <x v="1"/>
    <x v="2"/>
    <x v="9"/>
    <n v="1"/>
    <n v="1"/>
    <n v="0"/>
    <m/>
    <x v="1"/>
    <n v="0.16248563228241489"/>
  </r>
  <r>
    <x v="14"/>
    <x v="1"/>
    <x v="0"/>
    <x v="0"/>
    <x v="3"/>
    <x v="0"/>
    <x v="0"/>
    <x v="1"/>
    <x v="0"/>
    <x v="8"/>
    <n v="1"/>
    <n v="1"/>
    <n v="0"/>
    <m/>
    <x v="1"/>
    <n v="0.12300803466666659"/>
  </r>
  <r>
    <x v="0"/>
    <x v="1"/>
    <x v="0"/>
    <x v="0"/>
    <x v="0"/>
    <x v="1"/>
    <x v="0"/>
    <x v="1"/>
    <x v="0"/>
    <x v="8"/>
    <n v="1"/>
    <n v="1"/>
    <n v="0"/>
    <n v="1"/>
    <x v="0"/>
    <n v="0.12194562411528299"/>
  </r>
  <r>
    <x v="21"/>
    <x v="0"/>
    <x v="0"/>
    <x v="0"/>
    <x v="0"/>
    <x v="1"/>
    <x v="0"/>
    <x v="1"/>
    <x v="0"/>
    <x v="1"/>
    <n v="1"/>
    <n v="1"/>
    <n v="0"/>
    <m/>
    <x v="1"/>
    <n v="8.4129123046113322E-2"/>
  </r>
  <r>
    <x v="12"/>
    <x v="0"/>
    <x v="1"/>
    <x v="2"/>
    <x v="0"/>
    <x v="1"/>
    <x v="0"/>
    <x v="0"/>
    <x v="1"/>
    <x v="0"/>
    <n v="2"/>
    <n v="3"/>
    <n v="0"/>
    <m/>
    <x v="1"/>
    <n v="0.15692339187205723"/>
  </r>
  <r>
    <x v="17"/>
    <x v="0"/>
    <x v="1"/>
    <x v="0"/>
    <x v="3"/>
    <x v="0"/>
    <x v="1"/>
    <x v="1"/>
    <x v="0"/>
    <x v="7"/>
    <n v="1"/>
    <n v="1"/>
    <n v="0"/>
    <n v="1"/>
    <x v="0"/>
    <n v="2.9580852115696006E-2"/>
  </r>
  <r>
    <x v="2"/>
    <x v="0"/>
    <x v="0"/>
    <x v="0"/>
    <x v="2"/>
    <x v="0"/>
    <x v="1"/>
    <x v="0"/>
    <x v="1"/>
    <x v="5"/>
    <n v="1"/>
    <n v="1"/>
    <n v="0"/>
    <m/>
    <x v="1"/>
    <n v="2.0865309424357978E-2"/>
  </r>
  <r>
    <x v="9"/>
    <x v="1"/>
    <x v="0"/>
    <x v="2"/>
    <x v="0"/>
    <x v="0"/>
    <x v="0"/>
    <x v="1"/>
    <x v="2"/>
    <x v="9"/>
    <n v="1"/>
    <n v="1"/>
    <n v="0"/>
    <n v="1"/>
    <x v="0"/>
    <n v="0.17250282287365376"/>
  </r>
  <r>
    <x v="10"/>
    <x v="0"/>
    <x v="1"/>
    <x v="0"/>
    <x v="2"/>
    <x v="1"/>
    <x v="1"/>
    <x v="1"/>
    <x v="0"/>
    <x v="2"/>
    <n v="1"/>
    <n v="1"/>
    <n v="0"/>
    <m/>
    <x v="1"/>
    <n v="4.2412414648078343E-2"/>
  </r>
  <r>
    <x v="21"/>
    <x v="1"/>
    <x v="0"/>
    <x v="0"/>
    <x v="3"/>
    <x v="1"/>
    <x v="0"/>
    <x v="0"/>
    <x v="1"/>
    <x v="9"/>
    <n v="1"/>
    <n v="1"/>
    <n v="0"/>
    <m/>
    <x v="1"/>
    <n v="0.15366523766540796"/>
  </r>
  <r>
    <x v="17"/>
    <x v="1"/>
    <x v="0"/>
    <x v="1"/>
    <x v="0"/>
    <x v="1"/>
    <x v="0"/>
    <x v="0"/>
    <x v="1"/>
    <x v="4"/>
    <n v="1"/>
    <n v="1"/>
    <n v="0"/>
    <n v="1"/>
    <x v="0"/>
    <n v="3.9993438758136914E-2"/>
  </r>
  <r>
    <x v="12"/>
    <x v="0"/>
    <x v="0"/>
    <x v="1"/>
    <x v="0"/>
    <x v="0"/>
    <x v="1"/>
    <x v="1"/>
    <x v="0"/>
    <x v="6"/>
    <n v="1"/>
    <n v="1"/>
    <n v="0"/>
    <m/>
    <x v="1"/>
    <n v="9.9703130635719027E-3"/>
  </r>
  <r>
    <x v="22"/>
    <x v="0"/>
    <x v="1"/>
    <x v="2"/>
    <x v="0"/>
    <x v="0"/>
    <x v="1"/>
    <x v="1"/>
    <x v="1"/>
    <x v="6"/>
    <n v="1"/>
    <n v="1"/>
    <n v="0"/>
    <n v="1"/>
    <x v="0"/>
    <n v="1.3093969311862536E-2"/>
  </r>
  <r>
    <x v="5"/>
    <x v="0"/>
    <x v="0"/>
    <x v="0"/>
    <x v="2"/>
    <x v="1"/>
    <x v="0"/>
    <x v="0"/>
    <x v="0"/>
    <x v="8"/>
    <n v="1"/>
    <n v="1"/>
    <n v="0"/>
    <n v="1"/>
    <x v="0"/>
    <n v="0.11878225625148879"/>
  </r>
  <r>
    <x v="5"/>
    <x v="1"/>
    <x v="0"/>
    <x v="2"/>
    <x v="2"/>
    <x v="1"/>
    <x v="1"/>
    <x v="1"/>
    <x v="1"/>
    <x v="1"/>
    <n v="1"/>
    <n v="1"/>
    <n v="0"/>
    <n v="1"/>
    <x v="0"/>
    <n v="7.7000245135165221E-2"/>
  </r>
  <r>
    <x v="14"/>
    <x v="0"/>
    <x v="1"/>
    <x v="1"/>
    <x v="2"/>
    <x v="1"/>
    <x v="0"/>
    <x v="1"/>
    <x v="1"/>
    <x v="7"/>
    <n v="1"/>
    <n v="1"/>
    <n v="0"/>
    <m/>
    <x v="1"/>
    <n v="2.7313833211787753E-2"/>
  </r>
  <r>
    <x v="17"/>
    <x v="1"/>
    <x v="1"/>
    <x v="0"/>
    <x v="2"/>
    <x v="1"/>
    <x v="0"/>
    <x v="0"/>
    <x v="0"/>
    <x v="8"/>
    <n v="1"/>
    <n v="1"/>
    <n v="0"/>
    <n v="1"/>
    <x v="0"/>
    <n v="0.12398881875313826"/>
  </r>
  <r>
    <x v="15"/>
    <x v="0"/>
    <x v="1"/>
    <x v="1"/>
    <x v="0"/>
    <x v="0"/>
    <x v="0"/>
    <x v="0"/>
    <x v="2"/>
    <x v="4"/>
    <n v="1"/>
    <n v="1"/>
    <n v="0"/>
    <n v="1"/>
    <x v="0"/>
    <n v="3.2132126409987367E-2"/>
  </r>
  <r>
    <x v="19"/>
    <x v="0"/>
    <x v="0"/>
    <x v="2"/>
    <x v="0"/>
    <x v="0"/>
    <x v="0"/>
    <x v="1"/>
    <x v="0"/>
    <x v="0"/>
    <n v="1"/>
    <n v="3"/>
    <n v="0"/>
    <m/>
    <x v="1"/>
    <n v="0.17353056900629477"/>
  </r>
  <r>
    <x v="17"/>
    <x v="0"/>
    <x v="0"/>
    <x v="0"/>
    <x v="3"/>
    <x v="0"/>
    <x v="0"/>
    <x v="0"/>
    <x v="0"/>
    <x v="8"/>
    <n v="1"/>
    <n v="1"/>
    <n v="0"/>
    <n v="1"/>
    <x v="0"/>
    <n v="8.4893923858991527E-2"/>
  </r>
  <r>
    <x v="20"/>
    <x v="1"/>
    <x v="1"/>
    <x v="0"/>
    <x v="2"/>
    <x v="1"/>
    <x v="0"/>
    <x v="0"/>
    <x v="2"/>
    <x v="9"/>
    <n v="1"/>
    <n v="1"/>
    <n v="1"/>
    <n v="1"/>
    <x v="0"/>
    <n v="0.24119501983049757"/>
  </r>
  <r>
    <x v="0"/>
    <x v="1"/>
    <x v="1"/>
    <x v="0"/>
    <x v="0"/>
    <x v="0"/>
    <x v="1"/>
    <x v="0"/>
    <x v="2"/>
    <x v="0"/>
    <n v="1"/>
    <n v="1"/>
    <n v="0"/>
    <n v="1"/>
    <x v="0"/>
    <n v="4.9491902792675999E-2"/>
  </r>
  <r>
    <x v="17"/>
    <x v="1"/>
    <x v="0"/>
    <x v="0"/>
    <x v="3"/>
    <x v="0"/>
    <x v="0"/>
    <x v="1"/>
    <x v="1"/>
    <x v="8"/>
    <n v="1"/>
    <n v="1"/>
    <n v="1"/>
    <n v="1"/>
    <x v="0"/>
    <n v="8.4456755045901957E-2"/>
  </r>
  <r>
    <x v="7"/>
    <x v="0"/>
    <x v="0"/>
    <x v="2"/>
    <x v="2"/>
    <x v="0"/>
    <x v="1"/>
    <x v="1"/>
    <x v="1"/>
    <x v="7"/>
    <n v="1"/>
    <n v="2"/>
    <n v="0"/>
    <m/>
    <x v="1"/>
    <n v="5.4538420949698588E-2"/>
  </r>
  <r>
    <x v="10"/>
    <x v="0"/>
    <x v="1"/>
    <x v="2"/>
    <x v="0"/>
    <x v="1"/>
    <x v="0"/>
    <x v="0"/>
    <x v="1"/>
    <x v="0"/>
    <n v="1"/>
    <n v="1"/>
    <n v="0"/>
    <m/>
    <x v="1"/>
    <n v="5.2307797290685736E-2"/>
  </r>
  <r>
    <x v="17"/>
    <x v="1"/>
    <x v="1"/>
    <x v="2"/>
    <x v="0"/>
    <x v="0"/>
    <x v="1"/>
    <x v="0"/>
    <x v="0"/>
    <x v="7"/>
    <n v="1"/>
    <n v="1"/>
    <n v="0"/>
    <n v="1"/>
    <x v="0"/>
    <n v="2.9597991163995179E-2"/>
  </r>
  <r>
    <x v="11"/>
    <x v="0"/>
    <x v="0"/>
    <x v="1"/>
    <x v="2"/>
    <x v="0"/>
    <x v="1"/>
    <x v="1"/>
    <x v="1"/>
    <x v="6"/>
    <n v="1"/>
    <n v="1"/>
    <n v="0"/>
    <m/>
    <x v="1"/>
    <n v="9.6257330475760985E-3"/>
  </r>
  <r>
    <x v="12"/>
    <x v="1"/>
    <x v="1"/>
    <x v="0"/>
    <x v="2"/>
    <x v="1"/>
    <x v="0"/>
    <x v="1"/>
    <x v="1"/>
    <x v="8"/>
    <n v="1"/>
    <n v="1"/>
    <n v="0"/>
    <m/>
    <x v="1"/>
    <n v="8.5160005166699276E-2"/>
  </r>
  <r>
    <x v="20"/>
    <x v="0"/>
    <x v="1"/>
    <x v="0"/>
    <x v="3"/>
    <x v="1"/>
    <x v="0"/>
    <x v="1"/>
    <x v="0"/>
    <x v="8"/>
    <n v="2"/>
    <n v="2"/>
    <n v="1"/>
    <n v="2"/>
    <x v="0"/>
    <n v="0.22507853204367734"/>
  </r>
  <r>
    <x v="19"/>
    <x v="0"/>
    <x v="0"/>
    <x v="0"/>
    <x v="2"/>
    <x v="0"/>
    <x v="1"/>
    <x v="1"/>
    <x v="2"/>
    <x v="1"/>
    <n v="1"/>
    <n v="4"/>
    <n v="0"/>
    <m/>
    <x v="1"/>
    <n v="0.27132193573697649"/>
  </r>
  <r>
    <x v="10"/>
    <x v="0"/>
    <x v="0"/>
    <x v="1"/>
    <x v="0"/>
    <x v="0"/>
    <x v="0"/>
    <x v="0"/>
    <x v="2"/>
    <x v="0"/>
    <n v="1"/>
    <n v="1"/>
    <n v="0"/>
    <m/>
    <x v="1"/>
    <n v="4.5621764642715154E-2"/>
  </r>
  <r>
    <x v="21"/>
    <x v="0"/>
    <x v="0"/>
    <x v="1"/>
    <x v="1"/>
    <x v="1"/>
    <x v="0"/>
    <x v="1"/>
    <x v="2"/>
    <x v="8"/>
    <n v="1"/>
    <n v="3"/>
    <n v="0"/>
    <m/>
    <x v="1"/>
    <n v="0.36762021842103426"/>
  </r>
  <r>
    <x v="15"/>
    <x v="1"/>
    <x v="1"/>
    <x v="0"/>
    <x v="2"/>
    <x v="0"/>
    <x v="0"/>
    <x v="1"/>
    <x v="2"/>
    <x v="9"/>
    <n v="2"/>
    <n v="3"/>
    <n v="0"/>
    <n v="2"/>
    <x v="0"/>
    <n v="0.41712285720746167"/>
  </r>
  <r>
    <x v="17"/>
    <x v="0"/>
    <x v="0"/>
    <x v="0"/>
    <x v="0"/>
    <x v="0"/>
    <x v="1"/>
    <x v="1"/>
    <x v="2"/>
    <x v="0"/>
    <n v="1"/>
    <n v="1"/>
    <n v="0"/>
    <n v="1"/>
    <x v="0"/>
    <n v="4.7244914771732829E-2"/>
  </r>
  <r>
    <x v="4"/>
    <x v="1"/>
    <x v="1"/>
    <x v="2"/>
    <x v="0"/>
    <x v="0"/>
    <x v="0"/>
    <x v="0"/>
    <x v="1"/>
    <x v="4"/>
    <n v="1"/>
    <n v="1"/>
    <n v="0"/>
    <m/>
    <x v="1"/>
    <n v="4.0674290026531716E-2"/>
  </r>
  <r>
    <x v="11"/>
    <x v="1"/>
    <x v="0"/>
    <x v="1"/>
    <x v="1"/>
    <x v="0"/>
    <x v="0"/>
    <x v="1"/>
    <x v="2"/>
    <x v="8"/>
    <n v="2"/>
    <n v="2"/>
    <n v="0"/>
    <m/>
    <x v="1"/>
    <n v="0.19376682762166147"/>
  </r>
  <r>
    <x v="13"/>
    <x v="1"/>
    <x v="0"/>
    <x v="0"/>
    <x v="0"/>
    <x v="0"/>
    <x v="0"/>
    <x v="0"/>
    <x v="2"/>
    <x v="9"/>
    <n v="2"/>
    <n v="2"/>
    <n v="0"/>
    <m/>
    <x v="1"/>
    <n v="0.27357689459332679"/>
  </r>
  <r>
    <x v="4"/>
    <x v="1"/>
    <x v="0"/>
    <x v="1"/>
    <x v="3"/>
    <x v="1"/>
    <x v="1"/>
    <x v="1"/>
    <x v="2"/>
    <x v="8"/>
    <n v="1"/>
    <n v="1"/>
    <n v="0"/>
    <m/>
    <x v="1"/>
    <n v="0.11799857341716835"/>
  </r>
  <r>
    <x v="17"/>
    <x v="1"/>
    <x v="0"/>
    <x v="2"/>
    <x v="2"/>
    <x v="0"/>
    <x v="1"/>
    <x v="0"/>
    <x v="2"/>
    <x v="9"/>
    <n v="1"/>
    <n v="1"/>
    <n v="1"/>
    <n v="1"/>
    <x v="0"/>
    <n v="0.1264319832806283"/>
  </r>
  <r>
    <x v="14"/>
    <x v="0"/>
    <x v="1"/>
    <x v="0"/>
    <x v="2"/>
    <x v="0"/>
    <x v="1"/>
    <x v="1"/>
    <x v="2"/>
    <x v="0"/>
    <n v="1"/>
    <n v="1"/>
    <n v="0"/>
    <m/>
    <x v="1"/>
    <n v="4.8105072216363585E-2"/>
  </r>
  <r>
    <x v="12"/>
    <x v="1"/>
    <x v="0"/>
    <x v="0"/>
    <x v="0"/>
    <x v="1"/>
    <x v="1"/>
    <x v="0"/>
    <x v="1"/>
    <x v="4"/>
    <n v="1"/>
    <n v="1"/>
    <n v="0"/>
    <m/>
    <x v="1"/>
    <n v="4.1425033735772165E-2"/>
  </r>
  <r>
    <x v="3"/>
    <x v="1"/>
    <x v="1"/>
    <x v="0"/>
    <x v="2"/>
    <x v="0"/>
    <x v="0"/>
    <x v="0"/>
    <x v="0"/>
    <x v="1"/>
    <n v="1"/>
    <n v="1"/>
    <n v="0"/>
    <m/>
    <x v="1"/>
    <n v="6.7086671775585666E-2"/>
  </r>
  <r>
    <x v="0"/>
    <x v="0"/>
    <x v="1"/>
    <x v="0"/>
    <x v="3"/>
    <x v="1"/>
    <x v="0"/>
    <x v="1"/>
    <x v="2"/>
    <x v="9"/>
    <n v="1"/>
    <n v="1"/>
    <n v="0"/>
    <n v="1"/>
    <x v="0"/>
    <n v="0.22166089127555452"/>
  </r>
  <r>
    <x v="19"/>
    <x v="0"/>
    <x v="0"/>
    <x v="0"/>
    <x v="3"/>
    <x v="1"/>
    <x v="1"/>
    <x v="1"/>
    <x v="2"/>
    <x v="9"/>
    <n v="1"/>
    <n v="1"/>
    <n v="0"/>
    <m/>
    <x v="1"/>
    <n v="0.16248563228241489"/>
  </r>
  <r>
    <x v="20"/>
    <x v="1"/>
    <x v="1"/>
    <x v="2"/>
    <x v="2"/>
    <x v="0"/>
    <x v="1"/>
    <x v="1"/>
    <x v="2"/>
    <x v="8"/>
    <n v="1"/>
    <n v="1"/>
    <n v="0"/>
    <n v="1"/>
    <x v="0"/>
    <n v="9.1334738525727502E-2"/>
  </r>
  <r>
    <x v="0"/>
    <x v="1"/>
    <x v="1"/>
    <x v="2"/>
    <x v="2"/>
    <x v="0"/>
    <x v="0"/>
    <x v="0"/>
    <x v="0"/>
    <x v="8"/>
    <n v="1"/>
    <n v="1"/>
    <n v="0"/>
    <n v="1"/>
    <x v="0"/>
    <n v="8.6424504948779526E-2"/>
  </r>
  <r>
    <x v="0"/>
    <x v="0"/>
    <x v="0"/>
    <x v="0"/>
    <x v="0"/>
    <x v="0"/>
    <x v="1"/>
    <x v="0"/>
    <x v="2"/>
    <x v="0"/>
    <n v="1"/>
    <n v="1"/>
    <n v="0"/>
    <n v="1"/>
    <x v="0"/>
    <n v="4.7244914771732829E-2"/>
  </r>
  <r>
    <x v="19"/>
    <x v="1"/>
    <x v="1"/>
    <x v="2"/>
    <x v="1"/>
    <x v="0"/>
    <x v="0"/>
    <x v="1"/>
    <x v="1"/>
    <x v="3"/>
    <n v="2"/>
    <n v="4"/>
    <n v="0"/>
    <m/>
    <x v="1"/>
    <n v="0.23682609346413264"/>
  </r>
  <r>
    <x v="0"/>
    <x v="0"/>
    <x v="0"/>
    <x v="0"/>
    <x v="3"/>
    <x v="1"/>
    <x v="0"/>
    <x v="1"/>
    <x v="0"/>
    <x v="9"/>
    <n v="1"/>
    <n v="1"/>
    <n v="0"/>
    <n v="1"/>
    <x v="0"/>
    <n v="0.15440023172603565"/>
  </r>
  <r>
    <x v="0"/>
    <x v="1"/>
    <x v="1"/>
    <x v="1"/>
    <x v="0"/>
    <x v="0"/>
    <x v="1"/>
    <x v="1"/>
    <x v="0"/>
    <x v="6"/>
    <n v="1"/>
    <n v="1"/>
    <n v="0"/>
    <n v="1"/>
    <x v="0"/>
    <n v="1.0463975714453297E-2"/>
  </r>
  <r>
    <x v="8"/>
    <x v="0"/>
    <x v="1"/>
    <x v="2"/>
    <x v="2"/>
    <x v="0"/>
    <x v="0"/>
    <x v="1"/>
    <x v="1"/>
    <x v="4"/>
    <n v="1"/>
    <n v="1"/>
    <n v="0"/>
    <m/>
    <x v="1"/>
    <n v="3.9524266772527843E-2"/>
  </r>
  <r>
    <x v="3"/>
    <x v="1"/>
    <x v="0"/>
    <x v="2"/>
    <x v="0"/>
    <x v="0"/>
    <x v="1"/>
    <x v="0"/>
    <x v="2"/>
    <x v="8"/>
    <n v="1"/>
    <n v="2"/>
    <n v="0"/>
    <m/>
    <x v="1"/>
    <n v="0.17954900146378353"/>
  </r>
  <r>
    <x v="0"/>
    <x v="1"/>
    <x v="0"/>
    <x v="2"/>
    <x v="0"/>
    <x v="0"/>
    <x v="1"/>
    <x v="1"/>
    <x v="0"/>
    <x v="2"/>
    <n v="1"/>
    <n v="1"/>
    <n v="0"/>
    <n v="1"/>
    <x v="0"/>
    <n v="4.2069997453546046E-2"/>
  </r>
  <r>
    <x v="20"/>
    <x v="0"/>
    <x v="0"/>
    <x v="0"/>
    <x v="2"/>
    <x v="1"/>
    <x v="0"/>
    <x v="0"/>
    <x v="2"/>
    <x v="9"/>
    <n v="1"/>
    <n v="1"/>
    <n v="0"/>
    <n v="1"/>
    <x v="0"/>
    <n v="0.23237226266969685"/>
  </r>
  <r>
    <x v="8"/>
    <x v="1"/>
    <x v="0"/>
    <x v="1"/>
    <x v="1"/>
    <x v="1"/>
    <x v="0"/>
    <x v="1"/>
    <x v="2"/>
    <x v="9"/>
    <n v="0"/>
    <n v="2"/>
    <n v="0"/>
    <m/>
    <x v="1"/>
    <n v="0.34867187470553301"/>
  </r>
  <r>
    <x v="18"/>
    <x v="1"/>
    <x v="1"/>
    <x v="0"/>
    <x v="3"/>
    <x v="1"/>
    <x v="1"/>
    <x v="1"/>
    <x v="0"/>
    <x v="1"/>
    <n v="0"/>
    <n v="1"/>
    <n v="0"/>
    <m/>
    <x v="1"/>
    <n v="8.3167200953685433E-2"/>
  </r>
  <r>
    <x v="2"/>
    <x v="0"/>
    <x v="1"/>
    <x v="0"/>
    <x v="0"/>
    <x v="1"/>
    <x v="0"/>
    <x v="0"/>
    <x v="0"/>
    <x v="3"/>
    <n v="0"/>
    <n v="3"/>
    <n v="0"/>
    <m/>
    <x v="1"/>
    <n v="0.17990673543263827"/>
  </r>
  <r>
    <x v="8"/>
    <x v="0"/>
    <x v="1"/>
    <x v="0"/>
    <x v="3"/>
    <x v="1"/>
    <x v="0"/>
    <x v="0"/>
    <x v="0"/>
    <x v="8"/>
    <n v="0"/>
    <n v="4"/>
    <n v="0"/>
    <m/>
    <x v="1"/>
    <n v="0.45015706408735467"/>
  </r>
  <r>
    <x v="10"/>
    <x v="0"/>
    <x v="0"/>
    <x v="2"/>
    <x v="1"/>
    <x v="1"/>
    <x v="0"/>
    <x v="1"/>
    <x v="0"/>
    <x v="9"/>
    <n v="0"/>
    <n v="5"/>
    <n v="0"/>
    <m/>
    <x v="1"/>
    <n v="0.76042043225949185"/>
  </r>
  <r>
    <x v="19"/>
    <x v="0"/>
    <x v="1"/>
    <x v="0"/>
    <x v="2"/>
    <x v="1"/>
    <x v="0"/>
    <x v="1"/>
    <x v="1"/>
    <x v="0"/>
    <n v="0"/>
    <n v="2"/>
    <n v="0"/>
    <m/>
    <x v="1"/>
    <n v="0.11599515635345517"/>
  </r>
  <r>
    <x v="2"/>
    <x v="0"/>
    <x v="0"/>
    <x v="2"/>
    <x v="3"/>
    <x v="1"/>
    <x v="0"/>
    <x v="1"/>
    <x v="0"/>
    <x v="9"/>
    <n v="0"/>
    <n v="2"/>
    <n v="0"/>
    <m/>
    <x v="1"/>
    <n v="0.38736234302699285"/>
  </r>
  <r>
    <x v="21"/>
    <x v="1"/>
    <x v="1"/>
    <x v="1"/>
    <x v="1"/>
    <x v="1"/>
    <x v="0"/>
    <x v="1"/>
    <x v="1"/>
    <x v="4"/>
    <n v="0"/>
    <n v="2"/>
    <n v="0"/>
    <m/>
    <x v="1"/>
    <n v="8.2352453043408685E-2"/>
  </r>
  <r>
    <x v="19"/>
    <x v="1"/>
    <x v="1"/>
    <x v="0"/>
    <x v="1"/>
    <x v="1"/>
    <x v="0"/>
    <x v="1"/>
    <x v="0"/>
    <x v="9"/>
    <n v="0"/>
    <n v="2"/>
    <n v="0"/>
    <m/>
    <x v="1"/>
    <n v="0.25047186248679471"/>
  </r>
  <r>
    <x v="6"/>
    <x v="1"/>
    <x v="1"/>
    <x v="2"/>
    <x v="1"/>
    <x v="0"/>
    <x v="1"/>
    <x v="1"/>
    <x v="2"/>
    <x v="8"/>
    <n v="0"/>
    <n v="1"/>
    <n v="0"/>
    <m/>
    <x v="1"/>
    <n v="9.2288009199611248E-2"/>
  </r>
  <r>
    <x v="21"/>
    <x v="0"/>
    <x v="0"/>
    <x v="0"/>
    <x v="3"/>
    <x v="0"/>
    <x v="1"/>
    <x v="1"/>
    <x v="2"/>
    <x v="8"/>
    <n v="0"/>
    <n v="1"/>
    <n v="0"/>
    <m/>
    <x v="1"/>
    <n v="8.9725737736983821E-2"/>
  </r>
  <r>
    <x v="18"/>
    <x v="1"/>
    <x v="1"/>
    <x v="0"/>
    <x v="0"/>
    <x v="0"/>
    <x v="0"/>
    <x v="0"/>
    <x v="2"/>
    <x v="8"/>
    <n v="0"/>
    <n v="1"/>
    <n v="0"/>
    <m/>
    <x v="1"/>
    <n v="9.9142550923112027E-2"/>
  </r>
  <r>
    <x v="2"/>
    <x v="1"/>
    <x v="0"/>
    <x v="2"/>
    <x v="2"/>
    <x v="0"/>
    <x v="0"/>
    <x v="1"/>
    <x v="2"/>
    <x v="9"/>
    <n v="0"/>
    <n v="4"/>
    <n v="0"/>
    <m/>
    <x v="1"/>
    <n v="0.93698895724395781"/>
  </r>
  <r>
    <x v="2"/>
    <x v="1"/>
    <x v="0"/>
    <x v="1"/>
    <x v="0"/>
    <x v="0"/>
    <x v="0"/>
    <x v="0"/>
    <x v="2"/>
    <x v="1"/>
    <n v="0"/>
    <n v="1"/>
    <n v="0"/>
    <m/>
    <x v="1"/>
    <n v="6.7402860630559377E-2"/>
  </r>
  <r>
    <x v="16"/>
    <x v="0"/>
    <x v="1"/>
    <x v="2"/>
    <x v="1"/>
    <x v="1"/>
    <x v="0"/>
    <x v="1"/>
    <x v="1"/>
    <x v="1"/>
    <n v="0"/>
    <n v="3"/>
    <n v="0"/>
    <m/>
    <x v="1"/>
    <n v="0.22716649774048389"/>
  </r>
  <r>
    <x v="10"/>
    <x v="0"/>
    <x v="0"/>
    <x v="0"/>
    <x v="3"/>
    <x v="0"/>
    <x v="1"/>
    <x v="1"/>
    <x v="0"/>
    <x v="2"/>
    <n v="0"/>
    <n v="1"/>
    <n v="0"/>
    <m/>
    <x v="1"/>
    <n v="4.2045949270268397E-2"/>
  </r>
  <r>
    <x v="21"/>
    <x v="1"/>
    <x v="0"/>
    <x v="0"/>
    <x v="3"/>
    <x v="0"/>
    <x v="1"/>
    <x v="1"/>
    <x v="2"/>
    <x v="9"/>
    <n v="0"/>
    <n v="2"/>
    <n v="0"/>
    <m/>
    <x v="1"/>
    <n v="0.25940336775922235"/>
  </r>
  <r>
    <x v="11"/>
    <x v="1"/>
    <x v="1"/>
    <x v="1"/>
    <x v="1"/>
    <x v="0"/>
    <x v="0"/>
    <x v="1"/>
    <x v="1"/>
    <x v="5"/>
    <n v="0"/>
    <n v="1"/>
    <n v="0"/>
    <m/>
    <x v="1"/>
    <n v="2.1352855449696815E-2"/>
  </r>
  <r>
    <x v="16"/>
    <x v="0"/>
    <x v="1"/>
    <x v="0"/>
    <x v="0"/>
    <x v="0"/>
    <x v="0"/>
    <x v="1"/>
    <x v="2"/>
    <x v="1"/>
    <n v="0"/>
    <n v="1"/>
    <n v="0"/>
    <m/>
    <x v="1"/>
    <n v="6.785105877159095E-2"/>
  </r>
  <r>
    <x v="15"/>
    <x v="0"/>
    <x v="1"/>
    <x v="2"/>
    <x v="2"/>
    <x v="0"/>
    <x v="0"/>
    <x v="1"/>
    <x v="2"/>
    <x v="8"/>
    <n v="0"/>
    <n v="1"/>
    <n v="0"/>
    <m/>
    <x v="0"/>
    <n v="0.12320370260660997"/>
  </r>
  <r>
    <x v="11"/>
    <x v="1"/>
    <x v="0"/>
    <x v="0"/>
    <x v="3"/>
    <x v="1"/>
    <x v="0"/>
    <x v="1"/>
    <x v="2"/>
    <x v="9"/>
    <n v="0"/>
    <n v="2"/>
    <n v="0"/>
    <m/>
    <x v="1"/>
    <n v="0.76542055614954618"/>
  </r>
  <r>
    <x v="22"/>
    <x v="0"/>
    <x v="1"/>
    <x v="0"/>
    <x v="3"/>
    <x v="0"/>
    <x v="1"/>
    <x v="1"/>
    <x v="1"/>
    <x v="5"/>
    <n v="0"/>
    <n v="1"/>
    <n v="0"/>
    <m/>
    <x v="0"/>
    <n v="1.9653885350930222E-2"/>
  </r>
  <r>
    <x v="20"/>
    <x v="1"/>
    <x v="0"/>
    <x v="1"/>
    <x v="2"/>
    <x v="1"/>
    <x v="1"/>
    <x v="1"/>
    <x v="1"/>
    <x v="7"/>
    <n v="0"/>
    <n v="1"/>
    <n v="0"/>
    <m/>
    <x v="0"/>
    <n v="2.811008520036597E-2"/>
  </r>
  <r>
    <x v="8"/>
    <x v="0"/>
    <x v="1"/>
    <x v="0"/>
    <x v="2"/>
    <x v="1"/>
    <x v="1"/>
    <x v="0"/>
    <x v="2"/>
    <x v="8"/>
    <n v="0"/>
    <n v="1"/>
    <n v="0"/>
    <m/>
    <x v="1"/>
    <n v="9.0468526032261742E-2"/>
  </r>
  <r>
    <x v="13"/>
    <x v="1"/>
    <x v="1"/>
    <x v="1"/>
    <x v="0"/>
    <x v="0"/>
    <x v="0"/>
    <x v="0"/>
    <x v="1"/>
    <x v="6"/>
    <n v="0"/>
    <n v="1"/>
    <n v="0"/>
    <m/>
    <x v="1"/>
    <n v="1.4486748808385878E-2"/>
  </r>
  <r>
    <x v="7"/>
    <x v="0"/>
    <x v="0"/>
    <x v="2"/>
    <x v="3"/>
    <x v="1"/>
    <x v="0"/>
    <x v="1"/>
    <x v="2"/>
    <x v="9"/>
    <n v="0"/>
    <n v="1"/>
    <n v="0"/>
    <m/>
    <x v="1"/>
    <n v="0.35041457657899155"/>
  </r>
  <r>
    <x v="2"/>
    <x v="0"/>
    <x v="0"/>
    <x v="0"/>
    <x v="3"/>
    <x v="1"/>
    <x v="1"/>
    <x v="1"/>
    <x v="2"/>
    <x v="9"/>
    <n v="0"/>
    <n v="1"/>
    <n v="0"/>
    <m/>
    <x v="1"/>
    <n v="0.16248563228241489"/>
  </r>
  <r>
    <x v="18"/>
    <x v="1"/>
    <x v="0"/>
    <x v="2"/>
    <x v="0"/>
    <x v="0"/>
    <x v="0"/>
    <x v="0"/>
    <x v="1"/>
    <x v="0"/>
    <n v="0"/>
    <n v="1"/>
    <n v="0"/>
    <m/>
    <x v="1"/>
    <n v="5.7536894305784736E-2"/>
  </r>
  <r>
    <x v="14"/>
    <x v="1"/>
    <x v="0"/>
    <x v="2"/>
    <x v="2"/>
    <x v="1"/>
    <x v="0"/>
    <x v="0"/>
    <x v="2"/>
    <x v="9"/>
    <n v="0"/>
    <n v="1"/>
    <n v="0"/>
    <m/>
    <x v="1"/>
    <n v="0.37581664832801498"/>
  </r>
  <r>
    <x v="14"/>
    <x v="1"/>
    <x v="0"/>
    <x v="1"/>
    <x v="0"/>
    <x v="0"/>
    <x v="0"/>
    <x v="0"/>
    <x v="2"/>
    <x v="1"/>
    <n v="0"/>
    <n v="2"/>
    <n v="0"/>
    <m/>
    <x v="1"/>
    <n v="0.13480572126111875"/>
  </r>
  <r>
    <x v="4"/>
    <x v="1"/>
    <x v="1"/>
    <x v="0"/>
    <x v="2"/>
    <x v="1"/>
    <x v="0"/>
    <x v="1"/>
    <x v="1"/>
    <x v="8"/>
    <n v="0"/>
    <n v="2"/>
    <n v="0"/>
    <m/>
    <x v="1"/>
    <n v="0.17032001033339855"/>
  </r>
  <r>
    <x v="22"/>
    <x v="1"/>
    <x v="1"/>
    <x v="0"/>
    <x v="0"/>
    <x v="1"/>
    <x v="1"/>
    <x v="0"/>
    <x v="1"/>
    <x v="7"/>
    <n v="0"/>
    <n v="1"/>
    <n v="0"/>
    <m/>
    <x v="0"/>
    <n v="2.9138416298841268E-2"/>
  </r>
  <r>
    <x v="4"/>
    <x v="0"/>
    <x v="0"/>
    <x v="2"/>
    <x v="3"/>
    <x v="1"/>
    <x v="0"/>
    <x v="1"/>
    <x v="2"/>
    <x v="9"/>
    <n v="0"/>
    <n v="1"/>
    <n v="0"/>
    <m/>
    <x v="1"/>
    <n v="0.35041457657899155"/>
  </r>
  <r>
    <x v="2"/>
    <x v="0"/>
    <x v="0"/>
    <x v="2"/>
    <x v="2"/>
    <x v="1"/>
    <x v="0"/>
    <x v="0"/>
    <x v="1"/>
    <x v="8"/>
    <n v="0"/>
    <n v="1"/>
    <n v="0"/>
    <m/>
    <x v="1"/>
    <n v="0.10444244110474776"/>
  </r>
  <r>
    <x v="21"/>
    <x v="0"/>
    <x v="1"/>
    <x v="2"/>
    <x v="0"/>
    <x v="0"/>
    <x v="1"/>
    <x v="0"/>
    <x v="1"/>
    <x v="6"/>
    <n v="0"/>
    <n v="1"/>
    <n v="0"/>
    <m/>
    <x v="1"/>
    <n v="1.3093969311862536E-2"/>
  </r>
  <r>
    <x v="21"/>
    <x v="0"/>
    <x v="1"/>
    <x v="1"/>
    <x v="1"/>
    <x v="1"/>
    <x v="0"/>
    <x v="1"/>
    <x v="2"/>
    <x v="8"/>
    <n v="0"/>
    <n v="1"/>
    <n v="0"/>
    <m/>
    <x v="1"/>
    <n v="8.8413868051613997E-2"/>
  </r>
  <r>
    <x v="11"/>
    <x v="1"/>
    <x v="1"/>
    <x v="0"/>
    <x v="1"/>
    <x v="1"/>
    <x v="0"/>
    <x v="1"/>
    <x v="2"/>
    <x v="9"/>
    <n v="0"/>
    <n v="2"/>
    <n v="0"/>
    <m/>
    <x v="1"/>
    <n v="0.48658722264038706"/>
  </r>
  <r>
    <x v="1"/>
    <x v="0"/>
    <x v="0"/>
    <x v="0"/>
    <x v="3"/>
    <x v="1"/>
    <x v="0"/>
    <x v="0"/>
    <x v="2"/>
    <x v="9"/>
    <n v="0"/>
    <n v="1"/>
    <n v="0"/>
    <m/>
    <x v="0"/>
    <n v="0.29081078354285356"/>
  </r>
  <r>
    <x v="21"/>
    <x v="1"/>
    <x v="1"/>
    <x v="2"/>
    <x v="1"/>
    <x v="1"/>
    <x v="0"/>
    <x v="1"/>
    <x v="2"/>
    <x v="9"/>
    <n v="0"/>
    <n v="1"/>
    <n v="0"/>
    <m/>
    <x v="1"/>
    <n v="0.29724028639102335"/>
  </r>
  <r>
    <x v="21"/>
    <x v="1"/>
    <x v="0"/>
    <x v="2"/>
    <x v="0"/>
    <x v="0"/>
    <x v="1"/>
    <x v="1"/>
    <x v="2"/>
    <x v="8"/>
    <n v="0"/>
    <n v="1"/>
    <n v="0"/>
    <m/>
    <x v="1"/>
    <n v="8.9774500731891763E-2"/>
  </r>
  <r>
    <x v="21"/>
    <x v="0"/>
    <x v="0"/>
    <x v="2"/>
    <x v="1"/>
    <x v="1"/>
    <x v="0"/>
    <x v="1"/>
    <x v="2"/>
    <x v="9"/>
    <n v="0"/>
    <n v="1"/>
    <n v="0"/>
    <m/>
    <x v="1"/>
    <n v="0.28714321825078692"/>
  </r>
  <r>
    <x v="4"/>
    <x v="0"/>
    <x v="1"/>
    <x v="2"/>
    <x v="2"/>
    <x v="0"/>
    <x v="1"/>
    <x v="0"/>
    <x v="2"/>
    <x v="3"/>
    <n v="0"/>
    <n v="1"/>
    <n v="0"/>
    <m/>
    <x v="1"/>
    <n v="6.2337033552238463E-2"/>
  </r>
  <r>
    <x v="7"/>
    <x v="0"/>
    <x v="0"/>
    <x v="2"/>
    <x v="0"/>
    <x v="0"/>
    <x v="1"/>
    <x v="0"/>
    <x v="0"/>
    <x v="7"/>
    <n v="0"/>
    <n v="1"/>
    <n v="0"/>
    <m/>
    <x v="1"/>
    <n v="2.8227386446598338E-2"/>
  </r>
  <r>
    <x v="19"/>
    <x v="1"/>
    <x v="1"/>
    <x v="0"/>
    <x v="0"/>
    <x v="1"/>
    <x v="0"/>
    <x v="0"/>
    <x v="1"/>
    <x v="3"/>
    <n v="0"/>
    <n v="1"/>
    <n v="0"/>
    <m/>
    <x v="1"/>
    <n v="5.9651729761640827E-2"/>
  </r>
  <r>
    <x v="22"/>
    <x v="1"/>
    <x v="0"/>
    <x v="2"/>
    <x v="1"/>
    <x v="1"/>
    <x v="0"/>
    <x v="1"/>
    <x v="0"/>
    <x v="9"/>
    <n v="0"/>
    <n v="1"/>
    <n v="0"/>
    <m/>
    <x v="0"/>
    <n v="0.21333167671907721"/>
  </r>
  <r>
    <x v="4"/>
    <x v="1"/>
    <x v="0"/>
    <x v="0"/>
    <x v="0"/>
    <x v="0"/>
    <x v="1"/>
    <x v="1"/>
    <x v="2"/>
    <x v="1"/>
    <n v="0"/>
    <n v="1"/>
    <n v="0"/>
    <m/>
    <x v="1"/>
    <n v="6.974431660442891E-2"/>
  </r>
  <r>
    <x v="2"/>
    <x v="0"/>
    <x v="1"/>
    <x v="0"/>
    <x v="2"/>
    <x v="0"/>
    <x v="0"/>
    <x v="1"/>
    <x v="2"/>
    <x v="8"/>
    <n v="0"/>
    <n v="1"/>
    <n v="0"/>
    <m/>
    <x v="1"/>
    <n v="9.650569894562866E-2"/>
  </r>
  <r>
    <x v="14"/>
    <x v="1"/>
    <x v="1"/>
    <x v="2"/>
    <x v="3"/>
    <x v="0"/>
    <x v="0"/>
    <x v="1"/>
    <x v="0"/>
    <x v="8"/>
    <n v="0"/>
    <n v="1"/>
    <n v="0"/>
    <m/>
    <x v="1"/>
    <n v="0.1135904083592236"/>
  </r>
  <r>
    <x v="18"/>
    <x v="1"/>
    <x v="0"/>
    <x v="1"/>
    <x v="0"/>
    <x v="0"/>
    <x v="1"/>
    <x v="0"/>
    <x v="1"/>
    <x v="6"/>
    <n v="0"/>
    <n v="1"/>
    <n v="0"/>
    <m/>
    <x v="1"/>
    <n v="9.9147897890897955E-3"/>
  </r>
  <r>
    <x v="19"/>
    <x v="0"/>
    <x v="0"/>
    <x v="2"/>
    <x v="2"/>
    <x v="1"/>
    <x v="0"/>
    <x v="1"/>
    <x v="1"/>
    <x v="8"/>
    <n v="0"/>
    <n v="1"/>
    <n v="0"/>
    <m/>
    <x v="1"/>
    <n v="0.10444244110474776"/>
  </r>
  <r>
    <x v="18"/>
    <x v="0"/>
    <x v="0"/>
    <x v="2"/>
    <x v="3"/>
    <x v="0"/>
    <x v="0"/>
    <x v="1"/>
    <x v="0"/>
    <x v="8"/>
    <n v="0"/>
    <n v="1"/>
    <n v="0"/>
    <m/>
    <x v="1"/>
    <n v="0.10876628283524353"/>
  </r>
  <r>
    <x v="9"/>
    <x v="1"/>
    <x v="0"/>
    <x v="0"/>
    <x v="3"/>
    <x v="1"/>
    <x v="1"/>
    <x v="0"/>
    <x v="2"/>
    <x v="9"/>
    <n v="0"/>
    <n v="2"/>
    <n v="0"/>
    <m/>
    <x v="0"/>
    <n v="0.45360338404829004"/>
  </r>
  <r>
    <x v="8"/>
    <x v="1"/>
    <x v="1"/>
    <x v="2"/>
    <x v="1"/>
    <x v="1"/>
    <x v="0"/>
    <x v="1"/>
    <x v="2"/>
    <x v="9"/>
    <n v="0"/>
    <n v="1"/>
    <n v="0"/>
    <m/>
    <x v="1"/>
    <n v="0.29724028639102335"/>
  </r>
  <r>
    <x v="8"/>
    <x v="1"/>
    <x v="0"/>
    <x v="0"/>
    <x v="2"/>
    <x v="0"/>
    <x v="1"/>
    <x v="1"/>
    <x v="0"/>
    <x v="0"/>
    <n v="0"/>
    <n v="1"/>
    <n v="0"/>
    <m/>
    <x v="1"/>
    <n v="4.6701039199944734E-2"/>
  </r>
  <r>
    <x v="3"/>
    <x v="1"/>
    <x v="0"/>
    <x v="0"/>
    <x v="3"/>
    <x v="0"/>
    <x v="0"/>
    <x v="1"/>
    <x v="0"/>
    <x v="8"/>
    <n v="0"/>
    <n v="1"/>
    <n v="0"/>
    <m/>
    <x v="1"/>
    <n v="0.12300803466666659"/>
  </r>
  <r>
    <x v="10"/>
    <x v="0"/>
    <x v="1"/>
    <x v="0"/>
    <x v="0"/>
    <x v="0"/>
    <x v="0"/>
    <x v="1"/>
    <x v="2"/>
    <x v="1"/>
    <n v="0"/>
    <n v="1"/>
    <n v="0"/>
    <m/>
    <x v="1"/>
    <n v="6.785105877159095E-2"/>
  </r>
  <r>
    <x v="15"/>
    <x v="0"/>
    <x v="0"/>
    <x v="1"/>
    <x v="2"/>
    <x v="0"/>
    <x v="0"/>
    <x v="1"/>
    <x v="0"/>
    <x v="7"/>
    <n v="0"/>
    <n v="1"/>
    <n v="0"/>
    <m/>
    <x v="0"/>
    <n v="3.0288991469430131E-2"/>
  </r>
  <r>
    <x v="21"/>
    <x v="0"/>
    <x v="1"/>
    <x v="2"/>
    <x v="3"/>
    <x v="1"/>
    <x v="0"/>
    <x v="1"/>
    <x v="2"/>
    <x v="9"/>
    <n v="0"/>
    <n v="1"/>
    <n v="0"/>
    <m/>
    <x v="1"/>
    <n v="0.27253844728178028"/>
  </r>
  <r>
    <x v="20"/>
    <x v="1"/>
    <x v="0"/>
    <x v="2"/>
    <x v="1"/>
    <x v="1"/>
    <x v="0"/>
    <x v="1"/>
    <x v="0"/>
    <x v="9"/>
    <n v="0"/>
    <n v="1"/>
    <n v="0"/>
    <m/>
    <x v="0"/>
    <n v="0.21333167671907721"/>
  </r>
  <r>
    <x v="21"/>
    <x v="1"/>
    <x v="1"/>
    <x v="2"/>
    <x v="0"/>
    <x v="0"/>
    <x v="1"/>
    <x v="1"/>
    <x v="1"/>
    <x v="5"/>
    <n v="0"/>
    <n v="1"/>
    <n v="0"/>
    <m/>
    <x v="1"/>
    <n v="1.9665389303685415E-2"/>
  </r>
  <r>
    <x v="17"/>
    <x v="0"/>
    <x v="1"/>
    <x v="1"/>
    <x v="1"/>
    <x v="1"/>
    <x v="0"/>
    <x v="1"/>
    <x v="2"/>
    <x v="8"/>
    <n v="0"/>
    <n v="1"/>
    <n v="0"/>
    <m/>
    <x v="0"/>
    <n v="8.8413868051613997E-2"/>
  </r>
  <r>
    <x v="16"/>
    <x v="1"/>
    <x v="1"/>
    <x v="2"/>
    <x v="1"/>
    <x v="1"/>
    <x v="0"/>
    <x v="1"/>
    <x v="1"/>
    <x v="8"/>
    <n v="0"/>
    <n v="1"/>
    <n v="0"/>
    <m/>
    <x v="1"/>
    <n v="0.11021444940518223"/>
  </r>
  <r>
    <x v="8"/>
    <x v="1"/>
    <x v="0"/>
    <x v="0"/>
    <x v="0"/>
    <x v="0"/>
    <x v="1"/>
    <x v="1"/>
    <x v="2"/>
    <x v="1"/>
    <n v="0"/>
    <n v="1"/>
    <n v="0"/>
    <m/>
    <x v="1"/>
    <n v="6.974431660442891E-2"/>
  </r>
  <r>
    <x v="10"/>
    <x v="1"/>
    <x v="1"/>
    <x v="0"/>
    <x v="0"/>
    <x v="1"/>
    <x v="0"/>
    <x v="0"/>
    <x v="1"/>
    <x v="3"/>
    <n v="0"/>
    <n v="1"/>
    <n v="0"/>
    <m/>
    <x v="1"/>
    <n v="5.9651729761640827E-2"/>
  </r>
  <r>
    <x v="11"/>
    <x v="1"/>
    <x v="1"/>
    <x v="0"/>
    <x v="0"/>
    <x v="0"/>
    <x v="1"/>
    <x v="1"/>
    <x v="0"/>
    <x v="7"/>
    <n v="0"/>
    <n v="1"/>
    <n v="0"/>
    <m/>
    <x v="1"/>
    <n v="2.2659939205773683E-2"/>
  </r>
  <r>
    <x v="18"/>
    <x v="1"/>
    <x v="1"/>
    <x v="0"/>
    <x v="2"/>
    <x v="1"/>
    <x v="1"/>
    <x v="1"/>
    <x v="1"/>
    <x v="2"/>
    <n v="0"/>
    <n v="1"/>
    <n v="0"/>
    <m/>
    <x v="1"/>
    <n v="4.2183923792892507E-2"/>
  </r>
  <r>
    <x v="11"/>
    <x v="0"/>
    <x v="0"/>
    <x v="1"/>
    <x v="1"/>
    <x v="0"/>
    <x v="0"/>
    <x v="1"/>
    <x v="2"/>
    <x v="1"/>
    <n v="0"/>
    <n v="1"/>
    <n v="0"/>
    <m/>
    <x v="1"/>
    <n v="6.6252514174304555E-2"/>
  </r>
  <r>
    <x v="1"/>
    <x v="0"/>
    <x v="1"/>
    <x v="0"/>
    <x v="2"/>
    <x v="0"/>
    <x v="1"/>
    <x v="0"/>
    <x v="0"/>
    <x v="7"/>
    <n v="0"/>
    <n v="1"/>
    <n v="0"/>
    <m/>
    <x v="0"/>
    <n v="2.2007568458762099E-2"/>
  </r>
  <r>
    <x v="15"/>
    <x v="1"/>
    <x v="1"/>
    <x v="2"/>
    <x v="2"/>
    <x v="0"/>
    <x v="1"/>
    <x v="1"/>
    <x v="1"/>
    <x v="7"/>
    <n v="0"/>
    <n v="1"/>
    <n v="0"/>
    <m/>
    <x v="0"/>
    <n v="2.8594659155834135E-2"/>
  </r>
  <r>
    <x v="2"/>
    <x v="0"/>
    <x v="1"/>
    <x v="2"/>
    <x v="2"/>
    <x v="1"/>
    <x v="1"/>
    <x v="1"/>
    <x v="0"/>
    <x v="0"/>
    <n v="0"/>
    <n v="2"/>
    <n v="0"/>
    <m/>
    <x v="1"/>
    <n v="0.11011521471956268"/>
  </r>
  <r>
    <x v="4"/>
    <x v="0"/>
    <x v="1"/>
    <x v="2"/>
    <x v="1"/>
    <x v="1"/>
    <x v="0"/>
    <x v="1"/>
    <x v="0"/>
    <x v="8"/>
    <n v="0"/>
    <n v="1"/>
    <n v="0"/>
    <m/>
    <x v="1"/>
    <n v="0.11076881537434741"/>
  </r>
  <r>
    <x v="2"/>
    <x v="1"/>
    <x v="1"/>
    <x v="0"/>
    <x v="0"/>
    <x v="1"/>
    <x v="0"/>
    <x v="0"/>
    <x v="1"/>
    <x v="3"/>
    <n v="0"/>
    <n v="1"/>
    <n v="0"/>
    <m/>
    <x v="1"/>
    <n v="5.9651729761640827E-2"/>
  </r>
  <r>
    <x v="22"/>
    <x v="0"/>
    <x v="0"/>
    <x v="0"/>
    <x v="2"/>
    <x v="1"/>
    <x v="0"/>
    <x v="0"/>
    <x v="2"/>
    <x v="9"/>
    <n v="0"/>
    <n v="1"/>
    <n v="0"/>
    <m/>
    <x v="0"/>
    <n v="0.23237226266969685"/>
  </r>
  <r>
    <x v="17"/>
    <x v="1"/>
    <x v="1"/>
    <x v="0"/>
    <x v="0"/>
    <x v="1"/>
    <x v="0"/>
    <x v="0"/>
    <x v="1"/>
    <x v="3"/>
    <n v="0"/>
    <n v="1"/>
    <n v="0"/>
    <m/>
    <x v="0"/>
    <n v="5.9651729761640827E-2"/>
  </r>
  <r>
    <x v="3"/>
    <x v="0"/>
    <x v="0"/>
    <x v="0"/>
    <x v="0"/>
    <x v="0"/>
    <x v="1"/>
    <x v="0"/>
    <x v="2"/>
    <x v="0"/>
    <n v="0"/>
    <n v="1"/>
    <n v="0"/>
    <m/>
    <x v="1"/>
    <n v="4.7244914771732829E-2"/>
  </r>
  <r>
    <x v="2"/>
    <x v="0"/>
    <x v="0"/>
    <x v="2"/>
    <x v="3"/>
    <x v="0"/>
    <x v="0"/>
    <x v="1"/>
    <x v="1"/>
    <x v="1"/>
    <n v="0"/>
    <n v="1"/>
    <n v="0"/>
    <m/>
    <x v="1"/>
    <n v="7.4300283703463171E-2"/>
  </r>
  <r>
    <x v="16"/>
    <x v="0"/>
    <x v="0"/>
    <x v="1"/>
    <x v="0"/>
    <x v="1"/>
    <x v="1"/>
    <x v="1"/>
    <x v="1"/>
    <x v="6"/>
    <n v="0"/>
    <n v="1"/>
    <n v="0"/>
    <m/>
    <x v="1"/>
    <n v="1.2868595029812536E-2"/>
  </r>
  <r>
    <x v="5"/>
    <x v="0"/>
    <x v="1"/>
    <x v="2"/>
    <x v="1"/>
    <x v="1"/>
    <x v="0"/>
    <x v="1"/>
    <x v="2"/>
    <x v="9"/>
    <n v="0"/>
    <n v="1"/>
    <n v="0"/>
    <m/>
    <x v="0"/>
    <n v="0.21859660432790401"/>
  </r>
  <r>
    <x v="14"/>
    <x v="1"/>
    <x v="0"/>
    <x v="1"/>
    <x v="2"/>
    <x v="0"/>
    <x v="1"/>
    <x v="1"/>
    <x v="2"/>
    <x v="0"/>
    <n v="1"/>
    <n v="1"/>
    <n v="0"/>
    <m/>
    <x v="1"/>
    <n v="4.778062262691999E-2"/>
  </r>
  <r>
    <x v="11"/>
    <x v="0"/>
    <x v="1"/>
    <x v="1"/>
    <x v="2"/>
    <x v="1"/>
    <x v="0"/>
    <x v="1"/>
    <x v="0"/>
    <x v="4"/>
    <n v="0"/>
    <n v="1"/>
    <n v="0"/>
    <m/>
    <x v="1"/>
    <n v="4.0948154717703626E-2"/>
  </r>
  <r>
    <x v="7"/>
    <x v="1"/>
    <x v="0"/>
    <x v="0"/>
    <x v="3"/>
    <x v="1"/>
    <x v="1"/>
    <x v="1"/>
    <x v="2"/>
    <x v="9"/>
    <n v="0"/>
    <n v="1"/>
    <n v="0"/>
    <m/>
    <x v="1"/>
    <n v="0.22680169202414502"/>
  </r>
  <r>
    <x v="10"/>
    <x v="0"/>
    <x v="0"/>
    <x v="0"/>
    <x v="2"/>
    <x v="1"/>
    <x v="1"/>
    <x v="1"/>
    <x v="2"/>
    <x v="9"/>
    <n v="0"/>
    <n v="1"/>
    <n v="0"/>
    <m/>
    <x v="1"/>
    <n v="0.12527880269335515"/>
  </r>
  <r>
    <x v="21"/>
    <x v="1"/>
    <x v="0"/>
    <x v="1"/>
    <x v="1"/>
    <x v="0"/>
    <x v="0"/>
    <x v="1"/>
    <x v="2"/>
    <x v="8"/>
    <n v="0"/>
    <n v="1"/>
    <n v="0"/>
    <m/>
    <x v="1"/>
    <n v="9.6883413810830737E-2"/>
  </r>
  <r>
    <x v="2"/>
    <x v="0"/>
    <x v="1"/>
    <x v="2"/>
    <x v="3"/>
    <x v="0"/>
    <x v="0"/>
    <x v="1"/>
    <x v="1"/>
    <x v="0"/>
    <n v="0"/>
    <n v="1"/>
    <n v="0"/>
    <m/>
    <x v="1"/>
    <n v="5.2799993952800307E-2"/>
  </r>
  <r>
    <x v="4"/>
    <x v="0"/>
    <x v="1"/>
    <x v="0"/>
    <x v="3"/>
    <x v="1"/>
    <x v="1"/>
    <x v="1"/>
    <x v="0"/>
    <x v="0"/>
    <n v="0"/>
    <n v="1"/>
    <n v="0"/>
    <m/>
    <x v="1"/>
    <n v="5.6601068172472908E-2"/>
  </r>
  <r>
    <x v="20"/>
    <x v="0"/>
    <x v="1"/>
    <x v="0"/>
    <x v="0"/>
    <x v="0"/>
    <x v="0"/>
    <x v="0"/>
    <x v="1"/>
    <x v="5"/>
    <n v="18"/>
    <n v="20"/>
    <n v="0"/>
    <n v="18"/>
    <x v="0"/>
    <n v="0.41743914833172191"/>
  </r>
  <r>
    <x v="5"/>
    <x v="0"/>
    <x v="0"/>
    <x v="0"/>
    <x v="1"/>
    <x v="0"/>
    <x v="0"/>
    <x v="1"/>
    <x v="1"/>
    <x v="2"/>
    <n v="85"/>
    <n v="99"/>
    <n v="4"/>
    <n v="79"/>
    <x v="0"/>
    <n v="4.3137990342198247"/>
  </r>
  <r>
    <x v="10"/>
    <x v="1"/>
    <x v="1"/>
    <x v="0"/>
    <x v="1"/>
    <x v="0"/>
    <x v="0"/>
    <x v="1"/>
    <x v="1"/>
    <x v="0"/>
    <n v="8"/>
    <n v="13"/>
    <n v="0"/>
    <m/>
    <x v="1"/>
    <n v="0.59350822877460208"/>
  </r>
  <r>
    <x v="12"/>
    <x v="1"/>
    <x v="0"/>
    <x v="0"/>
    <x v="1"/>
    <x v="1"/>
    <x v="0"/>
    <x v="1"/>
    <x v="1"/>
    <x v="8"/>
    <n v="17"/>
    <n v="28"/>
    <n v="0"/>
    <m/>
    <x v="1"/>
    <n v="3.342916599736343"/>
  </r>
  <r>
    <x v="15"/>
    <x v="0"/>
    <x v="0"/>
    <x v="2"/>
    <x v="0"/>
    <x v="0"/>
    <x v="0"/>
    <x v="1"/>
    <x v="1"/>
    <x v="4"/>
    <n v="7"/>
    <n v="7"/>
    <n v="1"/>
    <n v="7"/>
    <x v="0"/>
    <n v="0.27167899656309996"/>
  </r>
  <r>
    <x v="20"/>
    <x v="0"/>
    <x v="0"/>
    <x v="2"/>
    <x v="0"/>
    <x v="0"/>
    <x v="0"/>
    <x v="0"/>
    <x v="1"/>
    <x v="4"/>
    <n v="12"/>
    <n v="13"/>
    <n v="0"/>
    <n v="11"/>
    <x v="0"/>
    <n v="0.5045467079028999"/>
  </r>
  <r>
    <x v="20"/>
    <x v="1"/>
    <x v="0"/>
    <x v="0"/>
    <x v="1"/>
    <x v="0"/>
    <x v="0"/>
    <x v="1"/>
    <x v="2"/>
    <x v="9"/>
    <n v="24"/>
    <n v="35"/>
    <n v="5"/>
    <n v="24"/>
    <x v="0"/>
    <n v="6.6647093291472874"/>
  </r>
  <r>
    <x v="4"/>
    <x v="0"/>
    <x v="1"/>
    <x v="0"/>
    <x v="0"/>
    <x v="0"/>
    <x v="0"/>
    <x v="1"/>
    <x v="0"/>
    <x v="4"/>
    <n v="2"/>
    <n v="3"/>
    <n v="0"/>
    <m/>
    <x v="1"/>
    <n v="9.4183371371262647E-2"/>
  </r>
  <r>
    <x v="17"/>
    <x v="1"/>
    <x v="0"/>
    <x v="0"/>
    <x v="0"/>
    <x v="0"/>
    <x v="1"/>
    <x v="0"/>
    <x v="1"/>
    <x v="7"/>
    <n v="7"/>
    <n v="10"/>
    <n v="0"/>
    <n v="7"/>
    <x v="0"/>
    <n v="0.21484564003802026"/>
  </r>
  <r>
    <x v="20"/>
    <x v="1"/>
    <x v="0"/>
    <x v="0"/>
    <x v="1"/>
    <x v="0"/>
    <x v="0"/>
    <x v="1"/>
    <x v="1"/>
    <x v="3"/>
    <n v="108"/>
    <n v="127"/>
    <n v="12"/>
    <n v="106"/>
    <x v="0"/>
    <n v="8.1842683408194308"/>
  </r>
  <r>
    <x v="6"/>
    <x v="0"/>
    <x v="0"/>
    <x v="0"/>
    <x v="0"/>
    <x v="0"/>
    <x v="0"/>
    <x v="0"/>
    <x v="1"/>
    <x v="7"/>
    <n v="25"/>
    <n v="25"/>
    <n v="1"/>
    <m/>
    <x v="1"/>
    <n v="0.74449564431984927"/>
  </r>
  <r>
    <x v="20"/>
    <x v="0"/>
    <x v="0"/>
    <x v="0"/>
    <x v="1"/>
    <x v="0"/>
    <x v="0"/>
    <x v="1"/>
    <x v="1"/>
    <x v="2"/>
    <n v="86"/>
    <n v="99"/>
    <n v="3"/>
    <n v="84"/>
    <x v="0"/>
    <n v="4.3137990342198247"/>
  </r>
  <r>
    <x v="5"/>
    <x v="1"/>
    <x v="1"/>
    <x v="2"/>
    <x v="3"/>
    <x v="0"/>
    <x v="0"/>
    <x v="1"/>
    <x v="2"/>
    <x v="9"/>
    <n v="1"/>
    <n v="1"/>
    <n v="0"/>
    <n v="1"/>
    <x v="0"/>
    <n v="0.22347460084418283"/>
  </r>
  <r>
    <x v="4"/>
    <x v="0"/>
    <x v="1"/>
    <x v="0"/>
    <x v="1"/>
    <x v="0"/>
    <x v="0"/>
    <x v="1"/>
    <x v="0"/>
    <x v="0"/>
    <n v="9"/>
    <n v="11"/>
    <n v="0"/>
    <m/>
    <x v="1"/>
    <n v="0.50490954276646005"/>
  </r>
  <r>
    <x v="0"/>
    <x v="1"/>
    <x v="0"/>
    <x v="0"/>
    <x v="0"/>
    <x v="0"/>
    <x v="0"/>
    <x v="0"/>
    <x v="1"/>
    <x v="0"/>
    <n v="45"/>
    <n v="48"/>
    <n v="4"/>
    <n v="41"/>
    <x v="0"/>
    <n v="2.1287521657767119"/>
  </r>
  <r>
    <x v="0"/>
    <x v="0"/>
    <x v="1"/>
    <x v="0"/>
    <x v="0"/>
    <x v="0"/>
    <x v="0"/>
    <x v="0"/>
    <x v="0"/>
    <x v="4"/>
    <n v="6"/>
    <n v="7"/>
    <n v="1"/>
    <n v="6"/>
    <x v="0"/>
    <n v="0.21976119986627948"/>
  </r>
  <r>
    <x v="9"/>
    <x v="0"/>
    <x v="0"/>
    <x v="2"/>
    <x v="1"/>
    <x v="1"/>
    <x v="0"/>
    <x v="1"/>
    <x v="1"/>
    <x v="8"/>
    <n v="7"/>
    <n v="10"/>
    <n v="1"/>
    <n v="6"/>
    <x v="0"/>
    <n v="1.0551663196804721"/>
  </r>
  <r>
    <x v="17"/>
    <x v="0"/>
    <x v="0"/>
    <x v="2"/>
    <x v="1"/>
    <x v="0"/>
    <x v="0"/>
    <x v="1"/>
    <x v="1"/>
    <x v="0"/>
    <n v="12"/>
    <n v="17"/>
    <n v="1"/>
    <n v="12"/>
    <x v="0"/>
    <n v="0.96126021495464842"/>
  </r>
  <r>
    <x v="16"/>
    <x v="0"/>
    <x v="0"/>
    <x v="2"/>
    <x v="3"/>
    <x v="1"/>
    <x v="0"/>
    <x v="1"/>
    <x v="0"/>
    <x v="9"/>
    <n v="1"/>
    <n v="1"/>
    <n v="0"/>
    <m/>
    <x v="1"/>
    <n v="0.19368117151349643"/>
  </r>
  <r>
    <x v="1"/>
    <x v="1"/>
    <x v="1"/>
    <x v="0"/>
    <x v="0"/>
    <x v="0"/>
    <x v="0"/>
    <x v="0"/>
    <x v="1"/>
    <x v="4"/>
    <n v="15"/>
    <n v="17"/>
    <n v="0"/>
    <n v="14"/>
    <x v="0"/>
    <n v="0.53079760474191096"/>
  </r>
  <r>
    <x v="8"/>
    <x v="0"/>
    <x v="0"/>
    <x v="2"/>
    <x v="1"/>
    <x v="0"/>
    <x v="0"/>
    <x v="1"/>
    <x v="1"/>
    <x v="0"/>
    <n v="20"/>
    <n v="30"/>
    <n v="0"/>
    <m/>
    <x v="1"/>
    <n v="1.6963415558023207"/>
  </r>
  <r>
    <x v="5"/>
    <x v="0"/>
    <x v="0"/>
    <x v="2"/>
    <x v="0"/>
    <x v="0"/>
    <x v="0"/>
    <x v="0"/>
    <x v="0"/>
    <x v="0"/>
    <n v="3"/>
    <n v="3"/>
    <n v="0"/>
    <n v="3"/>
    <x v="0"/>
    <n v="0.17353056900629477"/>
  </r>
  <r>
    <x v="9"/>
    <x v="0"/>
    <x v="1"/>
    <x v="0"/>
    <x v="1"/>
    <x v="0"/>
    <x v="0"/>
    <x v="1"/>
    <x v="1"/>
    <x v="4"/>
    <n v="31"/>
    <n v="34"/>
    <n v="2"/>
    <n v="29"/>
    <x v="0"/>
    <n v="1.0427868291253797"/>
  </r>
  <r>
    <x v="17"/>
    <x v="0"/>
    <x v="0"/>
    <x v="0"/>
    <x v="2"/>
    <x v="1"/>
    <x v="1"/>
    <x v="1"/>
    <x v="1"/>
    <x v="4"/>
    <n v="1"/>
    <n v="2"/>
    <n v="0"/>
    <n v="1"/>
    <x v="0"/>
    <n v="8.0509349356369539E-2"/>
  </r>
  <r>
    <x v="16"/>
    <x v="0"/>
    <x v="0"/>
    <x v="0"/>
    <x v="0"/>
    <x v="0"/>
    <x v="0"/>
    <x v="0"/>
    <x v="1"/>
    <x v="7"/>
    <n v="35"/>
    <n v="42"/>
    <n v="0"/>
    <m/>
    <x v="1"/>
    <n v="1.2507526824573467"/>
  </r>
  <r>
    <x v="8"/>
    <x v="0"/>
    <x v="0"/>
    <x v="0"/>
    <x v="0"/>
    <x v="0"/>
    <x v="0"/>
    <x v="1"/>
    <x v="1"/>
    <x v="7"/>
    <n v="22"/>
    <n v="27"/>
    <n v="0"/>
    <m/>
    <x v="1"/>
    <n v="0.80405529586543711"/>
  </r>
  <r>
    <x v="5"/>
    <x v="1"/>
    <x v="1"/>
    <x v="0"/>
    <x v="2"/>
    <x v="0"/>
    <x v="1"/>
    <x v="1"/>
    <x v="2"/>
    <x v="1"/>
    <n v="2"/>
    <n v="2"/>
    <n v="1"/>
    <n v="2"/>
    <x v="0"/>
    <n v="0.14196717402707462"/>
  </r>
  <r>
    <x v="17"/>
    <x v="1"/>
    <x v="0"/>
    <x v="0"/>
    <x v="0"/>
    <x v="0"/>
    <x v="0"/>
    <x v="0"/>
    <x v="0"/>
    <x v="1"/>
    <n v="8"/>
    <n v="11"/>
    <n v="0"/>
    <n v="6"/>
    <x v="0"/>
    <n v="0.72501669934763813"/>
  </r>
  <r>
    <x v="22"/>
    <x v="0"/>
    <x v="0"/>
    <x v="0"/>
    <x v="0"/>
    <x v="0"/>
    <x v="0"/>
    <x v="1"/>
    <x v="1"/>
    <x v="7"/>
    <n v="24"/>
    <n v="29"/>
    <n v="0"/>
    <n v="24"/>
    <x v="0"/>
    <n v="0.86361494741102507"/>
  </r>
  <r>
    <x v="22"/>
    <x v="0"/>
    <x v="0"/>
    <x v="0"/>
    <x v="2"/>
    <x v="0"/>
    <x v="1"/>
    <x v="1"/>
    <x v="1"/>
    <x v="5"/>
    <n v="2"/>
    <n v="2"/>
    <n v="0"/>
    <n v="2"/>
    <x v="0"/>
    <n v="4.1730618848715956E-2"/>
  </r>
  <r>
    <x v="17"/>
    <x v="1"/>
    <x v="0"/>
    <x v="0"/>
    <x v="0"/>
    <x v="0"/>
    <x v="1"/>
    <x v="0"/>
    <x v="0"/>
    <x v="4"/>
    <n v="4"/>
    <n v="5"/>
    <n v="0"/>
    <n v="4"/>
    <x v="0"/>
    <n v="0.16152858191827948"/>
  </r>
  <r>
    <x v="10"/>
    <x v="1"/>
    <x v="1"/>
    <x v="0"/>
    <x v="0"/>
    <x v="0"/>
    <x v="0"/>
    <x v="1"/>
    <x v="1"/>
    <x v="4"/>
    <n v="5"/>
    <n v="5"/>
    <n v="0"/>
    <m/>
    <x v="1"/>
    <n v="0.15611694257115027"/>
  </r>
  <r>
    <x v="10"/>
    <x v="0"/>
    <x v="0"/>
    <x v="0"/>
    <x v="3"/>
    <x v="0"/>
    <x v="0"/>
    <x v="1"/>
    <x v="1"/>
    <x v="0"/>
    <n v="2"/>
    <n v="2"/>
    <n v="0"/>
    <m/>
    <x v="1"/>
    <n v="0.11500907125202124"/>
  </r>
  <r>
    <x v="0"/>
    <x v="0"/>
    <x v="0"/>
    <x v="2"/>
    <x v="2"/>
    <x v="0"/>
    <x v="0"/>
    <x v="1"/>
    <x v="2"/>
    <x v="9"/>
    <n v="4"/>
    <n v="4"/>
    <n v="0"/>
    <n v="4"/>
    <x v="0"/>
    <n v="0.67311723477716279"/>
  </r>
  <r>
    <x v="5"/>
    <x v="1"/>
    <x v="0"/>
    <x v="2"/>
    <x v="0"/>
    <x v="0"/>
    <x v="0"/>
    <x v="1"/>
    <x v="2"/>
    <x v="9"/>
    <n v="1"/>
    <n v="2"/>
    <n v="0"/>
    <n v="1"/>
    <x v="0"/>
    <n v="0.34500564574730752"/>
  </r>
  <r>
    <x v="10"/>
    <x v="1"/>
    <x v="0"/>
    <x v="0"/>
    <x v="0"/>
    <x v="0"/>
    <x v="0"/>
    <x v="0"/>
    <x v="0"/>
    <x v="1"/>
    <n v="9"/>
    <n v="15"/>
    <n v="0"/>
    <m/>
    <x v="1"/>
    <n v="0.98865913547405204"/>
  </r>
  <r>
    <x v="6"/>
    <x v="0"/>
    <x v="0"/>
    <x v="0"/>
    <x v="0"/>
    <x v="0"/>
    <x v="0"/>
    <x v="0"/>
    <x v="0"/>
    <x v="0"/>
    <n v="8"/>
    <n v="9"/>
    <n v="0"/>
    <m/>
    <x v="1"/>
    <n v="0.40129808053568622"/>
  </r>
  <r>
    <x v="0"/>
    <x v="1"/>
    <x v="0"/>
    <x v="2"/>
    <x v="1"/>
    <x v="0"/>
    <x v="0"/>
    <x v="1"/>
    <x v="0"/>
    <x v="8"/>
    <n v="13"/>
    <n v="14"/>
    <n v="1"/>
    <n v="13"/>
    <x v="0"/>
    <n v="1.6953350898497765"/>
  </r>
  <r>
    <x v="22"/>
    <x v="1"/>
    <x v="0"/>
    <x v="0"/>
    <x v="0"/>
    <x v="0"/>
    <x v="0"/>
    <x v="0"/>
    <x v="0"/>
    <x v="1"/>
    <n v="14"/>
    <n v="16"/>
    <n v="1"/>
    <n v="11"/>
    <x v="0"/>
    <n v="1.0545697445056554"/>
  </r>
  <r>
    <x v="4"/>
    <x v="0"/>
    <x v="0"/>
    <x v="0"/>
    <x v="2"/>
    <x v="0"/>
    <x v="0"/>
    <x v="0"/>
    <x v="2"/>
    <x v="9"/>
    <n v="9"/>
    <n v="12"/>
    <n v="0"/>
    <m/>
    <x v="1"/>
    <n v="1.5995819667084334"/>
  </r>
  <r>
    <x v="19"/>
    <x v="0"/>
    <x v="1"/>
    <x v="0"/>
    <x v="0"/>
    <x v="0"/>
    <x v="1"/>
    <x v="0"/>
    <x v="0"/>
    <x v="5"/>
    <n v="1"/>
    <n v="1"/>
    <n v="0"/>
    <m/>
    <x v="1"/>
    <n v="1.5103271786810353E-2"/>
  </r>
  <r>
    <x v="17"/>
    <x v="0"/>
    <x v="0"/>
    <x v="0"/>
    <x v="1"/>
    <x v="0"/>
    <x v="0"/>
    <x v="1"/>
    <x v="2"/>
    <x v="9"/>
    <n v="35"/>
    <n v="47"/>
    <n v="6"/>
    <n v="35"/>
    <x v="0"/>
    <n v="6.3273683503702838"/>
  </r>
  <r>
    <x v="20"/>
    <x v="0"/>
    <x v="1"/>
    <x v="0"/>
    <x v="0"/>
    <x v="1"/>
    <x v="0"/>
    <x v="1"/>
    <x v="0"/>
    <x v="3"/>
    <n v="2"/>
    <n v="2"/>
    <n v="0"/>
    <n v="2"/>
    <x v="0"/>
    <n v="0.11993782362175887"/>
  </r>
  <r>
    <x v="5"/>
    <x v="1"/>
    <x v="0"/>
    <x v="0"/>
    <x v="2"/>
    <x v="0"/>
    <x v="1"/>
    <x v="1"/>
    <x v="0"/>
    <x v="0"/>
    <n v="4"/>
    <n v="5"/>
    <n v="0"/>
    <n v="4"/>
    <x v="0"/>
    <n v="0.23350519599972364"/>
  </r>
  <r>
    <x v="9"/>
    <x v="0"/>
    <x v="0"/>
    <x v="1"/>
    <x v="1"/>
    <x v="0"/>
    <x v="0"/>
    <x v="1"/>
    <x v="1"/>
    <x v="5"/>
    <n v="16"/>
    <n v="17"/>
    <n v="0"/>
    <n v="16"/>
    <x v="0"/>
    <n v="0.34605288329503386"/>
  </r>
  <r>
    <x v="19"/>
    <x v="1"/>
    <x v="0"/>
    <x v="0"/>
    <x v="3"/>
    <x v="1"/>
    <x v="0"/>
    <x v="1"/>
    <x v="1"/>
    <x v="9"/>
    <n v="1"/>
    <n v="1"/>
    <n v="0"/>
    <m/>
    <x v="1"/>
    <n v="0.15366523766540796"/>
  </r>
  <r>
    <x v="12"/>
    <x v="1"/>
    <x v="1"/>
    <x v="1"/>
    <x v="2"/>
    <x v="0"/>
    <x v="0"/>
    <x v="1"/>
    <x v="2"/>
    <x v="1"/>
    <n v="1"/>
    <n v="2"/>
    <n v="0"/>
    <m/>
    <x v="1"/>
    <n v="0.13720718897322309"/>
  </r>
  <r>
    <x v="3"/>
    <x v="0"/>
    <x v="0"/>
    <x v="0"/>
    <x v="0"/>
    <x v="0"/>
    <x v="0"/>
    <x v="0"/>
    <x v="0"/>
    <x v="0"/>
    <n v="20"/>
    <n v="22"/>
    <n v="0"/>
    <m/>
    <x v="1"/>
    <n v="0.98095086353167738"/>
  </r>
  <r>
    <x v="2"/>
    <x v="1"/>
    <x v="1"/>
    <x v="0"/>
    <x v="1"/>
    <x v="1"/>
    <x v="0"/>
    <x v="1"/>
    <x v="1"/>
    <x v="8"/>
    <n v="8"/>
    <n v="10"/>
    <n v="0"/>
    <m/>
    <x v="1"/>
    <n v="0.86054932850323351"/>
  </r>
  <r>
    <x v="4"/>
    <x v="1"/>
    <x v="0"/>
    <x v="0"/>
    <x v="1"/>
    <x v="1"/>
    <x v="0"/>
    <x v="1"/>
    <x v="1"/>
    <x v="8"/>
    <n v="12"/>
    <n v="18"/>
    <n v="0"/>
    <m/>
    <x v="1"/>
    <n v="2.1490178141162204"/>
  </r>
  <r>
    <x v="6"/>
    <x v="0"/>
    <x v="1"/>
    <x v="0"/>
    <x v="0"/>
    <x v="1"/>
    <x v="0"/>
    <x v="0"/>
    <x v="1"/>
    <x v="4"/>
    <n v="3"/>
    <n v="3"/>
    <n v="0"/>
    <m/>
    <x v="1"/>
    <n v="0.12080173903150901"/>
  </r>
  <r>
    <x v="0"/>
    <x v="0"/>
    <x v="1"/>
    <x v="0"/>
    <x v="2"/>
    <x v="1"/>
    <x v="0"/>
    <x v="0"/>
    <x v="1"/>
    <x v="0"/>
    <n v="4"/>
    <n v="4"/>
    <n v="1"/>
    <n v="4"/>
    <x v="0"/>
    <n v="0.23199031270691034"/>
  </r>
  <r>
    <x v="0"/>
    <x v="0"/>
    <x v="0"/>
    <x v="0"/>
    <x v="0"/>
    <x v="0"/>
    <x v="0"/>
    <x v="1"/>
    <x v="1"/>
    <x v="7"/>
    <n v="27"/>
    <n v="29"/>
    <n v="1"/>
    <n v="25"/>
    <x v="0"/>
    <n v="0.86361494741102507"/>
  </r>
  <r>
    <x v="1"/>
    <x v="1"/>
    <x v="1"/>
    <x v="2"/>
    <x v="0"/>
    <x v="0"/>
    <x v="0"/>
    <x v="1"/>
    <x v="0"/>
    <x v="3"/>
    <n v="2"/>
    <n v="2"/>
    <n v="0"/>
    <n v="2"/>
    <x v="0"/>
    <n v="0.12112508691129635"/>
  </r>
  <r>
    <x v="9"/>
    <x v="1"/>
    <x v="0"/>
    <x v="0"/>
    <x v="0"/>
    <x v="0"/>
    <x v="1"/>
    <x v="1"/>
    <x v="1"/>
    <x v="7"/>
    <n v="16"/>
    <n v="17"/>
    <n v="0"/>
    <n v="13"/>
    <x v="0"/>
    <n v="0.36523758806463447"/>
  </r>
  <r>
    <x v="4"/>
    <x v="1"/>
    <x v="1"/>
    <x v="0"/>
    <x v="0"/>
    <x v="0"/>
    <x v="0"/>
    <x v="0"/>
    <x v="0"/>
    <x v="0"/>
    <n v="5"/>
    <n v="5"/>
    <n v="0"/>
    <m/>
    <x v="1"/>
    <n v="0.23357763046412891"/>
  </r>
  <r>
    <x v="18"/>
    <x v="0"/>
    <x v="0"/>
    <x v="0"/>
    <x v="1"/>
    <x v="0"/>
    <x v="0"/>
    <x v="1"/>
    <x v="1"/>
    <x v="2"/>
    <n v="17"/>
    <n v="20"/>
    <n v="0"/>
    <m/>
    <x v="1"/>
    <n v="0.87147455236764126"/>
  </r>
  <r>
    <x v="4"/>
    <x v="0"/>
    <x v="0"/>
    <x v="2"/>
    <x v="0"/>
    <x v="0"/>
    <x v="0"/>
    <x v="1"/>
    <x v="1"/>
    <x v="4"/>
    <n v="6"/>
    <n v="7"/>
    <n v="0"/>
    <m/>
    <x v="1"/>
    <n v="0.27167899656309996"/>
  </r>
  <r>
    <x v="4"/>
    <x v="0"/>
    <x v="1"/>
    <x v="0"/>
    <x v="1"/>
    <x v="0"/>
    <x v="0"/>
    <x v="1"/>
    <x v="2"/>
    <x v="8"/>
    <n v="5"/>
    <n v="14"/>
    <n v="0"/>
    <m/>
    <x v="1"/>
    <n v="1.3651000733211049"/>
  </r>
  <r>
    <x v="15"/>
    <x v="1"/>
    <x v="0"/>
    <x v="0"/>
    <x v="0"/>
    <x v="0"/>
    <x v="0"/>
    <x v="0"/>
    <x v="1"/>
    <x v="0"/>
    <n v="63"/>
    <n v="66"/>
    <n v="5"/>
    <n v="61"/>
    <x v="0"/>
    <n v="2.9270342279429786"/>
  </r>
  <r>
    <x v="1"/>
    <x v="0"/>
    <x v="0"/>
    <x v="0"/>
    <x v="2"/>
    <x v="1"/>
    <x v="0"/>
    <x v="1"/>
    <x v="1"/>
    <x v="1"/>
    <n v="9"/>
    <n v="13"/>
    <n v="0"/>
    <n v="9"/>
    <x v="0"/>
    <n v="1.0586209504628612"/>
  </r>
  <r>
    <x v="18"/>
    <x v="1"/>
    <x v="1"/>
    <x v="0"/>
    <x v="0"/>
    <x v="0"/>
    <x v="1"/>
    <x v="1"/>
    <x v="2"/>
    <x v="0"/>
    <n v="2"/>
    <n v="2"/>
    <n v="0"/>
    <m/>
    <x v="1"/>
    <n v="9.8983805585351997E-2"/>
  </r>
  <r>
    <x v="16"/>
    <x v="0"/>
    <x v="1"/>
    <x v="0"/>
    <x v="2"/>
    <x v="0"/>
    <x v="1"/>
    <x v="1"/>
    <x v="0"/>
    <x v="7"/>
    <n v="2"/>
    <n v="2"/>
    <n v="0"/>
    <m/>
    <x v="1"/>
    <n v="4.4015136917524199E-2"/>
  </r>
  <r>
    <x v="10"/>
    <x v="1"/>
    <x v="0"/>
    <x v="0"/>
    <x v="0"/>
    <x v="0"/>
    <x v="0"/>
    <x v="1"/>
    <x v="1"/>
    <x v="0"/>
    <n v="17"/>
    <n v="18"/>
    <n v="0"/>
    <m/>
    <x v="1"/>
    <n v="0.79828206216626685"/>
  </r>
  <r>
    <x v="3"/>
    <x v="1"/>
    <x v="0"/>
    <x v="0"/>
    <x v="2"/>
    <x v="0"/>
    <x v="0"/>
    <x v="1"/>
    <x v="2"/>
    <x v="9"/>
    <n v="9"/>
    <n v="13"/>
    <n v="0"/>
    <m/>
    <x v="1"/>
    <n v="2.452632499654527"/>
  </r>
  <r>
    <x v="4"/>
    <x v="1"/>
    <x v="1"/>
    <x v="0"/>
    <x v="0"/>
    <x v="0"/>
    <x v="0"/>
    <x v="1"/>
    <x v="0"/>
    <x v="0"/>
    <n v="2"/>
    <n v="3"/>
    <n v="0"/>
    <m/>
    <x v="1"/>
    <n v="0.14014657827847735"/>
  </r>
  <r>
    <x v="20"/>
    <x v="1"/>
    <x v="0"/>
    <x v="0"/>
    <x v="2"/>
    <x v="0"/>
    <x v="0"/>
    <x v="1"/>
    <x v="2"/>
    <x v="9"/>
    <n v="9"/>
    <n v="12"/>
    <n v="2"/>
    <n v="9"/>
    <x v="0"/>
    <n v="2.2639684612195636"/>
  </r>
  <r>
    <x v="9"/>
    <x v="0"/>
    <x v="0"/>
    <x v="0"/>
    <x v="1"/>
    <x v="0"/>
    <x v="0"/>
    <x v="1"/>
    <x v="0"/>
    <x v="1"/>
    <n v="27"/>
    <n v="29"/>
    <n v="2"/>
    <n v="27"/>
    <x v="0"/>
    <n v="1.8787348770193555"/>
  </r>
  <r>
    <x v="19"/>
    <x v="1"/>
    <x v="1"/>
    <x v="0"/>
    <x v="0"/>
    <x v="0"/>
    <x v="0"/>
    <x v="1"/>
    <x v="0"/>
    <x v="0"/>
    <n v="1"/>
    <n v="2"/>
    <n v="0"/>
    <m/>
    <x v="1"/>
    <n v="9.3431052185651564E-2"/>
  </r>
  <r>
    <x v="11"/>
    <x v="1"/>
    <x v="0"/>
    <x v="0"/>
    <x v="3"/>
    <x v="0"/>
    <x v="1"/>
    <x v="1"/>
    <x v="2"/>
    <x v="9"/>
    <n v="2"/>
    <n v="3"/>
    <n v="0"/>
    <m/>
    <x v="1"/>
    <n v="0.38910505163883352"/>
  </r>
  <r>
    <x v="3"/>
    <x v="0"/>
    <x v="0"/>
    <x v="0"/>
    <x v="0"/>
    <x v="0"/>
    <x v="1"/>
    <x v="1"/>
    <x v="2"/>
    <x v="0"/>
    <n v="2"/>
    <n v="4"/>
    <n v="0"/>
    <m/>
    <x v="1"/>
    <n v="0.18897965908693132"/>
  </r>
  <r>
    <x v="3"/>
    <x v="1"/>
    <x v="0"/>
    <x v="0"/>
    <x v="0"/>
    <x v="0"/>
    <x v="1"/>
    <x v="0"/>
    <x v="0"/>
    <x v="4"/>
    <n v="2"/>
    <n v="2"/>
    <n v="0"/>
    <m/>
    <x v="1"/>
    <n v="6.4611432767311794E-2"/>
  </r>
  <r>
    <x v="2"/>
    <x v="0"/>
    <x v="0"/>
    <x v="0"/>
    <x v="1"/>
    <x v="1"/>
    <x v="0"/>
    <x v="1"/>
    <x v="0"/>
    <x v="8"/>
    <n v="12"/>
    <n v="18"/>
    <n v="1"/>
    <m/>
    <x v="1"/>
    <n v="2.1597151058787203"/>
  </r>
  <r>
    <x v="12"/>
    <x v="1"/>
    <x v="0"/>
    <x v="0"/>
    <x v="1"/>
    <x v="0"/>
    <x v="0"/>
    <x v="1"/>
    <x v="1"/>
    <x v="3"/>
    <n v="56"/>
    <n v="69"/>
    <n v="1"/>
    <m/>
    <x v="1"/>
    <n v="4.4465709883192179"/>
  </r>
  <r>
    <x v="2"/>
    <x v="1"/>
    <x v="0"/>
    <x v="2"/>
    <x v="0"/>
    <x v="0"/>
    <x v="0"/>
    <x v="0"/>
    <x v="1"/>
    <x v="0"/>
    <n v="25"/>
    <n v="25"/>
    <n v="1"/>
    <m/>
    <x v="1"/>
    <n v="1.4384223576446182"/>
  </r>
  <r>
    <x v="5"/>
    <x v="1"/>
    <x v="0"/>
    <x v="2"/>
    <x v="0"/>
    <x v="0"/>
    <x v="0"/>
    <x v="0"/>
    <x v="0"/>
    <x v="8"/>
    <n v="5"/>
    <n v="5"/>
    <n v="0"/>
    <n v="5"/>
    <x v="0"/>
    <n v="0.42470152977428904"/>
  </r>
  <r>
    <x v="12"/>
    <x v="0"/>
    <x v="0"/>
    <x v="2"/>
    <x v="1"/>
    <x v="0"/>
    <x v="0"/>
    <x v="1"/>
    <x v="2"/>
    <x v="9"/>
    <n v="7"/>
    <n v="11"/>
    <n v="1"/>
    <m/>
    <x v="1"/>
    <n v="1.868740646940708"/>
  </r>
  <r>
    <x v="6"/>
    <x v="0"/>
    <x v="0"/>
    <x v="2"/>
    <x v="2"/>
    <x v="0"/>
    <x v="0"/>
    <x v="1"/>
    <x v="1"/>
    <x v="0"/>
    <n v="2"/>
    <n v="2"/>
    <n v="1"/>
    <m/>
    <x v="1"/>
    <n v="0.11187579774158009"/>
  </r>
  <r>
    <x v="3"/>
    <x v="1"/>
    <x v="0"/>
    <x v="0"/>
    <x v="3"/>
    <x v="1"/>
    <x v="0"/>
    <x v="1"/>
    <x v="1"/>
    <x v="9"/>
    <n v="2"/>
    <n v="3"/>
    <n v="0"/>
    <m/>
    <x v="1"/>
    <n v="0.46099571299622388"/>
  </r>
  <r>
    <x v="9"/>
    <x v="0"/>
    <x v="0"/>
    <x v="0"/>
    <x v="0"/>
    <x v="1"/>
    <x v="0"/>
    <x v="0"/>
    <x v="1"/>
    <x v="0"/>
    <n v="5"/>
    <n v="7"/>
    <n v="0"/>
    <n v="5"/>
    <x v="0"/>
    <n v="0.39879784994570666"/>
  </r>
  <r>
    <x v="17"/>
    <x v="0"/>
    <x v="1"/>
    <x v="0"/>
    <x v="1"/>
    <x v="0"/>
    <x v="0"/>
    <x v="1"/>
    <x v="2"/>
    <x v="8"/>
    <n v="5"/>
    <n v="7"/>
    <n v="1"/>
    <n v="5"/>
    <x v="0"/>
    <n v="0.68255003666055247"/>
  </r>
  <r>
    <x v="2"/>
    <x v="0"/>
    <x v="1"/>
    <x v="0"/>
    <x v="2"/>
    <x v="0"/>
    <x v="0"/>
    <x v="1"/>
    <x v="1"/>
    <x v="7"/>
    <n v="3"/>
    <n v="4"/>
    <n v="0"/>
    <m/>
    <x v="1"/>
    <n v="0.12132852335944222"/>
  </r>
  <r>
    <x v="22"/>
    <x v="0"/>
    <x v="0"/>
    <x v="0"/>
    <x v="1"/>
    <x v="1"/>
    <x v="0"/>
    <x v="1"/>
    <x v="1"/>
    <x v="1"/>
    <n v="15"/>
    <n v="19"/>
    <n v="2"/>
    <n v="14"/>
    <x v="0"/>
    <n v="1.5635415281483607"/>
  </r>
  <r>
    <x v="20"/>
    <x v="1"/>
    <x v="1"/>
    <x v="0"/>
    <x v="2"/>
    <x v="1"/>
    <x v="0"/>
    <x v="1"/>
    <x v="0"/>
    <x v="8"/>
    <n v="1"/>
    <n v="1"/>
    <n v="0"/>
    <n v="1"/>
    <x v="0"/>
    <n v="0.12398881875313826"/>
  </r>
  <r>
    <x v="6"/>
    <x v="1"/>
    <x v="0"/>
    <x v="0"/>
    <x v="2"/>
    <x v="0"/>
    <x v="1"/>
    <x v="1"/>
    <x v="2"/>
    <x v="8"/>
    <n v="3"/>
    <n v="3"/>
    <n v="0"/>
    <m/>
    <x v="1"/>
    <n v="0.29734048893839099"/>
  </r>
  <r>
    <x v="10"/>
    <x v="1"/>
    <x v="0"/>
    <x v="0"/>
    <x v="0"/>
    <x v="0"/>
    <x v="1"/>
    <x v="1"/>
    <x v="2"/>
    <x v="1"/>
    <n v="1"/>
    <n v="2"/>
    <n v="0"/>
    <m/>
    <x v="1"/>
    <n v="0.13948863320885782"/>
  </r>
  <r>
    <x v="2"/>
    <x v="1"/>
    <x v="0"/>
    <x v="2"/>
    <x v="1"/>
    <x v="0"/>
    <x v="0"/>
    <x v="1"/>
    <x v="1"/>
    <x v="1"/>
    <n v="26"/>
    <n v="39"/>
    <n v="0"/>
    <m/>
    <x v="1"/>
    <n v="3.240382568012659"/>
  </r>
  <r>
    <x v="8"/>
    <x v="1"/>
    <x v="0"/>
    <x v="0"/>
    <x v="2"/>
    <x v="1"/>
    <x v="1"/>
    <x v="0"/>
    <x v="1"/>
    <x v="3"/>
    <n v="1"/>
    <n v="1"/>
    <n v="0"/>
    <m/>
    <x v="1"/>
    <n v="5.9633482189705503E-2"/>
  </r>
  <r>
    <x v="0"/>
    <x v="0"/>
    <x v="0"/>
    <x v="0"/>
    <x v="2"/>
    <x v="1"/>
    <x v="0"/>
    <x v="1"/>
    <x v="1"/>
    <x v="1"/>
    <n v="6"/>
    <n v="8"/>
    <n v="1"/>
    <n v="6"/>
    <x v="0"/>
    <n v="0.65145904643868391"/>
  </r>
  <r>
    <x v="0"/>
    <x v="0"/>
    <x v="1"/>
    <x v="1"/>
    <x v="1"/>
    <x v="0"/>
    <x v="0"/>
    <x v="1"/>
    <x v="1"/>
    <x v="6"/>
    <n v="8"/>
    <n v="9"/>
    <n v="0"/>
    <n v="8"/>
    <x v="0"/>
    <n v="0.12803158357964536"/>
  </r>
  <r>
    <x v="17"/>
    <x v="0"/>
    <x v="0"/>
    <x v="0"/>
    <x v="1"/>
    <x v="1"/>
    <x v="0"/>
    <x v="1"/>
    <x v="1"/>
    <x v="1"/>
    <n v="24"/>
    <n v="27"/>
    <n v="2"/>
    <n v="23"/>
    <x v="0"/>
    <n v="2.221874803158197"/>
  </r>
  <r>
    <x v="16"/>
    <x v="0"/>
    <x v="1"/>
    <x v="0"/>
    <x v="2"/>
    <x v="0"/>
    <x v="0"/>
    <x v="0"/>
    <x v="2"/>
    <x v="8"/>
    <n v="1"/>
    <n v="1"/>
    <n v="0"/>
    <m/>
    <x v="1"/>
    <n v="9.650569894562866E-2"/>
  </r>
  <r>
    <x v="10"/>
    <x v="0"/>
    <x v="1"/>
    <x v="1"/>
    <x v="2"/>
    <x v="0"/>
    <x v="0"/>
    <x v="1"/>
    <x v="0"/>
    <x v="5"/>
    <n v="2"/>
    <n v="2"/>
    <n v="0"/>
    <m/>
    <x v="1"/>
    <n v="4.2464304589112621E-2"/>
  </r>
  <r>
    <x v="22"/>
    <x v="0"/>
    <x v="0"/>
    <x v="0"/>
    <x v="2"/>
    <x v="1"/>
    <x v="0"/>
    <x v="1"/>
    <x v="1"/>
    <x v="1"/>
    <n v="8"/>
    <n v="8"/>
    <n v="0"/>
    <n v="6"/>
    <x v="0"/>
    <n v="0.65145904643868391"/>
  </r>
  <r>
    <x v="15"/>
    <x v="0"/>
    <x v="0"/>
    <x v="0"/>
    <x v="2"/>
    <x v="0"/>
    <x v="0"/>
    <x v="1"/>
    <x v="1"/>
    <x v="2"/>
    <n v="7"/>
    <n v="7"/>
    <n v="0"/>
    <n v="7"/>
    <x v="0"/>
    <n v="0.30169824558351538"/>
  </r>
  <r>
    <x v="21"/>
    <x v="1"/>
    <x v="0"/>
    <x v="0"/>
    <x v="3"/>
    <x v="1"/>
    <x v="0"/>
    <x v="1"/>
    <x v="1"/>
    <x v="9"/>
    <n v="2"/>
    <n v="2"/>
    <n v="0"/>
    <m/>
    <x v="1"/>
    <n v="0.30733047533081592"/>
  </r>
  <r>
    <x v="3"/>
    <x v="1"/>
    <x v="0"/>
    <x v="0"/>
    <x v="0"/>
    <x v="0"/>
    <x v="0"/>
    <x v="0"/>
    <x v="2"/>
    <x v="9"/>
    <n v="9"/>
    <n v="15"/>
    <n v="0"/>
    <m/>
    <x v="1"/>
    <n v="2.0518267094499505"/>
  </r>
  <r>
    <x v="12"/>
    <x v="1"/>
    <x v="0"/>
    <x v="0"/>
    <x v="0"/>
    <x v="0"/>
    <x v="1"/>
    <x v="1"/>
    <x v="1"/>
    <x v="7"/>
    <n v="18"/>
    <n v="18"/>
    <n v="0"/>
    <m/>
    <x v="1"/>
    <n v="0.38672215206843652"/>
  </r>
  <r>
    <x v="14"/>
    <x v="1"/>
    <x v="0"/>
    <x v="0"/>
    <x v="2"/>
    <x v="1"/>
    <x v="0"/>
    <x v="1"/>
    <x v="0"/>
    <x v="9"/>
    <n v="1"/>
    <n v="2"/>
    <n v="1"/>
    <m/>
    <x v="1"/>
    <n v="0.33859241347985619"/>
  </r>
  <r>
    <x v="21"/>
    <x v="0"/>
    <x v="0"/>
    <x v="2"/>
    <x v="0"/>
    <x v="0"/>
    <x v="0"/>
    <x v="0"/>
    <x v="2"/>
    <x v="8"/>
    <n v="4"/>
    <n v="7"/>
    <n v="0"/>
    <m/>
    <x v="1"/>
    <n v="0.84820159342540202"/>
  </r>
  <r>
    <x v="8"/>
    <x v="0"/>
    <x v="0"/>
    <x v="0"/>
    <x v="0"/>
    <x v="0"/>
    <x v="0"/>
    <x v="1"/>
    <x v="0"/>
    <x v="0"/>
    <n v="5"/>
    <n v="8"/>
    <n v="0"/>
    <m/>
    <x v="1"/>
    <n v="0.35670940492060998"/>
  </r>
  <r>
    <x v="0"/>
    <x v="1"/>
    <x v="0"/>
    <x v="0"/>
    <x v="0"/>
    <x v="0"/>
    <x v="0"/>
    <x v="1"/>
    <x v="0"/>
    <x v="1"/>
    <n v="8"/>
    <n v="11"/>
    <n v="0"/>
    <n v="8"/>
    <x v="0"/>
    <n v="0.72501669934763813"/>
  </r>
  <r>
    <x v="6"/>
    <x v="0"/>
    <x v="0"/>
    <x v="2"/>
    <x v="3"/>
    <x v="0"/>
    <x v="0"/>
    <x v="1"/>
    <x v="1"/>
    <x v="1"/>
    <n v="1"/>
    <n v="1"/>
    <n v="0"/>
    <m/>
    <x v="1"/>
    <n v="7.4300283703463171E-2"/>
  </r>
  <r>
    <x v="9"/>
    <x v="1"/>
    <x v="0"/>
    <x v="2"/>
    <x v="2"/>
    <x v="0"/>
    <x v="0"/>
    <x v="1"/>
    <x v="2"/>
    <x v="9"/>
    <n v="8"/>
    <n v="8"/>
    <n v="5"/>
    <n v="8"/>
    <x v="0"/>
    <n v="1.8739779144879158"/>
  </r>
  <r>
    <x v="4"/>
    <x v="0"/>
    <x v="1"/>
    <x v="0"/>
    <x v="1"/>
    <x v="1"/>
    <x v="0"/>
    <x v="1"/>
    <x v="1"/>
    <x v="0"/>
    <n v="5"/>
    <n v="10"/>
    <n v="0"/>
    <m/>
    <x v="1"/>
    <n v="0.58625353913978018"/>
  </r>
  <r>
    <x v="15"/>
    <x v="0"/>
    <x v="0"/>
    <x v="0"/>
    <x v="0"/>
    <x v="0"/>
    <x v="0"/>
    <x v="1"/>
    <x v="0"/>
    <x v="0"/>
    <n v="10"/>
    <n v="13"/>
    <n v="1"/>
    <n v="10"/>
    <x v="0"/>
    <n v="0.57965278299599121"/>
  </r>
  <r>
    <x v="1"/>
    <x v="0"/>
    <x v="0"/>
    <x v="2"/>
    <x v="2"/>
    <x v="0"/>
    <x v="1"/>
    <x v="1"/>
    <x v="1"/>
    <x v="7"/>
    <n v="2"/>
    <n v="2"/>
    <n v="0"/>
    <n v="2"/>
    <x v="0"/>
    <n v="5.4538420949698588E-2"/>
  </r>
  <r>
    <x v="16"/>
    <x v="0"/>
    <x v="0"/>
    <x v="0"/>
    <x v="2"/>
    <x v="0"/>
    <x v="0"/>
    <x v="0"/>
    <x v="1"/>
    <x v="2"/>
    <n v="2"/>
    <n v="2"/>
    <n v="0"/>
    <m/>
    <x v="1"/>
    <n v="8.6199498738147251E-2"/>
  </r>
  <r>
    <x v="21"/>
    <x v="1"/>
    <x v="1"/>
    <x v="2"/>
    <x v="2"/>
    <x v="1"/>
    <x v="0"/>
    <x v="1"/>
    <x v="0"/>
    <x v="9"/>
    <n v="1"/>
    <n v="1"/>
    <n v="0"/>
    <m/>
    <x v="1"/>
    <n v="0.15696901095540433"/>
  </r>
  <r>
    <x v="15"/>
    <x v="0"/>
    <x v="0"/>
    <x v="0"/>
    <x v="1"/>
    <x v="0"/>
    <x v="0"/>
    <x v="1"/>
    <x v="0"/>
    <x v="1"/>
    <n v="29"/>
    <n v="33"/>
    <n v="2"/>
    <n v="28"/>
    <x v="0"/>
    <n v="2.1378707221254736"/>
  </r>
  <r>
    <x v="20"/>
    <x v="0"/>
    <x v="0"/>
    <x v="0"/>
    <x v="1"/>
    <x v="1"/>
    <x v="0"/>
    <x v="1"/>
    <x v="2"/>
    <x v="9"/>
    <n v="11"/>
    <n v="18"/>
    <n v="2"/>
    <n v="11"/>
    <x v="0"/>
    <n v="4.2195204739929295"/>
  </r>
  <r>
    <x v="1"/>
    <x v="0"/>
    <x v="0"/>
    <x v="2"/>
    <x v="1"/>
    <x v="0"/>
    <x v="0"/>
    <x v="1"/>
    <x v="2"/>
    <x v="9"/>
    <n v="6"/>
    <n v="8"/>
    <n v="2"/>
    <n v="6"/>
    <x v="0"/>
    <n v="1.3590841068659696"/>
  </r>
  <r>
    <x v="4"/>
    <x v="0"/>
    <x v="0"/>
    <x v="2"/>
    <x v="2"/>
    <x v="1"/>
    <x v="1"/>
    <x v="1"/>
    <x v="1"/>
    <x v="0"/>
    <n v="1"/>
    <n v="1"/>
    <n v="0"/>
    <m/>
    <x v="1"/>
    <n v="5.2291671314483069E-2"/>
  </r>
  <r>
    <x v="12"/>
    <x v="1"/>
    <x v="0"/>
    <x v="0"/>
    <x v="0"/>
    <x v="1"/>
    <x v="0"/>
    <x v="1"/>
    <x v="1"/>
    <x v="1"/>
    <n v="2"/>
    <n v="2"/>
    <n v="0"/>
    <m/>
    <x v="1"/>
    <n v="0.1673910648723646"/>
  </r>
  <r>
    <x v="8"/>
    <x v="1"/>
    <x v="0"/>
    <x v="0"/>
    <x v="0"/>
    <x v="0"/>
    <x v="0"/>
    <x v="1"/>
    <x v="1"/>
    <x v="0"/>
    <n v="24"/>
    <n v="31"/>
    <n v="0"/>
    <m/>
    <x v="1"/>
    <n v="1.3748191070641262"/>
  </r>
  <r>
    <x v="20"/>
    <x v="0"/>
    <x v="0"/>
    <x v="0"/>
    <x v="2"/>
    <x v="1"/>
    <x v="0"/>
    <x v="1"/>
    <x v="1"/>
    <x v="1"/>
    <n v="9"/>
    <n v="10"/>
    <n v="0"/>
    <n v="9"/>
    <x v="0"/>
    <n v="0.81432380804835491"/>
  </r>
  <r>
    <x v="22"/>
    <x v="0"/>
    <x v="1"/>
    <x v="0"/>
    <x v="1"/>
    <x v="0"/>
    <x v="0"/>
    <x v="1"/>
    <x v="0"/>
    <x v="0"/>
    <n v="4"/>
    <n v="8"/>
    <n v="1"/>
    <n v="4"/>
    <x v="0"/>
    <n v="0.36720694019378908"/>
  </r>
  <r>
    <x v="1"/>
    <x v="1"/>
    <x v="0"/>
    <x v="1"/>
    <x v="1"/>
    <x v="0"/>
    <x v="0"/>
    <x v="1"/>
    <x v="1"/>
    <x v="4"/>
    <n v="7"/>
    <n v="8"/>
    <n v="1"/>
    <n v="6"/>
    <x v="0"/>
    <n v="0.24367663802929052"/>
  </r>
  <r>
    <x v="17"/>
    <x v="0"/>
    <x v="1"/>
    <x v="2"/>
    <x v="1"/>
    <x v="0"/>
    <x v="0"/>
    <x v="1"/>
    <x v="0"/>
    <x v="3"/>
    <n v="2"/>
    <n v="2"/>
    <n v="1"/>
    <n v="2"/>
    <x v="0"/>
    <n v="0.11904297598263569"/>
  </r>
  <r>
    <x v="15"/>
    <x v="1"/>
    <x v="0"/>
    <x v="0"/>
    <x v="0"/>
    <x v="0"/>
    <x v="0"/>
    <x v="0"/>
    <x v="2"/>
    <x v="9"/>
    <n v="10"/>
    <n v="13"/>
    <n v="2"/>
    <n v="10"/>
    <x v="0"/>
    <n v="1.7782498148566239"/>
  </r>
  <r>
    <x v="10"/>
    <x v="1"/>
    <x v="0"/>
    <x v="0"/>
    <x v="0"/>
    <x v="0"/>
    <x v="0"/>
    <x v="0"/>
    <x v="1"/>
    <x v="0"/>
    <n v="37"/>
    <n v="53"/>
    <n v="0"/>
    <m/>
    <x v="1"/>
    <n v="2.3504971830451189"/>
  </r>
  <r>
    <x v="15"/>
    <x v="0"/>
    <x v="1"/>
    <x v="0"/>
    <x v="0"/>
    <x v="0"/>
    <x v="0"/>
    <x v="1"/>
    <x v="1"/>
    <x v="5"/>
    <n v="12"/>
    <n v="12"/>
    <n v="0"/>
    <n v="12"/>
    <x v="0"/>
    <n v="0.25046348899903309"/>
  </r>
  <r>
    <x v="20"/>
    <x v="0"/>
    <x v="1"/>
    <x v="0"/>
    <x v="0"/>
    <x v="0"/>
    <x v="1"/>
    <x v="0"/>
    <x v="1"/>
    <x v="6"/>
    <n v="4"/>
    <n v="4"/>
    <n v="0"/>
    <n v="3"/>
    <x v="0"/>
    <n v="3.993924539493561E-2"/>
  </r>
  <r>
    <x v="20"/>
    <x v="0"/>
    <x v="0"/>
    <x v="0"/>
    <x v="3"/>
    <x v="1"/>
    <x v="0"/>
    <x v="1"/>
    <x v="0"/>
    <x v="9"/>
    <n v="4"/>
    <n v="4"/>
    <n v="0"/>
    <n v="4"/>
    <x v="0"/>
    <n v="0.61760092690414259"/>
  </r>
  <r>
    <x v="19"/>
    <x v="1"/>
    <x v="0"/>
    <x v="1"/>
    <x v="3"/>
    <x v="0"/>
    <x v="1"/>
    <x v="1"/>
    <x v="1"/>
    <x v="5"/>
    <n v="1"/>
    <n v="1"/>
    <n v="0"/>
    <m/>
    <x v="1"/>
    <n v="1.9517393207062139E-2"/>
  </r>
  <r>
    <x v="3"/>
    <x v="1"/>
    <x v="0"/>
    <x v="0"/>
    <x v="0"/>
    <x v="0"/>
    <x v="1"/>
    <x v="0"/>
    <x v="1"/>
    <x v="7"/>
    <n v="9"/>
    <n v="11"/>
    <n v="0"/>
    <m/>
    <x v="1"/>
    <n v="0.23633020404182231"/>
  </r>
  <r>
    <x v="22"/>
    <x v="1"/>
    <x v="0"/>
    <x v="0"/>
    <x v="0"/>
    <x v="0"/>
    <x v="0"/>
    <x v="0"/>
    <x v="1"/>
    <x v="0"/>
    <n v="35"/>
    <n v="42"/>
    <n v="1"/>
    <n v="34"/>
    <x v="0"/>
    <n v="1.8626581450546227"/>
  </r>
  <r>
    <x v="1"/>
    <x v="0"/>
    <x v="1"/>
    <x v="1"/>
    <x v="0"/>
    <x v="0"/>
    <x v="0"/>
    <x v="1"/>
    <x v="0"/>
    <x v="5"/>
    <n v="2"/>
    <n v="2"/>
    <n v="0"/>
    <n v="2"/>
    <x v="0"/>
    <n v="2.9134997104772652E-2"/>
  </r>
  <r>
    <x v="9"/>
    <x v="1"/>
    <x v="0"/>
    <x v="1"/>
    <x v="0"/>
    <x v="0"/>
    <x v="1"/>
    <x v="0"/>
    <x v="1"/>
    <x v="6"/>
    <n v="4"/>
    <n v="4"/>
    <n v="0"/>
    <n v="3"/>
    <x v="0"/>
    <n v="3.9659159156359182E-2"/>
  </r>
  <r>
    <x v="14"/>
    <x v="0"/>
    <x v="0"/>
    <x v="0"/>
    <x v="2"/>
    <x v="0"/>
    <x v="1"/>
    <x v="1"/>
    <x v="2"/>
    <x v="1"/>
    <n v="3"/>
    <n v="5"/>
    <n v="0"/>
    <m/>
    <x v="1"/>
    <n v="0.33915241967122067"/>
  </r>
  <r>
    <x v="16"/>
    <x v="1"/>
    <x v="0"/>
    <x v="1"/>
    <x v="0"/>
    <x v="0"/>
    <x v="1"/>
    <x v="0"/>
    <x v="1"/>
    <x v="6"/>
    <n v="3"/>
    <n v="4"/>
    <n v="0"/>
    <m/>
    <x v="1"/>
    <n v="3.9659159156359182E-2"/>
  </r>
  <r>
    <x v="15"/>
    <x v="0"/>
    <x v="1"/>
    <x v="0"/>
    <x v="1"/>
    <x v="0"/>
    <x v="0"/>
    <x v="1"/>
    <x v="1"/>
    <x v="4"/>
    <n v="32"/>
    <n v="32"/>
    <n v="0"/>
    <n v="31"/>
    <x v="0"/>
    <n v="0.98144642741212207"/>
  </r>
  <r>
    <x v="19"/>
    <x v="0"/>
    <x v="1"/>
    <x v="0"/>
    <x v="0"/>
    <x v="0"/>
    <x v="0"/>
    <x v="1"/>
    <x v="1"/>
    <x v="5"/>
    <n v="4"/>
    <n v="4"/>
    <n v="0"/>
    <m/>
    <x v="1"/>
    <n v="8.3487829666344368E-2"/>
  </r>
  <r>
    <x v="12"/>
    <x v="1"/>
    <x v="0"/>
    <x v="0"/>
    <x v="1"/>
    <x v="0"/>
    <x v="0"/>
    <x v="1"/>
    <x v="0"/>
    <x v="8"/>
    <n v="37"/>
    <n v="45"/>
    <n v="1"/>
    <m/>
    <x v="1"/>
    <n v="4.2662174783414075"/>
  </r>
  <r>
    <x v="7"/>
    <x v="0"/>
    <x v="1"/>
    <x v="0"/>
    <x v="1"/>
    <x v="0"/>
    <x v="0"/>
    <x v="1"/>
    <x v="1"/>
    <x v="4"/>
    <n v="19"/>
    <n v="26"/>
    <n v="0"/>
    <m/>
    <x v="1"/>
    <n v="0.79742522227234913"/>
  </r>
  <r>
    <x v="3"/>
    <x v="0"/>
    <x v="1"/>
    <x v="0"/>
    <x v="1"/>
    <x v="1"/>
    <x v="0"/>
    <x v="1"/>
    <x v="0"/>
    <x v="8"/>
    <n v="6"/>
    <n v="6"/>
    <n v="0"/>
    <m/>
    <x v="1"/>
    <n v="0.51899755583712992"/>
  </r>
  <r>
    <x v="16"/>
    <x v="0"/>
    <x v="1"/>
    <x v="1"/>
    <x v="1"/>
    <x v="0"/>
    <x v="0"/>
    <x v="1"/>
    <x v="1"/>
    <x v="6"/>
    <n v="5"/>
    <n v="5"/>
    <n v="0"/>
    <m/>
    <x v="1"/>
    <n v="7.1128657544247423E-2"/>
  </r>
  <r>
    <x v="12"/>
    <x v="1"/>
    <x v="0"/>
    <x v="0"/>
    <x v="0"/>
    <x v="0"/>
    <x v="0"/>
    <x v="1"/>
    <x v="2"/>
    <x v="9"/>
    <n v="6"/>
    <n v="6"/>
    <n v="0"/>
    <m/>
    <x v="1"/>
    <n v="0.82073068377998026"/>
  </r>
  <r>
    <x v="12"/>
    <x v="1"/>
    <x v="0"/>
    <x v="0"/>
    <x v="0"/>
    <x v="0"/>
    <x v="0"/>
    <x v="1"/>
    <x v="1"/>
    <x v="0"/>
    <n v="24"/>
    <n v="31"/>
    <n v="0"/>
    <m/>
    <x v="1"/>
    <n v="1.3748191070641262"/>
  </r>
  <r>
    <x v="2"/>
    <x v="1"/>
    <x v="0"/>
    <x v="0"/>
    <x v="0"/>
    <x v="0"/>
    <x v="0"/>
    <x v="0"/>
    <x v="2"/>
    <x v="9"/>
    <n v="4"/>
    <n v="5"/>
    <n v="0"/>
    <m/>
    <x v="1"/>
    <n v="0.68394223648331687"/>
  </r>
  <r>
    <x v="16"/>
    <x v="0"/>
    <x v="0"/>
    <x v="2"/>
    <x v="2"/>
    <x v="0"/>
    <x v="0"/>
    <x v="0"/>
    <x v="1"/>
    <x v="0"/>
    <n v="1"/>
    <n v="1"/>
    <n v="0"/>
    <m/>
    <x v="1"/>
    <n v="5.5937898870790044E-2"/>
  </r>
  <r>
    <x v="20"/>
    <x v="1"/>
    <x v="0"/>
    <x v="2"/>
    <x v="1"/>
    <x v="1"/>
    <x v="0"/>
    <x v="1"/>
    <x v="2"/>
    <x v="9"/>
    <n v="5"/>
    <n v="6"/>
    <n v="2"/>
    <n v="5"/>
    <x v="0"/>
    <n v="2.2710137271131057"/>
  </r>
  <r>
    <x v="5"/>
    <x v="1"/>
    <x v="0"/>
    <x v="0"/>
    <x v="1"/>
    <x v="1"/>
    <x v="0"/>
    <x v="1"/>
    <x v="2"/>
    <x v="9"/>
    <n v="5"/>
    <n v="7"/>
    <n v="1"/>
    <n v="5"/>
    <x v="0"/>
    <n v="2.2151383295451126"/>
  </r>
  <r>
    <x v="20"/>
    <x v="0"/>
    <x v="1"/>
    <x v="0"/>
    <x v="0"/>
    <x v="1"/>
    <x v="0"/>
    <x v="1"/>
    <x v="1"/>
    <x v="4"/>
    <n v="1"/>
    <n v="2"/>
    <n v="1"/>
    <n v="1"/>
    <x v="0"/>
    <n v="8.0534492687672668E-2"/>
  </r>
  <r>
    <x v="1"/>
    <x v="1"/>
    <x v="1"/>
    <x v="2"/>
    <x v="1"/>
    <x v="0"/>
    <x v="0"/>
    <x v="1"/>
    <x v="0"/>
    <x v="8"/>
    <n v="4"/>
    <n v="5"/>
    <n v="1"/>
    <n v="4"/>
    <x v="0"/>
    <n v="0.4366572623175547"/>
  </r>
  <r>
    <x v="20"/>
    <x v="1"/>
    <x v="0"/>
    <x v="0"/>
    <x v="1"/>
    <x v="1"/>
    <x v="0"/>
    <x v="1"/>
    <x v="1"/>
    <x v="8"/>
    <n v="22"/>
    <n v="25"/>
    <n v="1"/>
    <n v="22"/>
    <x v="0"/>
    <n v="2.9847469640503062"/>
  </r>
  <r>
    <x v="0"/>
    <x v="0"/>
    <x v="0"/>
    <x v="2"/>
    <x v="0"/>
    <x v="0"/>
    <x v="1"/>
    <x v="0"/>
    <x v="1"/>
    <x v="5"/>
    <n v="2"/>
    <n v="2"/>
    <n v="0"/>
    <n v="2"/>
    <x v="0"/>
    <n v="3.7491703864349239E-2"/>
  </r>
  <r>
    <x v="9"/>
    <x v="1"/>
    <x v="1"/>
    <x v="2"/>
    <x v="1"/>
    <x v="0"/>
    <x v="0"/>
    <x v="1"/>
    <x v="1"/>
    <x v="3"/>
    <n v="10"/>
    <n v="10"/>
    <n v="1"/>
    <n v="9"/>
    <x v="0"/>
    <n v="0.59206523366033159"/>
  </r>
  <r>
    <x v="20"/>
    <x v="0"/>
    <x v="1"/>
    <x v="1"/>
    <x v="2"/>
    <x v="1"/>
    <x v="0"/>
    <x v="1"/>
    <x v="1"/>
    <x v="7"/>
    <n v="2"/>
    <n v="2"/>
    <n v="0"/>
    <n v="2"/>
    <x v="0"/>
    <n v="5.4627666423575506E-2"/>
  </r>
  <r>
    <x v="6"/>
    <x v="0"/>
    <x v="1"/>
    <x v="0"/>
    <x v="0"/>
    <x v="0"/>
    <x v="1"/>
    <x v="1"/>
    <x v="1"/>
    <x v="6"/>
    <n v="1"/>
    <n v="1"/>
    <n v="0"/>
    <m/>
    <x v="1"/>
    <n v="9.9848113487339026E-3"/>
  </r>
  <r>
    <x v="19"/>
    <x v="0"/>
    <x v="0"/>
    <x v="0"/>
    <x v="0"/>
    <x v="0"/>
    <x v="1"/>
    <x v="1"/>
    <x v="1"/>
    <x v="6"/>
    <n v="14"/>
    <n v="17"/>
    <n v="0"/>
    <m/>
    <x v="1"/>
    <n v="0.24334006685956669"/>
  </r>
  <r>
    <x v="8"/>
    <x v="0"/>
    <x v="0"/>
    <x v="1"/>
    <x v="2"/>
    <x v="1"/>
    <x v="0"/>
    <x v="1"/>
    <x v="1"/>
    <x v="4"/>
    <n v="1"/>
    <n v="1"/>
    <n v="0"/>
    <m/>
    <x v="1"/>
    <n v="3.8861886041588509E-2"/>
  </r>
  <r>
    <x v="17"/>
    <x v="0"/>
    <x v="0"/>
    <x v="2"/>
    <x v="0"/>
    <x v="0"/>
    <x v="0"/>
    <x v="1"/>
    <x v="1"/>
    <x v="4"/>
    <n v="6"/>
    <n v="6"/>
    <n v="0"/>
    <n v="6"/>
    <x v="0"/>
    <n v="0.23286771133979997"/>
  </r>
  <r>
    <x v="17"/>
    <x v="0"/>
    <x v="0"/>
    <x v="0"/>
    <x v="1"/>
    <x v="1"/>
    <x v="0"/>
    <x v="1"/>
    <x v="0"/>
    <x v="8"/>
    <n v="4"/>
    <n v="8"/>
    <n v="1"/>
    <n v="4"/>
    <x v="0"/>
    <n v="0.95987338039054237"/>
  </r>
  <r>
    <x v="5"/>
    <x v="0"/>
    <x v="0"/>
    <x v="2"/>
    <x v="2"/>
    <x v="0"/>
    <x v="0"/>
    <x v="0"/>
    <x v="1"/>
    <x v="0"/>
    <n v="3"/>
    <n v="3"/>
    <n v="0"/>
    <n v="3"/>
    <x v="0"/>
    <n v="0.16781369661237011"/>
  </r>
  <r>
    <x v="15"/>
    <x v="0"/>
    <x v="1"/>
    <x v="0"/>
    <x v="2"/>
    <x v="0"/>
    <x v="0"/>
    <x v="1"/>
    <x v="1"/>
    <x v="7"/>
    <n v="2"/>
    <n v="2"/>
    <n v="0"/>
    <n v="2"/>
    <x v="0"/>
    <n v="6.066426167972111E-2"/>
  </r>
  <r>
    <x v="4"/>
    <x v="0"/>
    <x v="1"/>
    <x v="2"/>
    <x v="0"/>
    <x v="0"/>
    <x v="1"/>
    <x v="1"/>
    <x v="1"/>
    <x v="6"/>
    <n v="1"/>
    <n v="1"/>
    <n v="0"/>
    <m/>
    <x v="1"/>
    <n v="1.3093969311862536E-2"/>
  </r>
  <r>
    <x v="14"/>
    <x v="1"/>
    <x v="1"/>
    <x v="2"/>
    <x v="1"/>
    <x v="0"/>
    <x v="0"/>
    <x v="1"/>
    <x v="1"/>
    <x v="3"/>
    <n v="7"/>
    <n v="9"/>
    <n v="0"/>
    <m/>
    <x v="1"/>
    <n v="0.53285871029429843"/>
  </r>
  <r>
    <x v="9"/>
    <x v="0"/>
    <x v="0"/>
    <x v="0"/>
    <x v="2"/>
    <x v="0"/>
    <x v="0"/>
    <x v="1"/>
    <x v="2"/>
    <x v="9"/>
    <n v="21"/>
    <n v="27"/>
    <n v="1"/>
    <n v="21"/>
    <x v="0"/>
    <n v="3.5990594250939756"/>
  </r>
  <r>
    <x v="21"/>
    <x v="0"/>
    <x v="0"/>
    <x v="2"/>
    <x v="1"/>
    <x v="0"/>
    <x v="0"/>
    <x v="1"/>
    <x v="1"/>
    <x v="0"/>
    <n v="12"/>
    <n v="17"/>
    <n v="0"/>
    <m/>
    <x v="1"/>
    <n v="0.96126021495464842"/>
  </r>
  <r>
    <x v="22"/>
    <x v="1"/>
    <x v="1"/>
    <x v="0"/>
    <x v="3"/>
    <x v="1"/>
    <x v="0"/>
    <x v="1"/>
    <x v="1"/>
    <x v="8"/>
    <n v="1"/>
    <n v="1"/>
    <n v="0"/>
    <n v="1"/>
    <x v="0"/>
    <n v="0.11197715523543472"/>
  </r>
  <r>
    <x v="17"/>
    <x v="1"/>
    <x v="0"/>
    <x v="2"/>
    <x v="1"/>
    <x v="0"/>
    <x v="0"/>
    <x v="1"/>
    <x v="1"/>
    <x v="1"/>
    <n v="34"/>
    <n v="48"/>
    <n v="7"/>
    <n v="33"/>
    <x v="0"/>
    <n v="3.9881631606309651"/>
  </r>
  <r>
    <x v="8"/>
    <x v="0"/>
    <x v="0"/>
    <x v="2"/>
    <x v="0"/>
    <x v="0"/>
    <x v="0"/>
    <x v="1"/>
    <x v="1"/>
    <x v="4"/>
    <n v="7"/>
    <n v="7"/>
    <n v="1"/>
    <m/>
    <x v="1"/>
    <n v="0.27167899656309996"/>
  </r>
  <r>
    <x v="1"/>
    <x v="0"/>
    <x v="0"/>
    <x v="1"/>
    <x v="3"/>
    <x v="1"/>
    <x v="0"/>
    <x v="1"/>
    <x v="2"/>
    <x v="9"/>
    <n v="1"/>
    <n v="2"/>
    <n v="0"/>
    <n v="1"/>
    <x v="0"/>
    <n v="0.31511600507796894"/>
  </r>
  <r>
    <x v="11"/>
    <x v="1"/>
    <x v="0"/>
    <x v="2"/>
    <x v="0"/>
    <x v="0"/>
    <x v="1"/>
    <x v="0"/>
    <x v="1"/>
    <x v="7"/>
    <n v="2"/>
    <n v="3"/>
    <n v="0"/>
    <m/>
    <x v="1"/>
    <n v="8.4219225168211037E-2"/>
  </r>
  <r>
    <x v="19"/>
    <x v="0"/>
    <x v="0"/>
    <x v="0"/>
    <x v="2"/>
    <x v="1"/>
    <x v="0"/>
    <x v="0"/>
    <x v="1"/>
    <x v="1"/>
    <n v="3"/>
    <n v="3"/>
    <n v="0"/>
    <m/>
    <x v="1"/>
    <n v="0.24429714241450645"/>
  </r>
  <r>
    <x v="21"/>
    <x v="1"/>
    <x v="0"/>
    <x v="0"/>
    <x v="3"/>
    <x v="0"/>
    <x v="1"/>
    <x v="1"/>
    <x v="0"/>
    <x v="3"/>
    <n v="1"/>
    <n v="1"/>
    <n v="0"/>
    <m/>
    <x v="1"/>
    <n v="6.2231171033494175E-2"/>
  </r>
  <r>
    <x v="21"/>
    <x v="0"/>
    <x v="0"/>
    <x v="0"/>
    <x v="2"/>
    <x v="0"/>
    <x v="0"/>
    <x v="1"/>
    <x v="2"/>
    <x v="9"/>
    <n v="10"/>
    <n v="20"/>
    <n v="0"/>
    <m/>
    <x v="1"/>
    <n v="2.6659699445140559"/>
  </r>
  <r>
    <x v="2"/>
    <x v="0"/>
    <x v="1"/>
    <x v="2"/>
    <x v="0"/>
    <x v="0"/>
    <x v="0"/>
    <x v="0"/>
    <x v="1"/>
    <x v="7"/>
    <n v="3"/>
    <n v="4"/>
    <n v="0"/>
    <m/>
    <x v="1"/>
    <n v="0.10911136800135676"/>
  </r>
  <r>
    <x v="19"/>
    <x v="0"/>
    <x v="1"/>
    <x v="2"/>
    <x v="1"/>
    <x v="1"/>
    <x v="0"/>
    <x v="1"/>
    <x v="1"/>
    <x v="1"/>
    <n v="2"/>
    <n v="4"/>
    <n v="0"/>
    <m/>
    <x v="1"/>
    <n v="0.30288866365397854"/>
  </r>
  <r>
    <x v="1"/>
    <x v="0"/>
    <x v="0"/>
    <x v="2"/>
    <x v="0"/>
    <x v="0"/>
    <x v="0"/>
    <x v="1"/>
    <x v="1"/>
    <x v="4"/>
    <n v="9"/>
    <n v="10"/>
    <n v="0"/>
    <n v="9"/>
    <x v="0"/>
    <n v="0.38811285223299996"/>
  </r>
  <r>
    <x v="16"/>
    <x v="0"/>
    <x v="0"/>
    <x v="2"/>
    <x v="1"/>
    <x v="1"/>
    <x v="0"/>
    <x v="1"/>
    <x v="1"/>
    <x v="8"/>
    <n v="9"/>
    <n v="10"/>
    <n v="0"/>
    <m/>
    <x v="1"/>
    <n v="1.0551663196804721"/>
  </r>
  <r>
    <x v="19"/>
    <x v="1"/>
    <x v="0"/>
    <x v="2"/>
    <x v="1"/>
    <x v="0"/>
    <x v="0"/>
    <x v="1"/>
    <x v="2"/>
    <x v="9"/>
    <n v="3"/>
    <n v="13"/>
    <n v="0"/>
    <m/>
    <x v="1"/>
    <n v="3.071954665214558"/>
  </r>
  <r>
    <x v="12"/>
    <x v="0"/>
    <x v="0"/>
    <x v="0"/>
    <x v="2"/>
    <x v="0"/>
    <x v="1"/>
    <x v="1"/>
    <x v="2"/>
    <x v="1"/>
    <n v="4"/>
    <n v="6"/>
    <n v="0"/>
    <m/>
    <x v="1"/>
    <n v="0.4069829036054648"/>
  </r>
  <r>
    <x v="10"/>
    <x v="1"/>
    <x v="0"/>
    <x v="0"/>
    <x v="2"/>
    <x v="0"/>
    <x v="1"/>
    <x v="0"/>
    <x v="1"/>
    <x v="4"/>
    <n v="1"/>
    <n v="1"/>
    <n v="0"/>
    <m/>
    <x v="1"/>
    <n v="3.1213548562346576E-2"/>
  </r>
  <r>
    <x v="1"/>
    <x v="1"/>
    <x v="0"/>
    <x v="2"/>
    <x v="0"/>
    <x v="0"/>
    <x v="0"/>
    <x v="0"/>
    <x v="2"/>
    <x v="9"/>
    <n v="1"/>
    <n v="1"/>
    <n v="0"/>
    <n v="1"/>
    <x v="0"/>
    <n v="0.17250282287365376"/>
  </r>
  <r>
    <x v="21"/>
    <x v="1"/>
    <x v="0"/>
    <x v="1"/>
    <x v="1"/>
    <x v="1"/>
    <x v="0"/>
    <x v="1"/>
    <x v="2"/>
    <x v="9"/>
    <n v="1"/>
    <n v="1"/>
    <n v="0"/>
    <m/>
    <x v="1"/>
    <n v="0.17433593735276651"/>
  </r>
  <r>
    <x v="21"/>
    <x v="0"/>
    <x v="0"/>
    <x v="2"/>
    <x v="1"/>
    <x v="1"/>
    <x v="0"/>
    <x v="1"/>
    <x v="1"/>
    <x v="8"/>
    <n v="3"/>
    <n v="7"/>
    <n v="0"/>
    <m/>
    <x v="1"/>
    <n v="0.73861642377633052"/>
  </r>
  <r>
    <x v="5"/>
    <x v="0"/>
    <x v="0"/>
    <x v="0"/>
    <x v="1"/>
    <x v="1"/>
    <x v="0"/>
    <x v="1"/>
    <x v="2"/>
    <x v="9"/>
    <n v="5"/>
    <n v="11"/>
    <n v="1"/>
    <n v="5"/>
    <x v="0"/>
    <n v="2.5785958452179014"/>
  </r>
  <r>
    <x v="19"/>
    <x v="1"/>
    <x v="0"/>
    <x v="1"/>
    <x v="1"/>
    <x v="0"/>
    <x v="0"/>
    <x v="1"/>
    <x v="1"/>
    <x v="4"/>
    <n v="2"/>
    <n v="3"/>
    <n v="0"/>
    <m/>
    <x v="1"/>
    <n v="9.1378739260983929E-2"/>
  </r>
  <r>
    <x v="0"/>
    <x v="1"/>
    <x v="0"/>
    <x v="0"/>
    <x v="1"/>
    <x v="1"/>
    <x v="0"/>
    <x v="1"/>
    <x v="2"/>
    <x v="9"/>
    <n v="8"/>
    <n v="11"/>
    <n v="1"/>
    <n v="8"/>
    <x v="0"/>
    <n v="3.480931660713749"/>
  </r>
  <r>
    <x v="2"/>
    <x v="1"/>
    <x v="0"/>
    <x v="0"/>
    <x v="0"/>
    <x v="1"/>
    <x v="0"/>
    <x v="1"/>
    <x v="1"/>
    <x v="1"/>
    <n v="1"/>
    <n v="1"/>
    <n v="0"/>
    <m/>
    <x v="1"/>
    <n v="8.3695532436182302E-2"/>
  </r>
  <r>
    <x v="16"/>
    <x v="1"/>
    <x v="1"/>
    <x v="2"/>
    <x v="1"/>
    <x v="0"/>
    <x v="0"/>
    <x v="1"/>
    <x v="1"/>
    <x v="3"/>
    <n v="6"/>
    <n v="8"/>
    <n v="2"/>
    <m/>
    <x v="1"/>
    <n v="0.47365218692826527"/>
  </r>
  <r>
    <x v="16"/>
    <x v="0"/>
    <x v="0"/>
    <x v="0"/>
    <x v="0"/>
    <x v="0"/>
    <x v="0"/>
    <x v="0"/>
    <x v="2"/>
    <x v="8"/>
    <n v="8"/>
    <n v="8"/>
    <n v="0"/>
    <m/>
    <x v="1"/>
    <n v="0.75893079782941164"/>
  </r>
  <r>
    <x v="2"/>
    <x v="0"/>
    <x v="1"/>
    <x v="2"/>
    <x v="1"/>
    <x v="1"/>
    <x v="0"/>
    <x v="1"/>
    <x v="1"/>
    <x v="1"/>
    <n v="4"/>
    <n v="4"/>
    <n v="0"/>
    <m/>
    <x v="1"/>
    <n v="0.30288866365397854"/>
  </r>
  <r>
    <x v="8"/>
    <x v="0"/>
    <x v="0"/>
    <x v="0"/>
    <x v="2"/>
    <x v="0"/>
    <x v="0"/>
    <x v="0"/>
    <x v="1"/>
    <x v="2"/>
    <n v="3"/>
    <n v="5"/>
    <n v="0"/>
    <m/>
    <x v="1"/>
    <n v="0.21549874684536813"/>
  </r>
  <r>
    <x v="2"/>
    <x v="0"/>
    <x v="0"/>
    <x v="2"/>
    <x v="1"/>
    <x v="1"/>
    <x v="0"/>
    <x v="1"/>
    <x v="1"/>
    <x v="8"/>
    <n v="8"/>
    <n v="15"/>
    <n v="0"/>
    <m/>
    <x v="1"/>
    <n v="1.5827494795207082"/>
  </r>
  <r>
    <x v="6"/>
    <x v="1"/>
    <x v="0"/>
    <x v="0"/>
    <x v="0"/>
    <x v="1"/>
    <x v="1"/>
    <x v="0"/>
    <x v="1"/>
    <x v="4"/>
    <n v="1"/>
    <n v="1"/>
    <n v="0"/>
    <m/>
    <x v="1"/>
    <n v="4.1425033735772165E-2"/>
  </r>
  <r>
    <x v="4"/>
    <x v="0"/>
    <x v="0"/>
    <x v="0"/>
    <x v="0"/>
    <x v="0"/>
    <x v="0"/>
    <x v="0"/>
    <x v="2"/>
    <x v="8"/>
    <n v="3"/>
    <n v="9"/>
    <n v="0"/>
    <m/>
    <x v="1"/>
    <n v="0.85379714755808811"/>
  </r>
  <r>
    <x v="2"/>
    <x v="0"/>
    <x v="1"/>
    <x v="0"/>
    <x v="0"/>
    <x v="0"/>
    <x v="0"/>
    <x v="1"/>
    <x v="1"/>
    <x v="5"/>
    <n v="5"/>
    <n v="7"/>
    <n v="0"/>
    <m/>
    <x v="1"/>
    <n v="0.14610370191610264"/>
  </r>
  <r>
    <x v="12"/>
    <x v="0"/>
    <x v="0"/>
    <x v="1"/>
    <x v="3"/>
    <x v="0"/>
    <x v="1"/>
    <x v="1"/>
    <x v="2"/>
    <x v="2"/>
    <n v="1"/>
    <n v="1"/>
    <n v="0"/>
    <m/>
    <x v="1"/>
    <n v="4.3022777972624354E-2"/>
  </r>
  <r>
    <x v="0"/>
    <x v="0"/>
    <x v="0"/>
    <x v="2"/>
    <x v="1"/>
    <x v="1"/>
    <x v="0"/>
    <x v="1"/>
    <x v="1"/>
    <x v="8"/>
    <n v="10"/>
    <n v="11"/>
    <n v="1"/>
    <n v="9"/>
    <x v="0"/>
    <n v="1.1606829516485193"/>
  </r>
  <r>
    <x v="7"/>
    <x v="0"/>
    <x v="0"/>
    <x v="0"/>
    <x v="2"/>
    <x v="0"/>
    <x v="1"/>
    <x v="1"/>
    <x v="2"/>
    <x v="1"/>
    <n v="5"/>
    <n v="7"/>
    <n v="0"/>
    <m/>
    <x v="1"/>
    <n v="0.47481338753970892"/>
  </r>
  <r>
    <x v="16"/>
    <x v="0"/>
    <x v="0"/>
    <x v="1"/>
    <x v="2"/>
    <x v="0"/>
    <x v="1"/>
    <x v="1"/>
    <x v="0"/>
    <x v="5"/>
    <n v="1"/>
    <n v="1"/>
    <n v="0"/>
    <m/>
    <x v="1"/>
    <n v="1.4562828746708278E-2"/>
  </r>
  <r>
    <x v="20"/>
    <x v="0"/>
    <x v="1"/>
    <x v="0"/>
    <x v="0"/>
    <x v="0"/>
    <x v="1"/>
    <x v="1"/>
    <x v="1"/>
    <x v="6"/>
    <n v="7"/>
    <n v="8"/>
    <n v="0"/>
    <n v="6"/>
    <x v="0"/>
    <n v="7.987849078987122E-2"/>
  </r>
  <r>
    <x v="3"/>
    <x v="0"/>
    <x v="0"/>
    <x v="0"/>
    <x v="2"/>
    <x v="1"/>
    <x v="0"/>
    <x v="0"/>
    <x v="1"/>
    <x v="1"/>
    <n v="8"/>
    <n v="8"/>
    <n v="0"/>
    <m/>
    <x v="1"/>
    <n v="0.65145904643868391"/>
  </r>
  <r>
    <x v="9"/>
    <x v="0"/>
    <x v="1"/>
    <x v="2"/>
    <x v="2"/>
    <x v="0"/>
    <x v="0"/>
    <x v="0"/>
    <x v="2"/>
    <x v="8"/>
    <n v="1"/>
    <n v="1"/>
    <n v="0"/>
    <n v="1"/>
    <x v="0"/>
    <n v="0.12320370260660997"/>
  </r>
  <r>
    <x v="11"/>
    <x v="1"/>
    <x v="0"/>
    <x v="0"/>
    <x v="3"/>
    <x v="1"/>
    <x v="0"/>
    <x v="1"/>
    <x v="0"/>
    <x v="9"/>
    <n v="1"/>
    <n v="4"/>
    <n v="0"/>
    <m/>
    <x v="1"/>
    <n v="0.86537037412188211"/>
  </r>
  <r>
    <x v="19"/>
    <x v="0"/>
    <x v="1"/>
    <x v="2"/>
    <x v="0"/>
    <x v="0"/>
    <x v="1"/>
    <x v="0"/>
    <x v="1"/>
    <x v="6"/>
    <n v="1"/>
    <n v="1"/>
    <n v="0"/>
    <m/>
    <x v="1"/>
    <n v="1.3093969311862536E-2"/>
  </r>
  <r>
    <x v="1"/>
    <x v="0"/>
    <x v="0"/>
    <x v="2"/>
    <x v="0"/>
    <x v="0"/>
    <x v="1"/>
    <x v="0"/>
    <x v="0"/>
    <x v="7"/>
    <n v="1"/>
    <n v="1"/>
    <n v="0"/>
    <n v="1"/>
    <x v="0"/>
    <n v="2.8227386446598338E-2"/>
  </r>
  <r>
    <x v="17"/>
    <x v="0"/>
    <x v="1"/>
    <x v="2"/>
    <x v="1"/>
    <x v="1"/>
    <x v="0"/>
    <x v="1"/>
    <x v="0"/>
    <x v="8"/>
    <n v="2"/>
    <n v="2"/>
    <n v="0"/>
    <n v="2"/>
    <x v="0"/>
    <n v="0.22153763074869481"/>
  </r>
  <r>
    <x v="3"/>
    <x v="0"/>
    <x v="1"/>
    <x v="0"/>
    <x v="2"/>
    <x v="1"/>
    <x v="0"/>
    <x v="1"/>
    <x v="1"/>
    <x v="0"/>
    <n v="3"/>
    <n v="5"/>
    <n v="0"/>
    <m/>
    <x v="1"/>
    <n v="0.28998789088363791"/>
  </r>
  <r>
    <x v="5"/>
    <x v="0"/>
    <x v="0"/>
    <x v="0"/>
    <x v="2"/>
    <x v="0"/>
    <x v="1"/>
    <x v="1"/>
    <x v="1"/>
    <x v="5"/>
    <n v="2"/>
    <n v="3"/>
    <n v="0"/>
    <n v="2"/>
    <x v="0"/>
    <n v="6.2595928273073934E-2"/>
  </r>
  <r>
    <x v="5"/>
    <x v="0"/>
    <x v="0"/>
    <x v="2"/>
    <x v="3"/>
    <x v="1"/>
    <x v="0"/>
    <x v="0"/>
    <x v="2"/>
    <x v="9"/>
    <n v="1"/>
    <n v="1"/>
    <n v="0"/>
    <n v="1"/>
    <x v="0"/>
    <n v="0.35041457657899155"/>
  </r>
  <r>
    <x v="11"/>
    <x v="1"/>
    <x v="1"/>
    <x v="1"/>
    <x v="2"/>
    <x v="0"/>
    <x v="1"/>
    <x v="1"/>
    <x v="2"/>
    <x v="4"/>
    <n v="1"/>
    <n v="1"/>
    <n v="0"/>
    <m/>
    <x v="1"/>
    <n v="3.3675167837974015E-2"/>
  </r>
  <r>
    <x v="9"/>
    <x v="0"/>
    <x v="1"/>
    <x v="1"/>
    <x v="0"/>
    <x v="1"/>
    <x v="0"/>
    <x v="1"/>
    <x v="1"/>
    <x v="5"/>
    <n v="1"/>
    <n v="1"/>
    <n v="0"/>
    <n v="1"/>
    <x v="0"/>
    <n v="1.8776796462310515E-2"/>
  </r>
  <r>
    <x v="8"/>
    <x v="1"/>
    <x v="0"/>
    <x v="0"/>
    <x v="0"/>
    <x v="1"/>
    <x v="0"/>
    <x v="0"/>
    <x v="1"/>
    <x v="1"/>
    <n v="4"/>
    <n v="7"/>
    <n v="0"/>
    <m/>
    <x v="1"/>
    <n v="0.58586872705327608"/>
  </r>
  <r>
    <x v="3"/>
    <x v="1"/>
    <x v="0"/>
    <x v="0"/>
    <x v="2"/>
    <x v="0"/>
    <x v="1"/>
    <x v="1"/>
    <x v="1"/>
    <x v="4"/>
    <n v="3"/>
    <n v="4"/>
    <n v="0"/>
    <m/>
    <x v="1"/>
    <n v="0.1248541942493863"/>
  </r>
  <r>
    <x v="1"/>
    <x v="0"/>
    <x v="0"/>
    <x v="0"/>
    <x v="2"/>
    <x v="0"/>
    <x v="0"/>
    <x v="1"/>
    <x v="0"/>
    <x v="3"/>
    <n v="5"/>
    <n v="8"/>
    <n v="1"/>
    <n v="5"/>
    <x v="0"/>
    <n v="0.51275782163450123"/>
  </r>
  <r>
    <x v="1"/>
    <x v="1"/>
    <x v="1"/>
    <x v="0"/>
    <x v="0"/>
    <x v="0"/>
    <x v="1"/>
    <x v="0"/>
    <x v="0"/>
    <x v="7"/>
    <n v="7"/>
    <n v="7"/>
    <n v="0"/>
    <n v="7"/>
    <x v="0"/>
    <n v="0.15861957444041577"/>
  </r>
  <r>
    <x v="7"/>
    <x v="1"/>
    <x v="1"/>
    <x v="0"/>
    <x v="2"/>
    <x v="0"/>
    <x v="0"/>
    <x v="1"/>
    <x v="2"/>
    <x v="9"/>
    <n v="3"/>
    <n v="6"/>
    <n v="0"/>
    <m/>
    <x v="1"/>
    <n v="0.83424571441492335"/>
  </r>
  <r>
    <x v="1"/>
    <x v="1"/>
    <x v="0"/>
    <x v="0"/>
    <x v="0"/>
    <x v="0"/>
    <x v="1"/>
    <x v="1"/>
    <x v="1"/>
    <x v="7"/>
    <n v="23"/>
    <n v="27"/>
    <n v="1"/>
    <n v="22"/>
    <x v="0"/>
    <n v="0.58008322810265467"/>
  </r>
  <r>
    <x v="5"/>
    <x v="1"/>
    <x v="0"/>
    <x v="0"/>
    <x v="2"/>
    <x v="0"/>
    <x v="0"/>
    <x v="1"/>
    <x v="1"/>
    <x v="3"/>
    <n v="7"/>
    <n v="7"/>
    <n v="3"/>
    <n v="7"/>
    <x v="0"/>
    <n v="0.44630042680555043"/>
  </r>
  <r>
    <x v="15"/>
    <x v="1"/>
    <x v="1"/>
    <x v="0"/>
    <x v="2"/>
    <x v="0"/>
    <x v="0"/>
    <x v="0"/>
    <x v="2"/>
    <x v="9"/>
    <n v="2"/>
    <n v="2"/>
    <n v="0"/>
    <n v="2"/>
    <x v="0"/>
    <n v="0.27808190480497447"/>
  </r>
  <r>
    <x v="2"/>
    <x v="0"/>
    <x v="1"/>
    <x v="2"/>
    <x v="0"/>
    <x v="0"/>
    <x v="0"/>
    <x v="0"/>
    <x v="2"/>
    <x v="8"/>
    <n v="1"/>
    <n v="1"/>
    <n v="0"/>
    <m/>
    <x v="1"/>
    <n v="8.7388588178664475E-2"/>
  </r>
  <r>
    <x v="9"/>
    <x v="1"/>
    <x v="0"/>
    <x v="2"/>
    <x v="2"/>
    <x v="0"/>
    <x v="1"/>
    <x v="1"/>
    <x v="2"/>
    <x v="9"/>
    <n v="1"/>
    <n v="1"/>
    <n v="0"/>
    <n v="1"/>
    <x v="0"/>
    <n v="0.1264319832806283"/>
  </r>
  <r>
    <x v="16"/>
    <x v="1"/>
    <x v="0"/>
    <x v="2"/>
    <x v="1"/>
    <x v="0"/>
    <x v="0"/>
    <x v="1"/>
    <x v="0"/>
    <x v="8"/>
    <n v="7"/>
    <n v="9"/>
    <n v="0"/>
    <m/>
    <x v="1"/>
    <n v="1.0898582720462848"/>
  </r>
  <r>
    <x v="5"/>
    <x v="0"/>
    <x v="0"/>
    <x v="0"/>
    <x v="1"/>
    <x v="1"/>
    <x v="0"/>
    <x v="1"/>
    <x v="0"/>
    <x v="8"/>
    <n v="9"/>
    <n v="10"/>
    <n v="0"/>
    <n v="9"/>
    <x v="0"/>
    <n v="1.1998417254881779"/>
  </r>
  <r>
    <x v="17"/>
    <x v="1"/>
    <x v="1"/>
    <x v="1"/>
    <x v="0"/>
    <x v="0"/>
    <x v="0"/>
    <x v="0"/>
    <x v="2"/>
    <x v="0"/>
    <n v="1"/>
    <n v="1"/>
    <n v="0"/>
    <n v="1"/>
    <x v="0"/>
    <n v="4.7795427621466401E-2"/>
  </r>
  <r>
    <x v="12"/>
    <x v="0"/>
    <x v="1"/>
    <x v="0"/>
    <x v="0"/>
    <x v="0"/>
    <x v="1"/>
    <x v="0"/>
    <x v="2"/>
    <x v="4"/>
    <n v="1"/>
    <n v="1"/>
    <n v="0"/>
    <m/>
    <x v="1"/>
    <n v="3.3292078574409821E-2"/>
  </r>
  <r>
    <x v="15"/>
    <x v="1"/>
    <x v="0"/>
    <x v="1"/>
    <x v="0"/>
    <x v="0"/>
    <x v="0"/>
    <x v="0"/>
    <x v="1"/>
    <x v="5"/>
    <n v="4"/>
    <n v="4"/>
    <n v="0"/>
    <n v="4"/>
    <x v="0"/>
    <n v="8.2908739469652437E-2"/>
  </r>
  <r>
    <x v="4"/>
    <x v="0"/>
    <x v="0"/>
    <x v="1"/>
    <x v="1"/>
    <x v="1"/>
    <x v="0"/>
    <x v="1"/>
    <x v="0"/>
    <x v="0"/>
    <n v="2"/>
    <n v="2"/>
    <n v="0"/>
    <m/>
    <x v="1"/>
    <n v="0.11708880893825875"/>
  </r>
  <r>
    <x v="21"/>
    <x v="0"/>
    <x v="0"/>
    <x v="2"/>
    <x v="0"/>
    <x v="0"/>
    <x v="0"/>
    <x v="1"/>
    <x v="1"/>
    <x v="4"/>
    <n v="4"/>
    <n v="5"/>
    <n v="0"/>
    <m/>
    <x v="1"/>
    <n v="0.19405642611649998"/>
  </r>
  <r>
    <x v="14"/>
    <x v="1"/>
    <x v="0"/>
    <x v="0"/>
    <x v="3"/>
    <x v="1"/>
    <x v="1"/>
    <x v="1"/>
    <x v="0"/>
    <x v="8"/>
    <n v="2"/>
    <n v="2"/>
    <n v="0"/>
    <m/>
    <x v="1"/>
    <n v="0.23104985380022963"/>
  </r>
  <r>
    <x v="19"/>
    <x v="0"/>
    <x v="0"/>
    <x v="0"/>
    <x v="2"/>
    <x v="1"/>
    <x v="1"/>
    <x v="1"/>
    <x v="1"/>
    <x v="4"/>
    <n v="5"/>
    <n v="5"/>
    <n v="0"/>
    <m/>
    <x v="1"/>
    <n v="0.20127337339092383"/>
  </r>
  <r>
    <x v="22"/>
    <x v="0"/>
    <x v="0"/>
    <x v="1"/>
    <x v="0"/>
    <x v="0"/>
    <x v="1"/>
    <x v="1"/>
    <x v="1"/>
    <x v="6"/>
    <n v="1"/>
    <n v="1"/>
    <n v="0"/>
    <n v="1"/>
    <x v="0"/>
    <n v="6.57977794506603E-3"/>
  </r>
  <r>
    <x v="15"/>
    <x v="0"/>
    <x v="1"/>
    <x v="0"/>
    <x v="3"/>
    <x v="1"/>
    <x v="0"/>
    <x v="1"/>
    <x v="2"/>
    <x v="9"/>
    <n v="2"/>
    <n v="2"/>
    <n v="0"/>
    <n v="2"/>
    <x v="0"/>
    <n v="0.44332178255110904"/>
  </r>
  <r>
    <x v="22"/>
    <x v="1"/>
    <x v="1"/>
    <x v="1"/>
    <x v="0"/>
    <x v="0"/>
    <x v="1"/>
    <x v="0"/>
    <x v="1"/>
    <x v="6"/>
    <n v="2"/>
    <n v="2"/>
    <n v="0"/>
    <n v="2"/>
    <x v="0"/>
    <n v="1.3813470643303788E-2"/>
  </r>
  <r>
    <x v="0"/>
    <x v="1"/>
    <x v="1"/>
    <x v="0"/>
    <x v="0"/>
    <x v="0"/>
    <x v="0"/>
    <x v="1"/>
    <x v="0"/>
    <x v="0"/>
    <n v="3"/>
    <n v="4"/>
    <n v="0"/>
    <n v="3"/>
    <x v="0"/>
    <n v="0.18686210437130313"/>
  </r>
  <r>
    <x v="6"/>
    <x v="0"/>
    <x v="0"/>
    <x v="0"/>
    <x v="0"/>
    <x v="0"/>
    <x v="0"/>
    <x v="0"/>
    <x v="2"/>
    <x v="8"/>
    <n v="5"/>
    <n v="6"/>
    <n v="0"/>
    <m/>
    <x v="1"/>
    <n v="0.5691980983720587"/>
  </r>
  <r>
    <x v="0"/>
    <x v="0"/>
    <x v="1"/>
    <x v="0"/>
    <x v="0"/>
    <x v="0"/>
    <x v="0"/>
    <x v="0"/>
    <x v="1"/>
    <x v="5"/>
    <n v="9"/>
    <n v="10"/>
    <n v="0"/>
    <n v="9"/>
    <x v="0"/>
    <n v="0.20871957416586095"/>
  </r>
  <r>
    <x v="18"/>
    <x v="1"/>
    <x v="0"/>
    <x v="0"/>
    <x v="0"/>
    <x v="0"/>
    <x v="0"/>
    <x v="0"/>
    <x v="0"/>
    <x v="1"/>
    <n v="3"/>
    <n v="5"/>
    <n v="0"/>
    <m/>
    <x v="1"/>
    <n v="0.32955304515801731"/>
  </r>
  <r>
    <x v="6"/>
    <x v="1"/>
    <x v="1"/>
    <x v="0"/>
    <x v="1"/>
    <x v="0"/>
    <x v="0"/>
    <x v="1"/>
    <x v="0"/>
    <x v="1"/>
    <n v="8"/>
    <n v="8"/>
    <n v="0"/>
    <m/>
    <x v="1"/>
    <n v="0.54244598278770351"/>
  </r>
  <r>
    <x v="12"/>
    <x v="1"/>
    <x v="0"/>
    <x v="1"/>
    <x v="0"/>
    <x v="0"/>
    <x v="1"/>
    <x v="0"/>
    <x v="1"/>
    <x v="6"/>
    <n v="3"/>
    <n v="3"/>
    <n v="0"/>
    <m/>
    <x v="1"/>
    <n v="2.9744369367269385E-2"/>
  </r>
  <r>
    <x v="8"/>
    <x v="1"/>
    <x v="0"/>
    <x v="0"/>
    <x v="1"/>
    <x v="0"/>
    <x v="0"/>
    <x v="1"/>
    <x v="2"/>
    <x v="9"/>
    <n v="13"/>
    <n v="30"/>
    <n v="0"/>
    <m/>
    <x v="1"/>
    <n v="5.7126079964119612"/>
  </r>
  <r>
    <x v="6"/>
    <x v="0"/>
    <x v="0"/>
    <x v="1"/>
    <x v="1"/>
    <x v="0"/>
    <x v="0"/>
    <x v="1"/>
    <x v="0"/>
    <x v="4"/>
    <n v="3"/>
    <n v="3"/>
    <n v="0"/>
    <m/>
    <x v="1"/>
    <n v="9.1879787574193156E-2"/>
  </r>
  <r>
    <x v="0"/>
    <x v="0"/>
    <x v="0"/>
    <x v="2"/>
    <x v="1"/>
    <x v="0"/>
    <x v="0"/>
    <x v="1"/>
    <x v="0"/>
    <x v="1"/>
    <n v="9"/>
    <n v="11"/>
    <n v="1"/>
    <n v="9"/>
    <x v="0"/>
    <n v="0.91869202326235322"/>
  </r>
  <r>
    <x v="15"/>
    <x v="0"/>
    <x v="0"/>
    <x v="0"/>
    <x v="0"/>
    <x v="0"/>
    <x v="0"/>
    <x v="0"/>
    <x v="0"/>
    <x v="0"/>
    <n v="14"/>
    <n v="15"/>
    <n v="1"/>
    <n v="14"/>
    <x v="0"/>
    <n v="0.66883013422614368"/>
  </r>
  <r>
    <x v="3"/>
    <x v="0"/>
    <x v="0"/>
    <x v="0"/>
    <x v="2"/>
    <x v="0"/>
    <x v="1"/>
    <x v="1"/>
    <x v="1"/>
    <x v="5"/>
    <n v="7"/>
    <n v="7"/>
    <n v="0"/>
    <m/>
    <x v="1"/>
    <n v="0.14605716597050586"/>
  </r>
  <r>
    <x v="17"/>
    <x v="1"/>
    <x v="0"/>
    <x v="1"/>
    <x v="3"/>
    <x v="0"/>
    <x v="1"/>
    <x v="1"/>
    <x v="0"/>
    <x v="7"/>
    <n v="1"/>
    <n v="1"/>
    <n v="0"/>
    <n v="1"/>
    <x v="0"/>
    <n v="2.9377485161460701E-2"/>
  </r>
  <r>
    <x v="7"/>
    <x v="1"/>
    <x v="0"/>
    <x v="1"/>
    <x v="1"/>
    <x v="0"/>
    <x v="0"/>
    <x v="1"/>
    <x v="2"/>
    <x v="8"/>
    <n v="1"/>
    <n v="1"/>
    <n v="0"/>
    <m/>
    <x v="1"/>
    <n v="9.6883413810830737E-2"/>
  </r>
  <r>
    <x v="0"/>
    <x v="1"/>
    <x v="1"/>
    <x v="0"/>
    <x v="0"/>
    <x v="1"/>
    <x v="0"/>
    <x v="0"/>
    <x v="1"/>
    <x v="3"/>
    <n v="2"/>
    <n v="2"/>
    <n v="0"/>
    <n v="2"/>
    <x v="0"/>
    <n v="0.11930345952328165"/>
  </r>
  <r>
    <x v="7"/>
    <x v="0"/>
    <x v="0"/>
    <x v="1"/>
    <x v="0"/>
    <x v="0"/>
    <x v="1"/>
    <x v="0"/>
    <x v="0"/>
    <x v="6"/>
    <n v="1"/>
    <n v="1"/>
    <n v="0"/>
    <m/>
    <x v="1"/>
    <n v="9.9703130635719027E-3"/>
  </r>
  <r>
    <x v="7"/>
    <x v="1"/>
    <x v="0"/>
    <x v="1"/>
    <x v="1"/>
    <x v="1"/>
    <x v="0"/>
    <x v="1"/>
    <x v="1"/>
    <x v="0"/>
    <n v="1"/>
    <n v="1"/>
    <n v="0"/>
    <m/>
    <x v="1"/>
    <n v="5.8234290043702328E-2"/>
  </r>
  <r>
    <x v="22"/>
    <x v="0"/>
    <x v="0"/>
    <x v="2"/>
    <x v="0"/>
    <x v="0"/>
    <x v="0"/>
    <x v="0"/>
    <x v="1"/>
    <x v="4"/>
    <n v="6"/>
    <n v="8"/>
    <n v="0"/>
    <n v="6"/>
    <x v="0"/>
    <n v="0.31049028178639992"/>
  </r>
  <r>
    <x v="22"/>
    <x v="0"/>
    <x v="0"/>
    <x v="0"/>
    <x v="3"/>
    <x v="1"/>
    <x v="0"/>
    <x v="1"/>
    <x v="0"/>
    <x v="9"/>
    <n v="3"/>
    <n v="3"/>
    <n v="0"/>
    <n v="3"/>
    <x v="0"/>
    <n v="0.46320069517810697"/>
  </r>
  <r>
    <x v="5"/>
    <x v="1"/>
    <x v="0"/>
    <x v="1"/>
    <x v="0"/>
    <x v="0"/>
    <x v="1"/>
    <x v="1"/>
    <x v="0"/>
    <x v="5"/>
    <n v="3"/>
    <n v="3"/>
    <n v="0"/>
    <n v="2"/>
    <x v="0"/>
    <n v="4.499369767593267E-2"/>
  </r>
  <r>
    <x v="1"/>
    <x v="0"/>
    <x v="1"/>
    <x v="0"/>
    <x v="3"/>
    <x v="1"/>
    <x v="0"/>
    <x v="1"/>
    <x v="0"/>
    <x v="8"/>
    <n v="2"/>
    <n v="2"/>
    <n v="0"/>
    <n v="2"/>
    <x v="0"/>
    <n v="0.22507853204367734"/>
  </r>
  <r>
    <x v="11"/>
    <x v="0"/>
    <x v="0"/>
    <x v="2"/>
    <x v="1"/>
    <x v="0"/>
    <x v="0"/>
    <x v="1"/>
    <x v="2"/>
    <x v="9"/>
    <n v="5"/>
    <n v="9"/>
    <n v="0"/>
    <m/>
    <x v="1"/>
    <n v="1.5289696202242158"/>
  </r>
  <r>
    <x v="1"/>
    <x v="0"/>
    <x v="0"/>
    <x v="0"/>
    <x v="0"/>
    <x v="0"/>
    <x v="1"/>
    <x v="1"/>
    <x v="0"/>
    <x v="7"/>
    <n v="2"/>
    <n v="2"/>
    <n v="0"/>
    <n v="2"/>
    <x v="0"/>
    <n v="4.3206929616634408E-2"/>
  </r>
  <r>
    <x v="9"/>
    <x v="0"/>
    <x v="1"/>
    <x v="1"/>
    <x v="1"/>
    <x v="0"/>
    <x v="0"/>
    <x v="1"/>
    <x v="1"/>
    <x v="6"/>
    <n v="7"/>
    <n v="8"/>
    <n v="0"/>
    <n v="6"/>
    <x v="0"/>
    <n v="0.11380585207079588"/>
  </r>
  <r>
    <x v="12"/>
    <x v="1"/>
    <x v="1"/>
    <x v="0"/>
    <x v="3"/>
    <x v="1"/>
    <x v="0"/>
    <x v="1"/>
    <x v="0"/>
    <x v="9"/>
    <n v="1"/>
    <n v="1"/>
    <n v="0"/>
    <m/>
    <x v="1"/>
    <n v="0.16088299756810187"/>
  </r>
  <r>
    <x v="12"/>
    <x v="0"/>
    <x v="0"/>
    <x v="1"/>
    <x v="1"/>
    <x v="1"/>
    <x v="0"/>
    <x v="1"/>
    <x v="2"/>
    <x v="8"/>
    <n v="1"/>
    <n v="1"/>
    <n v="0"/>
    <m/>
    <x v="1"/>
    <n v="0.12254007280701143"/>
  </r>
  <r>
    <x v="8"/>
    <x v="1"/>
    <x v="0"/>
    <x v="0"/>
    <x v="1"/>
    <x v="1"/>
    <x v="0"/>
    <x v="1"/>
    <x v="0"/>
    <x v="9"/>
    <n v="3"/>
    <n v="9"/>
    <n v="0"/>
    <m/>
    <x v="1"/>
    <n v="1.5381911074433512"/>
  </r>
  <r>
    <x v="14"/>
    <x v="1"/>
    <x v="0"/>
    <x v="2"/>
    <x v="2"/>
    <x v="0"/>
    <x v="0"/>
    <x v="1"/>
    <x v="2"/>
    <x v="9"/>
    <n v="4"/>
    <n v="6"/>
    <n v="0"/>
    <m/>
    <x v="1"/>
    <n v="1.4054834358659369"/>
  </r>
  <r>
    <x v="0"/>
    <x v="1"/>
    <x v="0"/>
    <x v="2"/>
    <x v="0"/>
    <x v="0"/>
    <x v="0"/>
    <x v="0"/>
    <x v="2"/>
    <x v="9"/>
    <n v="2"/>
    <n v="2"/>
    <n v="0"/>
    <n v="2"/>
    <x v="0"/>
    <n v="0.34500564574730752"/>
  </r>
  <r>
    <x v="1"/>
    <x v="1"/>
    <x v="0"/>
    <x v="0"/>
    <x v="0"/>
    <x v="0"/>
    <x v="1"/>
    <x v="1"/>
    <x v="0"/>
    <x v="4"/>
    <n v="5"/>
    <n v="6"/>
    <n v="0"/>
    <n v="5"/>
    <x v="0"/>
    <n v="0.19383429830193535"/>
  </r>
  <r>
    <x v="10"/>
    <x v="1"/>
    <x v="0"/>
    <x v="1"/>
    <x v="0"/>
    <x v="1"/>
    <x v="1"/>
    <x v="0"/>
    <x v="1"/>
    <x v="5"/>
    <n v="1"/>
    <n v="1"/>
    <n v="0"/>
    <m/>
    <x v="1"/>
    <n v="1.9329122577824528E-2"/>
  </r>
  <r>
    <x v="9"/>
    <x v="1"/>
    <x v="0"/>
    <x v="2"/>
    <x v="2"/>
    <x v="0"/>
    <x v="0"/>
    <x v="0"/>
    <x v="1"/>
    <x v="1"/>
    <n v="2"/>
    <n v="2"/>
    <n v="0"/>
    <n v="2"/>
    <x v="0"/>
    <n v="0.16443979139191614"/>
  </r>
  <r>
    <x v="15"/>
    <x v="0"/>
    <x v="0"/>
    <x v="0"/>
    <x v="0"/>
    <x v="0"/>
    <x v="1"/>
    <x v="1"/>
    <x v="1"/>
    <x v="6"/>
    <n v="14"/>
    <n v="17"/>
    <n v="0"/>
    <n v="14"/>
    <x v="0"/>
    <n v="0.24334006685956669"/>
  </r>
  <r>
    <x v="2"/>
    <x v="0"/>
    <x v="1"/>
    <x v="0"/>
    <x v="0"/>
    <x v="0"/>
    <x v="0"/>
    <x v="1"/>
    <x v="2"/>
    <x v="1"/>
    <n v="1"/>
    <n v="1"/>
    <n v="0"/>
    <m/>
    <x v="1"/>
    <n v="6.785105877159095E-2"/>
  </r>
  <r>
    <x v="10"/>
    <x v="0"/>
    <x v="0"/>
    <x v="1"/>
    <x v="2"/>
    <x v="0"/>
    <x v="1"/>
    <x v="1"/>
    <x v="2"/>
    <x v="4"/>
    <n v="1"/>
    <n v="3"/>
    <n v="0"/>
    <m/>
    <x v="1"/>
    <n v="9.6366028704052642E-2"/>
  </r>
  <r>
    <x v="19"/>
    <x v="1"/>
    <x v="0"/>
    <x v="0"/>
    <x v="2"/>
    <x v="0"/>
    <x v="1"/>
    <x v="1"/>
    <x v="0"/>
    <x v="0"/>
    <n v="2"/>
    <n v="2"/>
    <n v="0"/>
    <m/>
    <x v="1"/>
    <n v="9.3402078399889468E-2"/>
  </r>
  <r>
    <x v="22"/>
    <x v="1"/>
    <x v="0"/>
    <x v="0"/>
    <x v="0"/>
    <x v="0"/>
    <x v="1"/>
    <x v="1"/>
    <x v="2"/>
    <x v="1"/>
    <n v="2"/>
    <n v="2"/>
    <n v="0"/>
    <n v="2"/>
    <x v="0"/>
    <n v="0.13948863320885782"/>
  </r>
  <r>
    <x v="19"/>
    <x v="1"/>
    <x v="0"/>
    <x v="2"/>
    <x v="2"/>
    <x v="0"/>
    <x v="0"/>
    <x v="1"/>
    <x v="0"/>
    <x v="8"/>
    <n v="4"/>
    <n v="5"/>
    <n v="0"/>
    <m/>
    <x v="1"/>
    <n v="0.59941916262037021"/>
  </r>
  <r>
    <x v="1"/>
    <x v="0"/>
    <x v="0"/>
    <x v="1"/>
    <x v="0"/>
    <x v="0"/>
    <x v="1"/>
    <x v="0"/>
    <x v="0"/>
    <x v="6"/>
    <n v="1"/>
    <n v="1"/>
    <n v="0"/>
    <n v="1"/>
    <x v="0"/>
    <n v="9.9703130635719027E-3"/>
  </r>
  <r>
    <x v="17"/>
    <x v="0"/>
    <x v="0"/>
    <x v="2"/>
    <x v="2"/>
    <x v="0"/>
    <x v="0"/>
    <x v="0"/>
    <x v="0"/>
    <x v="1"/>
    <n v="1"/>
    <n v="1"/>
    <n v="0"/>
    <n v="1"/>
    <x v="0"/>
    <n v="8.2646531177737778E-2"/>
  </r>
  <r>
    <x v="4"/>
    <x v="0"/>
    <x v="0"/>
    <x v="2"/>
    <x v="2"/>
    <x v="0"/>
    <x v="0"/>
    <x v="1"/>
    <x v="2"/>
    <x v="9"/>
    <n v="3"/>
    <n v="7"/>
    <n v="0"/>
    <m/>
    <x v="1"/>
    <n v="1.1779551608600349"/>
  </r>
  <r>
    <x v="3"/>
    <x v="1"/>
    <x v="0"/>
    <x v="0"/>
    <x v="0"/>
    <x v="0"/>
    <x v="0"/>
    <x v="0"/>
    <x v="0"/>
    <x v="1"/>
    <n v="10"/>
    <n v="13"/>
    <n v="0"/>
    <m/>
    <x v="1"/>
    <n v="0.85683791741084503"/>
  </r>
  <r>
    <x v="9"/>
    <x v="0"/>
    <x v="0"/>
    <x v="0"/>
    <x v="2"/>
    <x v="0"/>
    <x v="1"/>
    <x v="1"/>
    <x v="0"/>
    <x v="4"/>
    <n v="2"/>
    <n v="2"/>
    <n v="0"/>
    <n v="2"/>
    <x v="0"/>
    <n v="6.2769130013339253E-2"/>
  </r>
  <r>
    <x v="21"/>
    <x v="1"/>
    <x v="0"/>
    <x v="2"/>
    <x v="0"/>
    <x v="0"/>
    <x v="0"/>
    <x v="0"/>
    <x v="0"/>
    <x v="8"/>
    <n v="3"/>
    <n v="5"/>
    <n v="0"/>
    <m/>
    <x v="1"/>
    <n v="0.42470152977428904"/>
  </r>
  <r>
    <x v="20"/>
    <x v="0"/>
    <x v="0"/>
    <x v="2"/>
    <x v="1"/>
    <x v="1"/>
    <x v="0"/>
    <x v="1"/>
    <x v="0"/>
    <x v="9"/>
    <n v="2"/>
    <n v="4"/>
    <n v="1"/>
    <n v="2"/>
    <x v="0"/>
    <n v="0.60833634580759355"/>
  </r>
  <r>
    <x v="2"/>
    <x v="0"/>
    <x v="1"/>
    <x v="0"/>
    <x v="1"/>
    <x v="1"/>
    <x v="0"/>
    <x v="1"/>
    <x v="1"/>
    <x v="0"/>
    <n v="7"/>
    <n v="9"/>
    <n v="0"/>
    <m/>
    <x v="1"/>
    <n v="0.52762818522580224"/>
  </r>
  <r>
    <x v="5"/>
    <x v="1"/>
    <x v="1"/>
    <x v="1"/>
    <x v="0"/>
    <x v="1"/>
    <x v="1"/>
    <x v="0"/>
    <x v="1"/>
    <x v="6"/>
    <n v="1"/>
    <n v="1"/>
    <n v="0"/>
    <n v="1"/>
    <x v="0"/>
    <n v="1.350380369724709E-2"/>
  </r>
  <r>
    <x v="6"/>
    <x v="1"/>
    <x v="0"/>
    <x v="0"/>
    <x v="3"/>
    <x v="1"/>
    <x v="0"/>
    <x v="1"/>
    <x v="1"/>
    <x v="9"/>
    <n v="2"/>
    <n v="2"/>
    <n v="0"/>
    <m/>
    <x v="1"/>
    <n v="0.30733047533081592"/>
  </r>
  <r>
    <x v="18"/>
    <x v="0"/>
    <x v="1"/>
    <x v="2"/>
    <x v="1"/>
    <x v="1"/>
    <x v="0"/>
    <x v="1"/>
    <x v="0"/>
    <x v="8"/>
    <n v="1"/>
    <n v="1"/>
    <n v="0"/>
    <m/>
    <x v="1"/>
    <n v="0.11076881537434741"/>
  </r>
  <r>
    <x v="2"/>
    <x v="0"/>
    <x v="1"/>
    <x v="1"/>
    <x v="0"/>
    <x v="0"/>
    <x v="0"/>
    <x v="0"/>
    <x v="1"/>
    <x v="6"/>
    <n v="1"/>
    <n v="1"/>
    <n v="0"/>
    <m/>
    <x v="1"/>
    <n v="9.6288351632262403E-3"/>
  </r>
  <r>
    <x v="4"/>
    <x v="0"/>
    <x v="0"/>
    <x v="0"/>
    <x v="3"/>
    <x v="1"/>
    <x v="0"/>
    <x v="1"/>
    <x v="1"/>
    <x v="8"/>
    <n v="1"/>
    <n v="1"/>
    <n v="0"/>
    <m/>
    <x v="1"/>
    <n v="0.1072132568053293"/>
  </r>
  <r>
    <x v="3"/>
    <x v="0"/>
    <x v="0"/>
    <x v="0"/>
    <x v="2"/>
    <x v="0"/>
    <x v="0"/>
    <x v="1"/>
    <x v="2"/>
    <x v="9"/>
    <n v="13"/>
    <n v="21"/>
    <n v="0"/>
    <m/>
    <x v="1"/>
    <n v="2.7992684417397586"/>
  </r>
  <r>
    <x v="4"/>
    <x v="0"/>
    <x v="1"/>
    <x v="2"/>
    <x v="1"/>
    <x v="0"/>
    <x v="0"/>
    <x v="1"/>
    <x v="0"/>
    <x v="3"/>
    <n v="2"/>
    <n v="4"/>
    <n v="0"/>
    <m/>
    <x v="1"/>
    <n v="0.23808595196527138"/>
  </r>
  <r>
    <x v="12"/>
    <x v="1"/>
    <x v="0"/>
    <x v="0"/>
    <x v="2"/>
    <x v="1"/>
    <x v="0"/>
    <x v="1"/>
    <x v="1"/>
    <x v="8"/>
    <n v="7"/>
    <n v="10"/>
    <n v="0"/>
    <m/>
    <x v="1"/>
    <n v="1.1819311591599799"/>
  </r>
  <r>
    <x v="14"/>
    <x v="0"/>
    <x v="0"/>
    <x v="2"/>
    <x v="2"/>
    <x v="1"/>
    <x v="0"/>
    <x v="1"/>
    <x v="1"/>
    <x v="8"/>
    <n v="1"/>
    <n v="2"/>
    <n v="0"/>
    <m/>
    <x v="1"/>
    <n v="0.20888488220949553"/>
  </r>
  <r>
    <x v="5"/>
    <x v="0"/>
    <x v="1"/>
    <x v="0"/>
    <x v="0"/>
    <x v="0"/>
    <x v="0"/>
    <x v="0"/>
    <x v="2"/>
    <x v="1"/>
    <n v="2"/>
    <n v="3"/>
    <n v="0"/>
    <n v="2"/>
    <x v="0"/>
    <n v="0.20355317631477285"/>
  </r>
  <r>
    <x v="12"/>
    <x v="0"/>
    <x v="1"/>
    <x v="0"/>
    <x v="1"/>
    <x v="0"/>
    <x v="0"/>
    <x v="1"/>
    <x v="1"/>
    <x v="4"/>
    <n v="15"/>
    <n v="20"/>
    <n v="0"/>
    <m/>
    <x v="1"/>
    <n v="0.61340401713257631"/>
  </r>
  <r>
    <x v="11"/>
    <x v="0"/>
    <x v="0"/>
    <x v="0"/>
    <x v="0"/>
    <x v="0"/>
    <x v="1"/>
    <x v="0"/>
    <x v="1"/>
    <x v="6"/>
    <n v="5"/>
    <n v="5"/>
    <n v="0"/>
    <m/>
    <x v="1"/>
    <n v="7.157060789987256E-2"/>
  </r>
  <r>
    <x v="11"/>
    <x v="1"/>
    <x v="1"/>
    <x v="0"/>
    <x v="2"/>
    <x v="0"/>
    <x v="0"/>
    <x v="0"/>
    <x v="0"/>
    <x v="1"/>
    <n v="3"/>
    <n v="3"/>
    <n v="0"/>
    <m/>
    <x v="1"/>
    <n v="0.20126001532675697"/>
  </r>
  <r>
    <x v="12"/>
    <x v="1"/>
    <x v="0"/>
    <x v="1"/>
    <x v="3"/>
    <x v="1"/>
    <x v="1"/>
    <x v="1"/>
    <x v="0"/>
    <x v="0"/>
    <n v="1"/>
    <n v="1"/>
    <n v="0"/>
    <m/>
    <x v="1"/>
    <n v="5.6222700958497802E-2"/>
  </r>
  <r>
    <x v="20"/>
    <x v="1"/>
    <x v="1"/>
    <x v="0"/>
    <x v="0"/>
    <x v="1"/>
    <x v="0"/>
    <x v="0"/>
    <x v="1"/>
    <x v="3"/>
    <n v="2"/>
    <n v="2"/>
    <n v="0"/>
    <n v="2"/>
    <x v="0"/>
    <n v="0.11930345952328165"/>
  </r>
  <r>
    <x v="9"/>
    <x v="1"/>
    <x v="1"/>
    <x v="1"/>
    <x v="0"/>
    <x v="0"/>
    <x v="1"/>
    <x v="1"/>
    <x v="1"/>
    <x v="6"/>
    <n v="2"/>
    <n v="3"/>
    <n v="0"/>
    <n v="2"/>
    <x v="0"/>
    <n v="2.0720205964955687E-2"/>
  </r>
  <r>
    <x v="2"/>
    <x v="0"/>
    <x v="0"/>
    <x v="0"/>
    <x v="0"/>
    <x v="0"/>
    <x v="0"/>
    <x v="1"/>
    <x v="2"/>
    <x v="8"/>
    <n v="6"/>
    <n v="10"/>
    <n v="0"/>
    <m/>
    <x v="1"/>
    <n v="0.94866349728676458"/>
  </r>
  <r>
    <x v="18"/>
    <x v="1"/>
    <x v="0"/>
    <x v="0"/>
    <x v="1"/>
    <x v="1"/>
    <x v="0"/>
    <x v="1"/>
    <x v="0"/>
    <x v="9"/>
    <n v="2"/>
    <n v="2"/>
    <n v="1"/>
    <m/>
    <x v="1"/>
    <n v="0.34182024609852252"/>
  </r>
  <r>
    <x v="17"/>
    <x v="1"/>
    <x v="1"/>
    <x v="1"/>
    <x v="1"/>
    <x v="0"/>
    <x v="0"/>
    <x v="1"/>
    <x v="1"/>
    <x v="5"/>
    <n v="1"/>
    <n v="1"/>
    <n v="0"/>
    <n v="1"/>
    <x v="0"/>
    <n v="2.1352855449696815E-2"/>
  </r>
  <r>
    <x v="1"/>
    <x v="1"/>
    <x v="0"/>
    <x v="0"/>
    <x v="2"/>
    <x v="0"/>
    <x v="0"/>
    <x v="1"/>
    <x v="2"/>
    <x v="9"/>
    <n v="10"/>
    <n v="16"/>
    <n v="3"/>
    <n v="10"/>
    <x v="0"/>
    <n v="3.0186246149594185"/>
  </r>
  <r>
    <x v="22"/>
    <x v="1"/>
    <x v="1"/>
    <x v="2"/>
    <x v="1"/>
    <x v="0"/>
    <x v="0"/>
    <x v="1"/>
    <x v="1"/>
    <x v="3"/>
    <n v="9"/>
    <n v="11"/>
    <n v="1"/>
    <n v="9"/>
    <x v="0"/>
    <n v="0.65127175702636475"/>
  </r>
  <r>
    <x v="7"/>
    <x v="1"/>
    <x v="0"/>
    <x v="0"/>
    <x v="2"/>
    <x v="0"/>
    <x v="1"/>
    <x v="1"/>
    <x v="2"/>
    <x v="8"/>
    <n v="4"/>
    <n v="6"/>
    <n v="0"/>
    <m/>
    <x v="1"/>
    <n v="0.59468097787678198"/>
  </r>
  <r>
    <x v="4"/>
    <x v="1"/>
    <x v="0"/>
    <x v="2"/>
    <x v="0"/>
    <x v="0"/>
    <x v="0"/>
    <x v="0"/>
    <x v="0"/>
    <x v="8"/>
    <n v="3"/>
    <n v="4"/>
    <n v="0"/>
    <m/>
    <x v="1"/>
    <n v="0.33976122381943119"/>
  </r>
  <r>
    <x v="1"/>
    <x v="1"/>
    <x v="0"/>
    <x v="2"/>
    <x v="2"/>
    <x v="0"/>
    <x v="1"/>
    <x v="1"/>
    <x v="2"/>
    <x v="9"/>
    <n v="2"/>
    <n v="2"/>
    <n v="0"/>
    <n v="2"/>
    <x v="0"/>
    <n v="0.25286396656125659"/>
  </r>
  <r>
    <x v="20"/>
    <x v="0"/>
    <x v="1"/>
    <x v="0"/>
    <x v="3"/>
    <x v="1"/>
    <x v="1"/>
    <x v="0"/>
    <x v="0"/>
    <x v="0"/>
    <n v="1"/>
    <n v="1"/>
    <n v="0"/>
    <n v="1"/>
    <x v="0"/>
    <n v="5.6601068172472908E-2"/>
  </r>
  <r>
    <x v="6"/>
    <x v="0"/>
    <x v="0"/>
    <x v="0"/>
    <x v="1"/>
    <x v="0"/>
    <x v="1"/>
    <x v="1"/>
    <x v="0"/>
    <x v="4"/>
    <n v="3"/>
    <n v="4"/>
    <n v="1"/>
    <m/>
    <x v="1"/>
    <n v="0.12693592462841849"/>
  </r>
  <r>
    <x v="15"/>
    <x v="0"/>
    <x v="0"/>
    <x v="1"/>
    <x v="1"/>
    <x v="0"/>
    <x v="0"/>
    <x v="1"/>
    <x v="0"/>
    <x v="4"/>
    <n v="3"/>
    <n v="3"/>
    <n v="0"/>
    <n v="3"/>
    <x v="0"/>
    <n v="9.1879787574193156E-2"/>
  </r>
  <r>
    <x v="17"/>
    <x v="1"/>
    <x v="1"/>
    <x v="0"/>
    <x v="2"/>
    <x v="0"/>
    <x v="0"/>
    <x v="1"/>
    <x v="2"/>
    <x v="9"/>
    <n v="1"/>
    <n v="1"/>
    <n v="0"/>
    <n v="1"/>
    <x v="0"/>
    <n v="0.13904095240248723"/>
  </r>
  <r>
    <x v="12"/>
    <x v="1"/>
    <x v="1"/>
    <x v="0"/>
    <x v="2"/>
    <x v="1"/>
    <x v="0"/>
    <x v="0"/>
    <x v="0"/>
    <x v="8"/>
    <n v="1"/>
    <n v="1"/>
    <n v="0"/>
    <m/>
    <x v="1"/>
    <n v="0.12398881875313826"/>
  </r>
  <r>
    <x v="15"/>
    <x v="1"/>
    <x v="0"/>
    <x v="0"/>
    <x v="1"/>
    <x v="1"/>
    <x v="0"/>
    <x v="1"/>
    <x v="0"/>
    <x v="9"/>
    <n v="8"/>
    <n v="11"/>
    <n v="1"/>
    <n v="8"/>
    <x v="0"/>
    <n v="1.8800113535418737"/>
  </r>
  <r>
    <x v="10"/>
    <x v="0"/>
    <x v="0"/>
    <x v="1"/>
    <x v="0"/>
    <x v="0"/>
    <x v="0"/>
    <x v="0"/>
    <x v="1"/>
    <x v="6"/>
    <n v="6"/>
    <n v="7"/>
    <n v="0"/>
    <m/>
    <x v="1"/>
    <n v="9.6641651633330924E-2"/>
  </r>
  <r>
    <x v="20"/>
    <x v="0"/>
    <x v="0"/>
    <x v="2"/>
    <x v="0"/>
    <x v="0"/>
    <x v="1"/>
    <x v="1"/>
    <x v="1"/>
    <x v="5"/>
    <n v="2"/>
    <n v="2"/>
    <n v="0"/>
    <n v="2"/>
    <x v="0"/>
    <n v="3.7491703864349239E-2"/>
  </r>
  <r>
    <x v="11"/>
    <x v="1"/>
    <x v="0"/>
    <x v="2"/>
    <x v="2"/>
    <x v="0"/>
    <x v="0"/>
    <x v="0"/>
    <x v="1"/>
    <x v="1"/>
    <n v="5"/>
    <n v="5"/>
    <n v="0"/>
    <m/>
    <x v="1"/>
    <n v="0.41109947847979034"/>
  </r>
  <r>
    <x v="20"/>
    <x v="0"/>
    <x v="1"/>
    <x v="0"/>
    <x v="1"/>
    <x v="1"/>
    <x v="1"/>
    <x v="1"/>
    <x v="1"/>
    <x v="7"/>
    <n v="1"/>
    <n v="1"/>
    <n v="0"/>
    <n v="1"/>
    <x v="0"/>
    <n v="2.8621076959146192E-2"/>
  </r>
  <r>
    <x v="9"/>
    <x v="1"/>
    <x v="0"/>
    <x v="2"/>
    <x v="2"/>
    <x v="1"/>
    <x v="1"/>
    <x v="1"/>
    <x v="1"/>
    <x v="1"/>
    <n v="1"/>
    <n v="1"/>
    <n v="0"/>
    <n v="1"/>
    <x v="0"/>
    <n v="7.7000245135165221E-2"/>
  </r>
  <r>
    <x v="17"/>
    <x v="0"/>
    <x v="0"/>
    <x v="2"/>
    <x v="3"/>
    <x v="0"/>
    <x v="0"/>
    <x v="1"/>
    <x v="2"/>
    <x v="9"/>
    <n v="1"/>
    <n v="1"/>
    <n v="0"/>
    <n v="1"/>
    <x v="0"/>
    <n v="0.21511628420770765"/>
  </r>
  <r>
    <x v="10"/>
    <x v="1"/>
    <x v="0"/>
    <x v="1"/>
    <x v="0"/>
    <x v="0"/>
    <x v="0"/>
    <x v="0"/>
    <x v="0"/>
    <x v="4"/>
    <n v="2"/>
    <n v="2"/>
    <n v="0"/>
    <m/>
    <x v="1"/>
    <n v="6.2358044650831737E-2"/>
  </r>
  <r>
    <x v="22"/>
    <x v="1"/>
    <x v="0"/>
    <x v="0"/>
    <x v="0"/>
    <x v="1"/>
    <x v="1"/>
    <x v="1"/>
    <x v="1"/>
    <x v="4"/>
    <n v="2"/>
    <n v="3"/>
    <n v="0"/>
    <n v="2"/>
    <x v="0"/>
    <n v="0.12427510120731648"/>
  </r>
  <r>
    <x v="1"/>
    <x v="1"/>
    <x v="0"/>
    <x v="1"/>
    <x v="2"/>
    <x v="0"/>
    <x v="1"/>
    <x v="1"/>
    <x v="0"/>
    <x v="7"/>
    <n v="2"/>
    <n v="3"/>
    <n v="0"/>
    <n v="2"/>
    <x v="0"/>
    <n v="6.5565284631851017E-2"/>
  </r>
  <r>
    <x v="5"/>
    <x v="0"/>
    <x v="0"/>
    <x v="2"/>
    <x v="0"/>
    <x v="0"/>
    <x v="0"/>
    <x v="0"/>
    <x v="2"/>
    <x v="8"/>
    <n v="2"/>
    <n v="2"/>
    <n v="0"/>
    <n v="2"/>
    <x v="0"/>
    <n v="0.2423433124072577"/>
  </r>
  <r>
    <x v="6"/>
    <x v="0"/>
    <x v="0"/>
    <x v="2"/>
    <x v="1"/>
    <x v="0"/>
    <x v="0"/>
    <x v="1"/>
    <x v="2"/>
    <x v="9"/>
    <n v="5"/>
    <n v="11"/>
    <n v="0"/>
    <m/>
    <x v="1"/>
    <n v="1.868740646940708"/>
  </r>
  <r>
    <x v="10"/>
    <x v="0"/>
    <x v="0"/>
    <x v="2"/>
    <x v="0"/>
    <x v="1"/>
    <x v="0"/>
    <x v="1"/>
    <x v="1"/>
    <x v="1"/>
    <n v="2"/>
    <n v="2"/>
    <n v="0"/>
    <m/>
    <x v="1"/>
    <n v="0.14724648342003765"/>
  </r>
  <r>
    <x v="1"/>
    <x v="1"/>
    <x v="1"/>
    <x v="2"/>
    <x v="1"/>
    <x v="1"/>
    <x v="0"/>
    <x v="1"/>
    <x v="2"/>
    <x v="9"/>
    <n v="4"/>
    <n v="4"/>
    <n v="2"/>
    <n v="4"/>
    <x v="0"/>
    <n v="1.1889611455640932"/>
  </r>
  <r>
    <x v="14"/>
    <x v="0"/>
    <x v="1"/>
    <x v="0"/>
    <x v="1"/>
    <x v="1"/>
    <x v="0"/>
    <x v="1"/>
    <x v="2"/>
    <x v="9"/>
    <n v="3"/>
    <n v="6"/>
    <n v="0"/>
    <m/>
    <x v="1"/>
    <n v="1.0521689256352613"/>
  </r>
  <r>
    <x v="9"/>
    <x v="1"/>
    <x v="0"/>
    <x v="1"/>
    <x v="1"/>
    <x v="0"/>
    <x v="0"/>
    <x v="1"/>
    <x v="0"/>
    <x v="0"/>
    <n v="1"/>
    <n v="1"/>
    <n v="0"/>
    <n v="1"/>
    <x v="0"/>
    <n v="4.5590572395740707E-2"/>
  </r>
  <r>
    <x v="0"/>
    <x v="0"/>
    <x v="0"/>
    <x v="1"/>
    <x v="0"/>
    <x v="0"/>
    <x v="1"/>
    <x v="1"/>
    <x v="1"/>
    <x v="6"/>
    <n v="7"/>
    <n v="8"/>
    <n v="0"/>
    <n v="6"/>
    <x v="0"/>
    <n v="5.263822356052824E-2"/>
  </r>
  <r>
    <x v="4"/>
    <x v="1"/>
    <x v="0"/>
    <x v="2"/>
    <x v="1"/>
    <x v="0"/>
    <x v="0"/>
    <x v="1"/>
    <x v="1"/>
    <x v="1"/>
    <n v="13"/>
    <n v="21"/>
    <n v="0"/>
    <m/>
    <x v="1"/>
    <n v="1.744821382776047"/>
  </r>
  <r>
    <x v="21"/>
    <x v="1"/>
    <x v="1"/>
    <x v="0"/>
    <x v="0"/>
    <x v="0"/>
    <x v="1"/>
    <x v="1"/>
    <x v="1"/>
    <x v="5"/>
    <n v="1"/>
    <n v="1"/>
    <n v="0"/>
    <m/>
    <x v="1"/>
    <n v="1.5019597440186468E-2"/>
  </r>
  <r>
    <x v="7"/>
    <x v="0"/>
    <x v="0"/>
    <x v="0"/>
    <x v="2"/>
    <x v="1"/>
    <x v="0"/>
    <x v="0"/>
    <x v="0"/>
    <x v="8"/>
    <n v="3"/>
    <n v="3"/>
    <n v="0"/>
    <m/>
    <x v="1"/>
    <n v="0.35634676875446636"/>
  </r>
  <r>
    <x v="0"/>
    <x v="0"/>
    <x v="0"/>
    <x v="0"/>
    <x v="0"/>
    <x v="0"/>
    <x v="1"/>
    <x v="0"/>
    <x v="0"/>
    <x v="7"/>
    <n v="2"/>
    <n v="2"/>
    <n v="0"/>
    <n v="2"/>
    <x v="0"/>
    <n v="4.3206929616634408E-2"/>
  </r>
  <r>
    <x v="10"/>
    <x v="0"/>
    <x v="1"/>
    <x v="0"/>
    <x v="0"/>
    <x v="0"/>
    <x v="0"/>
    <x v="0"/>
    <x v="2"/>
    <x v="1"/>
    <n v="4"/>
    <n v="5"/>
    <n v="0"/>
    <m/>
    <x v="1"/>
    <n v="0.33925529385795472"/>
  </r>
  <r>
    <x v="22"/>
    <x v="1"/>
    <x v="1"/>
    <x v="2"/>
    <x v="1"/>
    <x v="1"/>
    <x v="0"/>
    <x v="1"/>
    <x v="2"/>
    <x v="9"/>
    <n v="1"/>
    <n v="1"/>
    <n v="0"/>
    <n v="1"/>
    <x v="0"/>
    <n v="0.29724028639102335"/>
  </r>
  <r>
    <x v="14"/>
    <x v="0"/>
    <x v="1"/>
    <x v="2"/>
    <x v="1"/>
    <x v="0"/>
    <x v="0"/>
    <x v="1"/>
    <x v="2"/>
    <x v="8"/>
    <n v="3"/>
    <n v="5"/>
    <n v="0"/>
    <m/>
    <x v="1"/>
    <n v="0.62222020002798129"/>
  </r>
  <r>
    <x v="2"/>
    <x v="0"/>
    <x v="1"/>
    <x v="0"/>
    <x v="0"/>
    <x v="0"/>
    <x v="1"/>
    <x v="1"/>
    <x v="1"/>
    <x v="6"/>
    <n v="5"/>
    <n v="5"/>
    <n v="0"/>
    <m/>
    <x v="1"/>
    <n v="4.9924056743669509E-2"/>
  </r>
  <r>
    <x v="0"/>
    <x v="1"/>
    <x v="0"/>
    <x v="2"/>
    <x v="1"/>
    <x v="1"/>
    <x v="0"/>
    <x v="1"/>
    <x v="0"/>
    <x v="9"/>
    <n v="3"/>
    <n v="3"/>
    <n v="0"/>
    <n v="2"/>
    <x v="0"/>
    <n v="0.63999503015723158"/>
  </r>
  <r>
    <x v="3"/>
    <x v="1"/>
    <x v="0"/>
    <x v="0"/>
    <x v="2"/>
    <x v="0"/>
    <x v="0"/>
    <x v="1"/>
    <x v="1"/>
    <x v="3"/>
    <n v="4"/>
    <n v="4"/>
    <n v="0"/>
    <m/>
    <x v="1"/>
    <n v="0.25502881531745741"/>
  </r>
  <r>
    <x v="18"/>
    <x v="0"/>
    <x v="0"/>
    <x v="0"/>
    <x v="0"/>
    <x v="0"/>
    <x v="0"/>
    <x v="0"/>
    <x v="2"/>
    <x v="8"/>
    <n v="3"/>
    <n v="4"/>
    <n v="0"/>
    <m/>
    <x v="1"/>
    <n v="0.37946539891470582"/>
  </r>
  <r>
    <x v="21"/>
    <x v="1"/>
    <x v="1"/>
    <x v="2"/>
    <x v="1"/>
    <x v="0"/>
    <x v="0"/>
    <x v="1"/>
    <x v="0"/>
    <x v="8"/>
    <n v="2"/>
    <n v="4"/>
    <n v="0"/>
    <m/>
    <x v="1"/>
    <n v="0.34932580985404377"/>
  </r>
  <r>
    <x v="4"/>
    <x v="1"/>
    <x v="0"/>
    <x v="1"/>
    <x v="0"/>
    <x v="0"/>
    <x v="1"/>
    <x v="1"/>
    <x v="0"/>
    <x v="5"/>
    <n v="2"/>
    <n v="2"/>
    <n v="0"/>
    <m/>
    <x v="1"/>
    <n v="2.9995798450621777E-2"/>
  </r>
  <r>
    <x v="22"/>
    <x v="0"/>
    <x v="0"/>
    <x v="2"/>
    <x v="2"/>
    <x v="1"/>
    <x v="0"/>
    <x v="0"/>
    <x v="2"/>
    <x v="9"/>
    <n v="1"/>
    <n v="1"/>
    <n v="0"/>
    <n v="1"/>
    <x v="0"/>
    <n v="0.28480875100254455"/>
  </r>
  <r>
    <x v="20"/>
    <x v="1"/>
    <x v="1"/>
    <x v="0"/>
    <x v="0"/>
    <x v="0"/>
    <x v="1"/>
    <x v="0"/>
    <x v="1"/>
    <x v="5"/>
    <n v="4"/>
    <n v="4"/>
    <n v="0"/>
    <n v="4"/>
    <x v="0"/>
    <n v="6.0078389760745872E-2"/>
  </r>
  <r>
    <x v="8"/>
    <x v="1"/>
    <x v="0"/>
    <x v="2"/>
    <x v="2"/>
    <x v="1"/>
    <x v="0"/>
    <x v="1"/>
    <x v="0"/>
    <x v="9"/>
    <n v="1"/>
    <n v="1"/>
    <n v="0"/>
    <m/>
    <x v="1"/>
    <n v="0.21141932175066067"/>
  </r>
  <r>
    <x v="4"/>
    <x v="1"/>
    <x v="0"/>
    <x v="2"/>
    <x v="2"/>
    <x v="0"/>
    <x v="0"/>
    <x v="1"/>
    <x v="1"/>
    <x v="1"/>
    <n v="1"/>
    <n v="1"/>
    <n v="0"/>
    <m/>
    <x v="1"/>
    <n v="8.221989569595807E-2"/>
  </r>
  <r>
    <x v="11"/>
    <x v="0"/>
    <x v="0"/>
    <x v="1"/>
    <x v="0"/>
    <x v="0"/>
    <x v="0"/>
    <x v="0"/>
    <x v="1"/>
    <x v="6"/>
    <n v="3"/>
    <n v="4"/>
    <n v="0"/>
    <m/>
    <x v="1"/>
    <n v="5.5223800933331964E-2"/>
  </r>
  <r>
    <x v="18"/>
    <x v="0"/>
    <x v="0"/>
    <x v="2"/>
    <x v="1"/>
    <x v="1"/>
    <x v="0"/>
    <x v="1"/>
    <x v="1"/>
    <x v="8"/>
    <n v="1"/>
    <n v="1"/>
    <n v="0"/>
    <m/>
    <x v="1"/>
    <n v="0.10551663196804721"/>
  </r>
  <r>
    <x v="10"/>
    <x v="1"/>
    <x v="1"/>
    <x v="2"/>
    <x v="1"/>
    <x v="0"/>
    <x v="0"/>
    <x v="1"/>
    <x v="0"/>
    <x v="8"/>
    <n v="4"/>
    <n v="5"/>
    <n v="0"/>
    <m/>
    <x v="1"/>
    <n v="0.4366572623175547"/>
  </r>
  <r>
    <x v="15"/>
    <x v="1"/>
    <x v="1"/>
    <x v="0"/>
    <x v="1"/>
    <x v="0"/>
    <x v="0"/>
    <x v="1"/>
    <x v="0"/>
    <x v="1"/>
    <n v="5"/>
    <n v="5"/>
    <n v="1"/>
    <n v="5"/>
    <x v="0"/>
    <n v="0.33902873924231464"/>
  </r>
  <r>
    <x v="15"/>
    <x v="0"/>
    <x v="1"/>
    <x v="1"/>
    <x v="0"/>
    <x v="0"/>
    <x v="0"/>
    <x v="1"/>
    <x v="1"/>
    <x v="6"/>
    <n v="3"/>
    <n v="3"/>
    <n v="0"/>
    <n v="3"/>
    <x v="0"/>
    <n v="2.8886505489678724E-2"/>
  </r>
  <r>
    <x v="6"/>
    <x v="0"/>
    <x v="0"/>
    <x v="0"/>
    <x v="0"/>
    <x v="1"/>
    <x v="0"/>
    <x v="0"/>
    <x v="0"/>
    <x v="1"/>
    <n v="2"/>
    <n v="2"/>
    <n v="0"/>
    <m/>
    <x v="1"/>
    <n v="0.16825824609222664"/>
  </r>
  <r>
    <x v="0"/>
    <x v="1"/>
    <x v="0"/>
    <x v="2"/>
    <x v="3"/>
    <x v="1"/>
    <x v="0"/>
    <x v="1"/>
    <x v="0"/>
    <x v="9"/>
    <n v="1"/>
    <n v="2"/>
    <n v="0"/>
    <n v="1"/>
    <x v="0"/>
    <n v="0.53283456137155227"/>
  </r>
  <r>
    <x v="15"/>
    <x v="0"/>
    <x v="1"/>
    <x v="0"/>
    <x v="2"/>
    <x v="0"/>
    <x v="0"/>
    <x v="0"/>
    <x v="0"/>
    <x v="0"/>
    <n v="1"/>
    <n v="1"/>
    <n v="0"/>
    <n v="1"/>
    <x v="0"/>
    <n v="4.540277721734616E-2"/>
  </r>
  <r>
    <x v="16"/>
    <x v="1"/>
    <x v="0"/>
    <x v="1"/>
    <x v="3"/>
    <x v="0"/>
    <x v="1"/>
    <x v="1"/>
    <x v="0"/>
    <x v="7"/>
    <n v="1"/>
    <n v="2"/>
    <n v="0"/>
    <m/>
    <x v="1"/>
    <n v="5.8754970322921402E-2"/>
  </r>
  <r>
    <x v="0"/>
    <x v="1"/>
    <x v="0"/>
    <x v="2"/>
    <x v="2"/>
    <x v="0"/>
    <x v="1"/>
    <x v="1"/>
    <x v="2"/>
    <x v="9"/>
    <n v="2"/>
    <n v="2"/>
    <n v="0"/>
    <n v="2"/>
    <x v="0"/>
    <n v="0.25286396656125659"/>
  </r>
  <r>
    <x v="16"/>
    <x v="1"/>
    <x v="0"/>
    <x v="0"/>
    <x v="0"/>
    <x v="1"/>
    <x v="1"/>
    <x v="1"/>
    <x v="1"/>
    <x v="4"/>
    <n v="3"/>
    <n v="3"/>
    <n v="0"/>
    <m/>
    <x v="1"/>
    <n v="0.12427510120731648"/>
  </r>
  <r>
    <x v="1"/>
    <x v="1"/>
    <x v="0"/>
    <x v="0"/>
    <x v="2"/>
    <x v="1"/>
    <x v="0"/>
    <x v="0"/>
    <x v="1"/>
    <x v="8"/>
    <n v="8"/>
    <n v="8"/>
    <n v="0"/>
    <n v="8"/>
    <x v="0"/>
    <n v="0.94554492732798401"/>
  </r>
  <r>
    <x v="11"/>
    <x v="0"/>
    <x v="0"/>
    <x v="1"/>
    <x v="0"/>
    <x v="0"/>
    <x v="0"/>
    <x v="1"/>
    <x v="2"/>
    <x v="0"/>
    <n v="1"/>
    <n v="1"/>
    <n v="0"/>
    <m/>
    <x v="1"/>
    <n v="4.5621764642715154E-2"/>
  </r>
  <r>
    <x v="15"/>
    <x v="0"/>
    <x v="0"/>
    <x v="2"/>
    <x v="0"/>
    <x v="0"/>
    <x v="1"/>
    <x v="1"/>
    <x v="0"/>
    <x v="7"/>
    <n v="2"/>
    <n v="2"/>
    <n v="0"/>
    <n v="2"/>
    <x v="0"/>
    <n v="5.6454772893196677E-2"/>
  </r>
  <r>
    <x v="9"/>
    <x v="0"/>
    <x v="0"/>
    <x v="2"/>
    <x v="0"/>
    <x v="0"/>
    <x v="1"/>
    <x v="0"/>
    <x v="1"/>
    <x v="5"/>
    <n v="2"/>
    <n v="2"/>
    <n v="0"/>
    <n v="2"/>
    <x v="0"/>
    <n v="3.7491703864349239E-2"/>
  </r>
  <r>
    <x v="19"/>
    <x v="1"/>
    <x v="0"/>
    <x v="1"/>
    <x v="0"/>
    <x v="0"/>
    <x v="1"/>
    <x v="1"/>
    <x v="1"/>
    <x v="6"/>
    <n v="3"/>
    <n v="3"/>
    <n v="0"/>
    <m/>
    <x v="1"/>
    <n v="2.9744369367269385E-2"/>
  </r>
  <r>
    <x v="11"/>
    <x v="0"/>
    <x v="0"/>
    <x v="0"/>
    <x v="2"/>
    <x v="1"/>
    <x v="0"/>
    <x v="0"/>
    <x v="0"/>
    <x v="8"/>
    <n v="2"/>
    <n v="3"/>
    <n v="0"/>
    <m/>
    <x v="1"/>
    <n v="0.35634676875446636"/>
  </r>
  <r>
    <x v="20"/>
    <x v="0"/>
    <x v="1"/>
    <x v="0"/>
    <x v="1"/>
    <x v="0"/>
    <x v="0"/>
    <x v="1"/>
    <x v="2"/>
    <x v="8"/>
    <n v="11"/>
    <n v="12"/>
    <n v="2"/>
    <n v="11"/>
    <x v="0"/>
    <n v="1.1700857771323756"/>
  </r>
  <r>
    <x v="13"/>
    <x v="1"/>
    <x v="0"/>
    <x v="2"/>
    <x v="2"/>
    <x v="0"/>
    <x v="0"/>
    <x v="1"/>
    <x v="1"/>
    <x v="1"/>
    <n v="1"/>
    <n v="1"/>
    <n v="0"/>
    <m/>
    <x v="1"/>
    <n v="8.221989569595807E-2"/>
  </r>
  <r>
    <x v="0"/>
    <x v="1"/>
    <x v="0"/>
    <x v="1"/>
    <x v="0"/>
    <x v="0"/>
    <x v="1"/>
    <x v="0"/>
    <x v="0"/>
    <x v="5"/>
    <n v="2"/>
    <n v="2"/>
    <n v="0"/>
    <n v="2"/>
    <x v="0"/>
    <n v="2.9995798450621777E-2"/>
  </r>
  <r>
    <x v="17"/>
    <x v="1"/>
    <x v="0"/>
    <x v="0"/>
    <x v="2"/>
    <x v="0"/>
    <x v="1"/>
    <x v="1"/>
    <x v="0"/>
    <x v="0"/>
    <n v="2"/>
    <n v="2"/>
    <n v="0"/>
    <n v="2"/>
    <x v="0"/>
    <n v="9.3402078399889468E-2"/>
  </r>
  <r>
    <x v="21"/>
    <x v="1"/>
    <x v="0"/>
    <x v="0"/>
    <x v="3"/>
    <x v="1"/>
    <x v="0"/>
    <x v="1"/>
    <x v="0"/>
    <x v="9"/>
    <n v="2"/>
    <n v="3"/>
    <n v="0"/>
    <m/>
    <x v="1"/>
    <n v="0.64902778059141164"/>
  </r>
  <r>
    <x v="6"/>
    <x v="0"/>
    <x v="0"/>
    <x v="2"/>
    <x v="2"/>
    <x v="0"/>
    <x v="0"/>
    <x v="1"/>
    <x v="2"/>
    <x v="9"/>
    <n v="2"/>
    <n v="2"/>
    <n v="0"/>
    <m/>
    <x v="1"/>
    <n v="0.33655861738858139"/>
  </r>
  <r>
    <x v="14"/>
    <x v="1"/>
    <x v="1"/>
    <x v="2"/>
    <x v="0"/>
    <x v="0"/>
    <x v="0"/>
    <x v="0"/>
    <x v="1"/>
    <x v="4"/>
    <n v="4"/>
    <n v="5"/>
    <n v="0"/>
    <m/>
    <x v="1"/>
    <n v="0.20337145013265859"/>
  </r>
  <r>
    <x v="15"/>
    <x v="1"/>
    <x v="0"/>
    <x v="2"/>
    <x v="0"/>
    <x v="0"/>
    <x v="1"/>
    <x v="1"/>
    <x v="1"/>
    <x v="7"/>
    <n v="5"/>
    <n v="5"/>
    <n v="0"/>
    <n v="5"/>
    <x v="0"/>
    <n v="0.14036537528035173"/>
  </r>
  <r>
    <x v="2"/>
    <x v="1"/>
    <x v="1"/>
    <x v="0"/>
    <x v="0"/>
    <x v="0"/>
    <x v="1"/>
    <x v="0"/>
    <x v="1"/>
    <x v="5"/>
    <n v="3"/>
    <n v="3"/>
    <n v="0"/>
    <m/>
    <x v="1"/>
    <n v="4.5058792320559406E-2"/>
  </r>
  <r>
    <x v="4"/>
    <x v="0"/>
    <x v="0"/>
    <x v="2"/>
    <x v="0"/>
    <x v="0"/>
    <x v="1"/>
    <x v="0"/>
    <x v="1"/>
    <x v="5"/>
    <n v="2"/>
    <n v="2"/>
    <n v="0"/>
    <m/>
    <x v="1"/>
    <n v="3.7491703864349239E-2"/>
  </r>
  <r>
    <x v="14"/>
    <x v="0"/>
    <x v="0"/>
    <x v="2"/>
    <x v="2"/>
    <x v="0"/>
    <x v="0"/>
    <x v="1"/>
    <x v="1"/>
    <x v="0"/>
    <n v="4"/>
    <n v="5"/>
    <n v="0"/>
    <m/>
    <x v="1"/>
    <n v="0.27968949435395019"/>
  </r>
  <r>
    <x v="19"/>
    <x v="1"/>
    <x v="1"/>
    <x v="0"/>
    <x v="2"/>
    <x v="0"/>
    <x v="0"/>
    <x v="1"/>
    <x v="1"/>
    <x v="0"/>
    <n v="2"/>
    <n v="2"/>
    <n v="0"/>
    <m/>
    <x v="1"/>
    <n v="9.0317871897326291E-2"/>
  </r>
  <r>
    <x v="22"/>
    <x v="0"/>
    <x v="0"/>
    <x v="0"/>
    <x v="2"/>
    <x v="0"/>
    <x v="0"/>
    <x v="1"/>
    <x v="1"/>
    <x v="2"/>
    <n v="7"/>
    <n v="9"/>
    <n v="0"/>
    <n v="7"/>
    <x v="0"/>
    <n v="0.38789774432166263"/>
  </r>
  <r>
    <x v="22"/>
    <x v="0"/>
    <x v="0"/>
    <x v="0"/>
    <x v="0"/>
    <x v="0"/>
    <x v="1"/>
    <x v="1"/>
    <x v="0"/>
    <x v="7"/>
    <n v="3"/>
    <n v="3"/>
    <n v="0"/>
    <n v="3"/>
    <x v="0"/>
    <n v="6.4810394424951609E-2"/>
  </r>
  <r>
    <x v="3"/>
    <x v="0"/>
    <x v="0"/>
    <x v="0"/>
    <x v="2"/>
    <x v="0"/>
    <x v="0"/>
    <x v="0"/>
    <x v="2"/>
    <x v="9"/>
    <n v="5"/>
    <n v="11"/>
    <n v="0"/>
    <m/>
    <x v="1"/>
    <n v="1.4662834694827307"/>
  </r>
  <r>
    <x v="13"/>
    <x v="0"/>
    <x v="1"/>
    <x v="0"/>
    <x v="2"/>
    <x v="0"/>
    <x v="0"/>
    <x v="1"/>
    <x v="1"/>
    <x v="7"/>
    <n v="1"/>
    <n v="2"/>
    <n v="0"/>
    <m/>
    <x v="1"/>
    <n v="6.066426167972111E-2"/>
  </r>
  <r>
    <x v="6"/>
    <x v="1"/>
    <x v="0"/>
    <x v="0"/>
    <x v="3"/>
    <x v="1"/>
    <x v="0"/>
    <x v="1"/>
    <x v="2"/>
    <x v="9"/>
    <n v="1"/>
    <n v="1"/>
    <n v="0"/>
    <m/>
    <x v="1"/>
    <n v="0.38271027807477309"/>
  </r>
  <r>
    <x v="10"/>
    <x v="1"/>
    <x v="0"/>
    <x v="0"/>
    <x v="0"/>
    <x v="0"/>
    <x v="1"/>
    <x v="0"/>
    <x v="1"/>
    <x v="7"/>
    <n v="4"/>
    <n v="6"/>
    <n v="0"/>
    <m/>
    <x v="1"/>
    <n v="0.12890738402281215"/>
  </r>
  <r>
    <x v="0"/>
    <x v="1"/>
    <x v="0"/>
    <x v="1"/>
    <x v="0"/>
    <x v="1"/>
    <x v="1"/>
    <x v="0"/>
    <x v="1"/>
    <x v="5"/>
    <n v="1"/>
    <n v="1"/>
    <n v="0"/>
    <n v="1"/>
    <x v="0"/>
    <n v="1.9329122577824528E-2"/>
  </r>
  <r>
    <x v="4"/>
    <x v="0"/>
    <x v="1"/>
    <x v="2"/>
    <x v="1"/>
    <x v="1"/>
    <x v="0"/>
    <x v="1"/>
    <x v="1"/>
    <x v="1"/>
    <n v="1"/>
    <n v="3"/>
    <n v="0"/>
    <m/>
    <x v="1"/>
    <n v="0.22716649774048389"/>
  </r>
  <r>
    <x v="21"/>
    <x v="0"/>
    <x v="1"/>
    <x v="0"/>
    <x v="0"/>
    <x v="0"/>
    <x v="0"/>
    <x v="0"/>
    <x v="1"/>
    <x v="5"/>
    <n v="6"/>
    <n v="8"/>
    <n v="0"/>
    <m/>
    <x v="1"/>
    <n v="0.16697565933268874"/>
  </r>
  <r>
    <x v="14"/>
    <x v="1"/>
    <x v="1"/>
    <x v="1"/>
    <x v="2"/>
    <x v="0"/>
    <x v="1"/>
    <x v="1"/>
    <x v="0"/>
    <x v="5"/>
    <n v="1"/>
    <n v="1"/>
    <n v="0"/>
    <m/>
    <x v="1"/>
    <n v="1.5280372194897402E-2"/>
  </r>
  <r>
    <x v="8"/>
    <x v="0"/>
    <x v="0"/>
    <x v="0"/>
    <x v="0"/>
    <x v="0"/>
    <x v="1"/>
    <x v="0"/>
    <x v="0"/>
    <x v="7"/>
    <n v="2"/>
    <n v="2"/>
    <n v="0"/>
    <m/>
    <x v="1"/>
    <n v="4.3206929616634408E-2"/>
  </r>
  <r>
    <x v="0"/>
    <x v="0"/>
    <x v="0"/>
    <x v="2"/>
    <x v="1"/>
    <x v="0"/>
    <x v="0"/>
    <x v="1"/>
    <x v="2"/>
    <x v="9"/>
    <n v="8"/>
    <n v="10"/>
    <n v="0"/>
    <n v="8"/>
    <x v="0"/>
    <n v="1.6988551335824618"/>
  </r>
  <r>
    <x v="6"/>
    <x v="1"/>
    <x v="0"/>
    <x v="0"/>
    <x v="0"/>
    <x v="0"/>
    <x v="1"/>
    <x v="0"/>
    <x v="2"/>
    <x v="1"/>
    <n v="1"/>
    <n v="1"/>
    <n v="0"/>
    <m/>
    <x v="1"/>
    <n v="6.974431660442891E-2"/>
  </r>
  <r>
    <x v="8"/>
    <x v="0"/>
    <x v="0"/>
    <x v="0"/>
    <x v="2"/>
    <x v="1"/>
    <x v="0"/>
    <x v="1"/>
    <x v="0"/>
    <x v="8"/>
    <n v="2"/>
    <n v="3"/>
    <n v="0"/>
    <m/>
    <x v="1"/>
    <n v="0.35634676875446636"/>
  </r>
  <r>
    <x v="22"/>
    <x v="1"/>
    <x v="0"/>
    <x v="0"/>
    <x v="0"/>
    <x v="0"/>
    <x v="0"/>
    <x v="0"/>
    <x v="2"/>
    <x v="9"/>
    <n v="5"/>
    <n v="6"/>
    <n v="1"/>
    <n v="5"/>
    <x v="0"/>
    <n v="0.82073068377998026"/>
  </r>
  <r>
    <x v="20"/>
    <x v="1"/>
    <x v="1"/>
    <x v="0"/>
    <x v="3"/>
    <x v="0"/>
    <x v="1"/>
    <x v="1"/>
    <x v="1"/>
    <x v="7"/>
    <n v="1"/>
    <n v="1"/>
    <n v="0"/>
    <n v="1"/>
    <x v="0"/>
    <n v="2.9419365696574228E-2"/>
  </r>
  <r>
    <x v="13"/>
    <x v="1"/>
    <x v="0"/>
    <x v="0"/>
    <x v="1"/>
    <x v="0"/>
    <x v="0"/>
    <x v="1"/>
    <x v="0"/>
    <x v="8"/>
    <n v="6"/>
    <n v="9"/>
    <n v="1"/>
    <m/>
    <x v="1"/>
    <n v="0.85324349566828162"/>
  </r>
  <r>
    <x v="8"/>
    <x v="1"/>
    <x v="0"/>
    <x v="0"/>
    <x v="0"/>
    <x v="0"/>
    <x v="0"/>
    <x v="0"/>
    <x v="2"/>
    <x v="9"/>
    <n v="8"/>
    <n v="12"/>
    <n v="1"/>
    <m/>
    <x v="1"/>
    <n v="1.6414613675599605"/>
  </r>
  <r>
    <x v="15"/>
    <x v="0"/>
    <x v="1"/>
    <x v="0"/>
    <x v="0"/>
    <x v="0"/>
    <x v="0"/>
    <x v="0"/>
    <x v="2"/>
    <x v="1"/>
    <n v="1"/>
    <n v="2"/>
    <n v="0"/>
    <n v="1"/>
    <x v="0"/>
    <n v="0.1357021175431819"/>
  </r>
  <r>
    <x v="14"/>
    <x v="1"/>
    <x v="0"/>
    <x v="2"/>
    <x v="0"/>
    <x v="0"/>
    <x v="0"/>
    <x v="0"/>
    <x v="0"/>
    <x v="8"/>
    <n v="7"/>
    <n v="10"/>
    <n v="0"/>
    <m/>
    <x v="1"/>
    <n v="0.84940305954857809"/>
  </r>
  <r>
    <x v="20"/>
    <x v="1"/>
    <x v="1"/>
    <x v="2"/>
    <x v="1"/>
    <x v="0"/>
    <x v="0"/>
    <x v="1"/>
    <x v="1"/>
    <x v="3"/>
    <n v="5"/>
    <n v="7"/>
    <n v="0"/>
    <n v="5"/>
    <x v="0"/>
    <n v="0.41444566356223211"/>
  </r>
  <r>
    <x v="7"/>
    <x v="0"/>
    <x v="1"/>
    <x v="2"/>
    <x v="1"/>
    <x v="0"/>
    <x v="0"/>
    <x v="1"/>
    <x v="0"/>
    <x v="3"/>
    <n v="2"/>
    <n v="3"/>
    <n v="0"/>
    <m/>
    <x v="1"/>
    <n v="0.17856446397395354"/>
  </r>
  <r>
    <x v="18"/>
    <x v="1"/>
    <x v="0"/>
    <x v="0"/>
    <x v="2"/>
    <x v="0"/>
    <x v="0"/>
    <x v="1"/>
    <x v="1"/>
    <x v="3"/>
    <n v="1"/>
    <n v="1"/>
    <n v="0"/>
    <m/>
    <x v="1"/>
    <n v="6.3757203829364353E-2"/>
  </r>
  <r>
    <x v="3"/>
    <x v="0"/>
    <x v="0"/>
    <x v="0"/>
    <x v="0"/>
    <x v="0"/>
    <x v="1"/>
    <x v="1"/>
    <x v="1"/>
    <x v="6"/>
    <n v="8"/>
    <n v="9"/>
    <n v="0"/>
    <m/>
    <x v="1"/>
    <n v="0.12882709421977059"/>
  </r>
  <r>
    <x v="8"/>
    <x v="0"/>
    <x v="0"/>
    <x v="0"/>
    <x v="0"/>
    <x v="0"/>
    <x v="1"/>
    <x v="1"/>
    <x v="0"/>
    <x v="7"/>
    <n v="1"/>
    <n v="1"/>
    <n v="0"/>
    <m/>
    <x v="1"/>
    <n v="2.1603464808317204E-2"/>
  </r>
  <r>
    <x v="9"/>
    <x v="1"/>
    <x v="0"/>
    <x v="0"/>
    <x v="0"/>
    <x v="1"/>
    <x v="1"/>
    <x v="1"/>
    <x v="1"/>
    <x v="4"/>
    <n v="1"/>
    <n v="1"/>
    <n v="0"/>
    <n v="1"/>
    <x v="0"/>
    <n v="4.1425033735772165E-2"/>
  </r>
  <r>
    <x v="9"/>
    <x v="0"/>
    <x v="0"/>
    <x v="2"/>
    <x v="0"/>
    <x v="0"/>
    <x v="0"/>
    <x v="0"/>
    <x v="1"/>
    <x v="4"/>
    <n v="12"/>
    <n v="13"/>
    <n v="0"/>
    <n v="12"/>
    <x v="0"/>
    <n v="0.5045467079028999"/>
  </r>
  <r>
    <x v="0"/>
    <x v="0"/>
    <x v="1"/>
    <x v="2"/>
    <x v="1"/>
    <x v="1"/>
    <x v="0"/>
    <x v="1"/>
    <x v="1"/>
    <x v="1"/>
    <n v="7"/>
    <n v="8"/>
    <n v="0"/>
    <n v="7"/>
    <x v="0"/>
    <n v="0.60577732730795708"/>
  </r>
  <r>
    <x v="14"/>
    <x v="0"/>
    <x v="0"/>
    <x v="2"/>
    <x v="1"/>
    <x v="1"/>
    <x v="0"/>
    <x v="1"/>
    <x v="0"/>
    <x v="9"/>
    <n v="2"/>
    <n v="3"/>
    <n v="0"/>
    <m/>
    <x v="1"/>
    <n v="0.45625225935569513"/>
  </r>
  <r>
    <x v="0"/>
    <x v="0"/>
    <x v="1"/>
    <x v="1"/>
    <x v="0"/>
    <x v="0"/>
    <x v="0"/>
    <x v="1"/>
    <x v="1"/>
    <x v="6"/>
    <n v="2"/>
    <n v="3"/>
    <n v="0"/>
    <n v="2"/>
    <x v="0"/>
    <n v="2.8886505489678724E-2"/>
  </r>
  <r>
    <x v="22"/>
    <x v="1"/>
    <x v="1"/>
    <x v="2"/>
    <x v="2"/>
    <x v="1"/>
    <x v="0"/>
    <x v="1"/>
    <x v="1"/>
    <x v="8"/>
    <n v="1"/>
    <n v="1"/>
    <n v="0"/>
    <n v="1"/>
    <x v="0"/>
    <n v="0.10909826649368773"/>
  </r>
  <r>
    <x v="7"/>
    <x v="1"/>
    <x v="0"/>
    <x v="1"/>
    <x v="1"/>
    <x v="0"/>
    <x v="0"/>
    <x v="1"/>
    <x v="0"/>
    <x v="0"/>
    <n v="1"/>
    <n v="1"/>
    <n v="0"/>
    <m/>
    <x v="1"/>
    <n v="4.5590572395740707E-2"/>
  </r>
  <r>
    <x v="20"/>
    <x v="0"/>
    <x v="1"/>
    <x v="2"/>
    <x v="2"/>
    <x v="0"/>
    <x v="0"/>
    <x v="1"/>
    <x v="2"/>
    <x v="8"/>
    <n v="1"/>
    <n v="1"/>
    <n v="0"/>
    <n v="1"/>
    <x v="0"/>
    <n v="0.12320370260660997"/>
  </r>
  <r>
    <x v="7"/>
    <x v="0"/>
    <x v="0"/>
    <x v="1"/>
    <x v="1"/>
    <x v="1"/>
    <x v="0"/>
    <x v="1"/>
    <x v="1"/>
    <x v="4"/>
    <n v="5"/>
    <n v="6"/>
    <n v="0"/>
    <m/>
    <x v="1"/>
    <n v="0.23574703877313608"/>
  </r>
  <r>
    <x v="19"/>
    <x v="0"/>
    <x v="0"/>
    <x v="0"/>
    <x v="2"/>
    <x v="1"/>
    <x v="1"/>
    <x v="0"/>
    <x v="0"/>
    <x v="3"/>
    <n v="1"/>
    <n v="1"/>
    <n v="0"/>
    <m/>
    <x v="1"/>
    <n v="5.995057339817321E-2"/>
  </r>
  <r>
    <x v="7"/>
    <x v="0"/>
    <x v="1"/>
    <x v="0"/>
    <x v="1"/>
    <x v="1"/>
    <x v="0"/>
    <x v="1"/>
    <x v="0"/>
    <x v="8"/>
    <n v="5"/>
    <n v="7"/>
    <n v="0"/>
    <m/>
    <x v="1"/>
    <n v="0.60549714847665148"/>
  </r>
  <r>
    <x v="8"/>
    <x v="0"/>
    <x v="0"/>
    <x v="0"/>
    <x v="3"/>
    <x v="1"/>
    <x v="0"/>
    <x v="1"/>
    <x v="1"/>
    <x v="8"/>
    <n v="2"/>
    <n v="2"/>
    <n v="0"/>
    <m/>
    <x v="1"/>
    <n v="0.21442651361065859"/>
  </r>
  <r>
    <x v="22"/>
    <x v="1"/>
    <x v="0"/>
    <x v="0"/>
    <x v="2"/>
    <x v="0"/>
    <x v="1"/>
    <x v="1"/>
    <x v="2"/>
    <x v="8"/>
    <n v="2"/>
    <n v="3"/>
    <n v="0"/>
    <n v="2"/>
    <x v="0"/>
    <n v="0.29734048893839099"/>
  </r>
  <r>
    <x v="8"/>
    <x v="1"/>
    <x v="0"/>
    <x v="1"/>
    <x v="2"/>
    <x v="0"/>
    <x v="0"/>
    <x v="1"/>
    <x v="2"/>
    <x v="8"/>
    <n v="1"/>
    <n v="1"/>
    <n v="0"/>
    <m/>
    <x v="1"/>
    <n v="9.5887690107650039E-2"/>
  </r>
  <r>
    <x v="10"/>
    <x v="1"/>
    <x v="0"/>
    <x v="1"/>
    <x v="0"/>
    <x v="1"/>
    <x v="0"/>
    <x v="0"/>
    <x v="1"/>
    <x v="4"/>
    <n v="1"/>
    <n v="1"/>
    <n v="0"/>
    <m/>
    <x v="1"/>
    <n v="3.9993438758136914E-2"/>
  </r>
  <r>
    <x v="5"/>
    <x v="0"/>
    <x v="1"/>
    <x v="0"/>
    <x v="0"/>
    <x v="0"/>
    <x v="0"/>
    <x v="1"/>
    <x v="1"/>
    <x v="5"/>
    <n v="11"/>
    <n v="14"/>
    <n v="0"/>
    <n v="10"/>
    <x v="0"/>
    <n v="0.29220740383220528"/>
  </r>
  <r>
    <x v="21"/>
    <x v="0"/>
    <x v="1"/>
    <x v="0"/>
    <x v="3"/>
    <x v="1"/>
    <x v="0"/>
    <x v="0"/>
    <x v="0"/>
    <x v="8"/>
    <n v="1"/>
    <n v="2"/>
    <n v="0"/>
    <m/>
    <x v="1"/>
    <n v="0.22507853204367734"/>
  </r>
  <r>
    <x v="0"/>
    <x v="0"/>
    <x v="1"/>
    <x v="2"/>
    <x v="2"/>
    <x v="0"/>
    <x v="0"/>
    <x v="0"/>
    <x v="0"/>
    <x v="3"/>
    <n v="1"/>
    <n v="1"/>
    <n v="0"/>
    <n v="1"/>
    <x v="0"/>
    <n v="5.8884716464189815E-2"/>
  </r>
  <r>
    <x v="9"/>
    <x v="0"/>
    <x v="1"/>
    <x v="0"/>
    <x v="1"/>
    <x v="1"/>
    <x v="0"/>
    <x v="1"/>
    <x v="2"/>
    <x v="9"/>
    <n v="2"/>
    <n v="3"/>
    <n v="0"/>
    <n v="2"/>
    <x v="0"/>
    <n v="0.52608446281763066"/>
  </r>
  <r>
    <x v="15"/>
    <x v="0"/>
    <x v="0"/>
    <x v="0"/>
    <x v="3"/>
    <x v="0"/>
    <x v="1"/>
    <x v="1"/>
    <x v="2"/>
    <x v="8"/>
    <n v="3"/>
    <n v="4"/>
    <n v="2"/>
    <n v="3"/>
    <x v="0"/>
    <n v="0.35890295094793528"/>
  </r>
  <r>
    <x v="12"/>
    <x v="1"/>
    <x v="0"/>
    <x v="0"/>
    <x v="0"/>
    <x v="0"/>
    <x v="1"/>
    <x v="0"/>
    <x v="1"/>
    <x v="7"/>
    <n v="7"/>
    <n v="9"/>
    <n v="0"/>
    <m/>
    <x v="1"/>
    <n v="0.19336107603421826"/>
  </r>
  <r>
    <x v="14"/>
    <x v="1"/>
    <x v="0"/>
    <x v="2"/>
    <x v="2"/>
    <x v="1"/>
    <x v="0"/>
    <x v="0"/>
    <x v="1"/>
    <x v="9"/>
    <n v="2"/>
    <n v="2"/>
    <n v="0"/>
    <m/>
    <x v="1"/>
    <n v="0.29979095700764463"/>
  </r>
  <r>
    <x v="0"/>
    <x v="1"/>
    <x v="0"/>
    <x v="2"/>
    <x v="3"/>
    <x v="1"/>
    <x v="0"/>
    <x v="1"/>
    <x v="1"/>
    <x v="9"/>
    <n v="1"/>
    <n v="2"/>
    <n v="0"/>
    <n v="1"/>
    <x v="0"/>
    <n v="0.3856036450092909"/>
  </r>
  <r>
    <x v="17"/>
    <x v="1"/>
    <x v="0"/>
    <x v="0"/>
    <x v="2"/>
    <x v="1"/>
    <x v="1"/>
    <x v="1"/>
    <x v="1"/>
    <x v="3"/>
    <n v="2"/>
    <n v="2"/>
    <n v="0"/>
    <n v="2"/>
    <x v="0"/>
    <n v="0.11926696437941101"/>
  </r>
  <r>
    <x v="19"/>
    <x v="0"/>
    <x v="1"/>
    <x v="2"/>
    <x v="0"/>
    <x v="1"/>
    <x v="0"/>
    <x v="0"/>
    <x v="1"/>
    <x v="0"/>
    <n v="1"/>
    <n v="1"/>
    <n v="0"/>
    <m/>
    <x v="1"/>
    <n v="5.2307797290685736E-2"/>
  </r>
  <r>
    <x v="0"/>
    <x v="0"/>
    <x v="0"/>
    <x v="2"/>
    <x v="0"/>
    <x v="0"/>
    <x v="0"/>
    <x v="0"/>
    <x v="0"/>
    <x v="0"/>
    <n v="1"/>
    <n v="2"/>
    <n v="0"/>
    <n v="1"/>
    <x v="0"/>
    <n v="0.11568704600419652"/>
  </r>
  <r>
    <x v="7"/>
    <x v="1"/>
    <x v="0"/>
    <x v="2"/>
    <x v="3"/>
    <x v="0"/>
    <x v="1"/>
    <x v="1"/>
    <x v="1"/>
    <x v="0"/>
    <n v="1"/>
    <n v="1"/>
    <n v="0"/>
    <m/>
    <x v="1"/>
    <n v="5.4297743164069615E-2"/>
  </r>
  <r>
    <x v="6"/>
    <x v="0"/>
    <x v="0"/>
    <x v="0"/>
    <x v="0"/>
    <x v="0"/>
    <x v="1"/>
    <x v="1"/>
    <x v="0"/>
    <x v="7"/>
    <n v="5"/>
    <n v="5"/>
    <n v="0"/>
    <m/>
    <x v="1"/>
    <n v="0.10801732404158602"/>
  </r>
  <r>
    <x v="19"/>
    <x v="1"/>
    <x v="0"/>
    <x v="1"/>
    <x v="0"/>
    <x v="0"/>
    <x v="0"/>
    <x v="0"/>
    <x v="1"/>
    <x v="5"/>
    <n v="5"/>
    <n v="5"/>
    <n v="0"/>
    <m/>
    <x v="1"/>
    <n v="0.10363592433706556"/>
  </r>
  <r>
    <x v="18"/>
    <x v="1"/>
    <x v="1"/>
    <x v="0"/>
    <x v="1"/>
    <x v="1"/>
    <x v="0"/>
    <x v="1"/>
    <x v="0"/>
    <x v="9"/>
    <n v="2"/>
    <n v="2"/>
    <n v="0"/>
    <m/>
    <x v="1"/>
    <n v="0.25047186248679471"/>
  </r>
  <r>
    <x v="4"/>
    <x v="1"/>
    <x v="0"/>
    <x v="1"/>
    <x v="0"/>
    <x v="0"/>
    <x v="1"/>
    <x v="0"/>
    <x v="2"/>
    <x v="4"/>
    <n v="1"/>
    <n v="1"/>
    <n v="0"/>
    <m/>
    <x v="1"/>
    <n v="3.306406644322489E-2"/>
  </r>
  <r>
    <x v="3"/>
    <x v="0"/>
    <x v="0"/>
    <x v="0"/>
    <x v="2"/>
    <x v="1"/>
    <x v="0"/>
    <x v="1"/>
    <x v="1"/>
    <x v="1"/>
    <n v="7"/>
    <n v="10"/>
    <n v="0"/>
    <m/>
    <x v="1"/>
    <n v="0.81432380804835491"/>
  </r>
  <r>
    <x v="1"/>
    <x v="1"/>
    <x v="0"/>
    <x v="0"/>
    <x v="2"/>
    <x v="1"/>
    <x v="0"/>
    <x v="0"/>
    <x v="0"/>
    <x v="9"/>
    <n v="3"/>
    <n v="4"/>
    <n v="1"/>
    <n v="3"/>
    <x v="0"/>
    <n v="0.67718482695971238"/>
  </r>
  <r>
    <x v="8"/>
    <x v="1"/>
    <x v="0"/>
    <x v="2"/>
    <x v="1"/>
    <x v="1"/>
    <x v="0"/>
    <x v="1"/>
    <x v="1"/>
    <x v="9"/>
    <n v="5"/>
    <n v="11"/>
    <n v="0"/>
    <m/>
    <x v="1"/>
    <n v="1.6649395889747765"/>
  </r>
  <r>
    <x v="21"/>
    <x v="0"/>
    <x v="0"/>
    <x v="0"/>
    <x v="2"/>
    <x v="0"/>
    <x v="1"/>
    <x v="1"/>
    <x v="1"/>
    <x v="5"/>
    <n v="2"/>
    <n v="2"/>
    <n v="0"/>
    <m/>
    <x v="1"/>
    <n v="4.1730618848715956E-2"/>
  </r>
  <r>
    <x v="14"/>
    <x v="1"/>
    <x v="0"/>
    <x v="0"/>
    <x v="0"/>
    <x v="0"/>
    <x v="1"/>
    <x v="1"/>
    <x v="0"/>
    <x v="4"/>
    <n v="2"/>
    <n v="3"/>
    <n v="0"/>
    <m/>
    <x v="1"/>
    <n v="9.6917149150967677E-2"/>
  </r>
  <r>
    <x v="22"/>
    <x v="1"/>
    <x v="0"/>
    <x v="0"/>
    <x v="2"/>
    <x v="0"/>
    <x v="1"/>
    <x v="1"/>
    <x v="1"/>
    <x v="4"/>
    <n v="2"/>
    <n v="3"/>
    <n v="0"/>
    <n v="2"/>
    <x v="0"/>
    <n v="9.3640645687039739E-2"/>
  </r>
  <r>
    <x v="4"/>
    <x v="1"/>
    <x v="0"/>
    <x v="2"/>
    <x v="0"/>
    <x v="0"/>
    <x v="0"/>
    <x v="0"/>
    <x v="1"/>
    <x v="0"/>
    <n v="7"/>
    <n v="11"/>
    <n v="0"/>
    <m/>
    <x v="1"/>
    <n v="0.63290583736363215"/>
  </r>
  <r>
    <x v="1"/>
    <x v="1"/>
    <x v="1"/>
    <x v="0"/>
    <x v="1"/>
    <x v="0"/>
    <x v="0"/>
    <x v="1"/>
    <x v="0"/>
    <x v="1"/>
    <n v="8"/>
    <n v="8"/>
    <n v="1"/>
    <n v="7"/>
    <x v="0"/>
    <n v="0.54244598278770351"/>
  </r>
  <r>
    <x v="1"/>
    <x v="0"/>
    <x v="0"/>
    <x v="0"/>
    <x v="0"/>
    <x v="1"/>
    <x v="0"/>
    <x v="0"/>
    <x v="1"/>
    <x v="0"/>
    <n v="5"/>
    <n v="5"/>
    <n v="0"/>
    <n v="5"/>
    <x v="0"/>
    <n v="0.28485560710407615"/>
  </r>
  <r>
    <x v="13"/>
    <x v="0"/>
    <x v="0"/>
    <x v="0"/>
    <x v="2"/>
    <x v="1"/>
    <x v="1"/>
    <x v="1"/>
    <x v="1"/>
    <x v="4"/>
    <n v="1"/>
    <n v="1"/>
    <n v="0"/>
    <m/>
    <x v="1"/>
    <n v="4.0254674678184769E-2"/>
  </r>
  <r>
    <x v="12"/>
    <x v="0"/>
    <x v="1"/>
    <x v="0"/>
    <x v="1"/>
    <x v="0"/>
    <x v="0"/>
    <x v="1"/>
    <x v="0"/>
    <x v="0"/>
    <n v="5"/>
    <n v="8"/>
    <n v="0"/>
    <m/>
    <x v="1"/>
    <n v="0.36720694019378908"/>
  </r>
  <r>
    <x v="0"/>
    <x v="0"/>
    <x v="0"/>
    <x v="0"/>
    <x v="2"/>
    <x v="1"/>
    <x v="0"/>
    <x v="1"/>
    <x v="0"/>
    <x v="8"/>
    <n v="1"/>
    <n v="1"/>
    <n v="0"/>
    <n v="1"/>
    <x v="0"/>
    <n v="0.11878225625148879"/>
  </r>
  <r>
    <x v="0"/>
    <x v="0"/>
    <x v="1"/>
    <x v="0"/>
    <x v="1"/>
    <x v="1"/>
    <x v="0"/>
    <x v="1"/>
    <x v="1"/>
    <x v="0"/>
    <n v="9"/>
    <n v="11"/>
    <n v="0"/>
    <n v="9"/>
    <x v="0"/>
    <n v="0.64487889305375823"/>
  </r>
  <r>
    <x v="3"/>
    <x v="1"/>
    <x v="0"/>
    <x v="2"/>
    <x v="3"/>
    <x v="1"/>
    <x v="1"/>
    <x v="1"/>
    <x v="2"/>
    <x v="9"/>
    <n v="1"/>
    <n v="1"/>
    <n v="0"/>
    <m/>
    <x v="1"/>
    <n v="0.27843709927306881"/>
  </r>
  <r>
    <x v="20"/>
    <x v="1"/>
    <x v="1"/>
    <x v="2"/>
    <x v="0"/>
    <x v="0"/>
    <x v="0"/>
    <x v="0"/>
    <x v="2"/>
    <x v="9"/>
    <n v="1"/>
    <n v="1"/>
    <n v="0"/>
    <n v="1"/>
    <x v="0"/>
    <n v="0.12646792194996428"/>
  </r>
  <r>
    <x v="8"/>
    <x v="0"/>
    <x v="0"/>
    <x v="1"/>
    <x v="0"/>
    <x v="0"/>
    <x v="1"/>
    <x v="1"/>
    <x v="0"/>
    <x v="6"/>
    <n v="2"/>
    <n v="2"/>
    <n v="0"/>
    <m/>
    <x v="1"/>
    <n v="1.9940626127143805E-2"/>
  </r>
  <r>
    <x v="16"/>
    <x v="0"/>
    <x v="0"/>
    <x v="1"/>
    <x v="1"/>
    <x v="1"/>
    <x v="0"/>
    <x v="1"/>
    <x v="0"/>
    <x v="0"/>
    <n v="1"/>
    <n v="1"/>
    <n v="0"/>
    <m/>
    <x v="1"/>
    <n v="5.8544404469129376E-2"/>
  </r>
  <r>
    <x v="20"/>
    <x v="1"/>
    <x v="0"/>
    <x v="2"/>
    <x v="2"/>
    <x v="0"/>
    <x v="0"/>
    <x v="0"/>
    <x v="1"/>
    <x v="1"/>
    <n v="2"/>
    <n v="2"/>
    <n v="0"/>
    <n v="2"/>
    <x v="0"/>
    <n v="0.16443979139191614"/>
  </r>
  <r>
    <x v="7"/>
    <x v="0"/>
    <x v="0"/>
    <x v="1"/>
    <x v="0"/>
    <x v="0"/>
    <x v="1"/>
    <x v="0"/>
    <x v="1"/>
    <x v="6"/>
    <n v="3"/>
    <n v="3"/>
    <n v="0"/>
    <m/>
    <x v="1"/>
    <n v="1.9739333835198093E-2"/>
  </r>
  <r>
    <x v="11"/>
    <x v="1"/>
    <x v="0"/>
    <x v="2"/>
    <x v="1"/>
    <x v="1"/>
    <x v="0"/>
    <x v="1"/>
    <x v="1"/>
    <x v="9"/>
    <n v="5"/>
    <n v="11"/>
    <n v="0"/>
    <m/>
    <x v="1"/>
    <n v="1.6649395889747765"/>
  </r>
  <r>
    <x v="5"/>
    <x v="1"/>
    <x v="1"/>
    <x v="0"/>
    <x v="1"/>
    <x v="0"/>
    <x v="0"/>
    <x v="1"/>
    <x v="0"/>
    <x v="1"/>
    <n v="4"/>
    <n v="4"/>
    <n v="0"/>
    <n v="3"/>
    <x v="0"/>
    <n v="0.27122299139385175"/>
  </r>
  <r>
    <x v="11"/>
    <x v="1"/>
    <x v="1"/>
    <x v="0"/>
    <x v="0"/>
    <x v="0"/>
    <x v="1"/>
    <x v="0"/>
    <x v="2"/>
    <x v="0"/>
    <n v="1"/>
    <n v="1"/>
    <n v="0"/>
    <m/>
    <x v="1"/>
    <n v="4.9491902792675999E-2"/>
  </r>
  <r>
    <x v="4"/>
    <x v="1"/>
    <x v="1"/>
    <x v="1"/>
    <x v="0"/>
    <x v="0"/>
    <x v="0"/>
    <x v="0"/>
    <x v="1"/>
    <x v="6"/>
    <n v="2"/>
    <n v="2"/>
    <n v="0"/>
    <m/>
    <x v="1"/>
    <n v="2.8973497616771756E-2"/>
  </r>
  <r>
    <x v="21"/>
    <x v="1"/>
    <x v="0"/>
    <x v="0"/>
    <x v="0"/>
    <x v="0"/>
    <x v="1"/>
    <x v="1"/>
    <x v="2"/>
    <x v="1"/>
    <n v="1"/>
    <n v="4"/>
    <n v="0"/>
    <m/>
    <x v="1"/>
    <n v="0.27897726641771564"/>
  </r>
  <r>
    <x v="5"/>
    <x v="1"/>
    <x v="1"/>
    <x v="2"/>
    <x v="2"/>
    <x v="1"/>
    <x v="0"/>
    <x v="1"/>
    <x v="1"/>
    <x v="8"/>
    <n v="1"/>
    <n v="1"/>
    <n v="0"/>
    <n v="1"/>
    <x v="0"/>
    <n v="0.10909826649368773"/>
  </r>
  <r>
    <x v="11"/>
    <x v="0"/>
    <x v="0"/>
    <x v="1"/>
    <x v="1"/>
    <x v="1"/>
    <x v="0"/>
    <x v="1"/>
    <x v="0"/>
    <x v="0"/>
    <n v="2"/>
    <n v="3"/>
    <n v="0"/>
    <m/>
    <x v="1"/>
    <n v="0.17563321340738813"/>
  </r>
  <r>
    <x v="9"/>
    <x v="0"/>
    <x v="0"/>
    <x v="1"/>
    <x v="2"/>
    <x v="1"/>
    <x v="1"/>
    <x v="1"/>
    <x v="0"/>
    <x v="7"/>
    <n v="1"/>
    <n v="1"/>
    <n v="0"/>
    <n v="1"/>
    <x v="0"/>
    <n v="2.8264594111214687E-2"/>
  </r>
  <r>
    <x v="5"/>
    <x v="1"/>
    <x v="0"/>
    <x v="2"/>
    <x v="2"/>
    <x v="0"/>
    <x v="0"/>
    <x v="1"/>
    <x v="0"/>
    <x v="8"/>
    <n v="2"/>
    <n v="3"/>
    <n v="1"/>
    <n v="2"/>
    <x v="0"/>
    <n v="0.35965149757222215"/>
  </r>
  <r>
    <x v="20"/>
    <x v="0"/>
    <x v="0"/>
    <x v="0"/>
    <x v="3"/>
    <x v="1"/>
    <x v="0"/>
    <x v="1"/>
    <x v="2"/>
    <x v="9"/>
    <n v="3"/>
    <n v="4"/>
    <n v="0"/>
    <n v="3"/>
    <x v="0"/>
    <n v="1.163243134171414"/>
  </r>
  <r>
    <x v="3"/>
    <x v="0"/>
    <x v="0"/>
    <x v="2"/>
    <x v="0"/>
    <x v="1"/>
    <x v="0"/>
    <x v="0"/>
    <x v="1"/>
    <x v="1"/>
    <n v="1"/>
    <n v="1"/>
    <n v="0"/>
    <m/>
    <x v="1"/>
    <n v="7.3623241710018827E-2"/>
  </r>
  <r>
    <x v="11"/>
    <x v="0"/>
    <x v="1"/>
    <x v="0"/>
    <x v="0"/>
    <x v="0"/>
    <x v="0"/>
    <x v="1"/>
    <x v="0"/>
    <x v="4"/>
    <n v="4"/>
    <n v="5"/>
    <n v="0"/>
    <m/>
    <x v="1"/>
    <n v="0.15697228561877108"/>
  </r>
  <r>
    <x v="21"/>
    <x v="0"/>
    <x v="1"/>
    <x v="0"/>
    <x v="0"/>
    <x v="0"/>
    <x v="0"/>
    <x v="1"/>
    <x v="0"/>
    <x v="4"/>
    <n v="3"/>
    <n v="4"/>
    <n v="0"/>
    <m/>
    <x v="1"/>
    <n v="0.12557782849501686"/>
  </r>
  <r>
    <x v="7"/>
    <x v="0"/>
    <x v="0"/>
    <x v="0"/>
    <x v="0"/>
    <x v="0"/>
    <x v="1"/>
    <x v="0"/>
    <x v="1"/>
    <x v="6"/>
    <n v="5"/>
    <n v="5"/>
    <n v="0"/>
    <m/>
    <x v="1"/>
    <n v="7.157060789987256E-2"/>
  </r>
  <r>
    <x v="17"/>
    <x v="0"/>
    <x v="1"/>
    <x v="1"/>
    <x v="2"/>
    <x v="1"/>
    <x v="0"/>
    <x v="1"/>
    <x v="1"/>
    <x v="7"/>
    <n v="1"/>
    <n v="1"/>
    <n v="0"/>
    <n v="1"/>
    <x v="0"/>
    <n v="2.7313833211787753E-2"/>
  </r>
  <r>
    <x v="15"/>
    <x v="1"/>
    <x v="0"/>
    <x v="0"/>
    <x v="3"/>
    <x v="1"/>
    <x v="0"/>
    <x v="1"/>
    <x v="2"/>
    <x v="9"/>
    <n v="4"/>
    <n v="5"/>
    <n v="0"/>
    <n v="4"/>
    <x v="0"/>
    <n v="1.9135513903738655"/>
  </r>
  <r>
    <x v="19"/>
    <x v="1"/>
    <x v="0"/>
    <x v="0"/>
    <x v="0"/>
    <x v="0"/>
    <x v="1"/>
    <x v="0"/>
    <x v="0"/>
    <x v="4"/>
    <n v="1"/>
    <n v="1"/>
    <n v="0"/>
    <m/>
    <x v="1"/>
    <n v="3.2305716383655897E-2"/>
  </r>
  <r>
    <x v="0"/>
    <x v="0"/>
    <x v="1"/>
    <x v="2"/>
    <x v="2"/>
    <x v="1"/>
    <x v="0"/>
    <x v="1"/>
    <x v="1"/>
    <x v="1"/>
    <n v="1"/>
    <n v="1"/>
    <n v="0"/>
    <n v="1"/>
    <x v="0"/>
    <n v="7.4925884485121511E-2"/>
  </r>
  <r>
    <x v="21"/>
    <x v="1"/>
    <x v="1"/>
    <x v="0"/>
    <x v="3"/>
    <x v="1"/>
    <x v="0"/>
    <x v="1"/>
    <x v="0"/>
    <x v="9"/>
    <n v="2"/>
    <n v="3"/>
    <n v="0"/>
    <m/>
    <x v="1"/>
    <n v="0.48264899270430561"/>
  </r>
  <r>
    <x v="11"/>
    <x v="1"/>
    <x v="1"/>
    <x v="1"/>
    <x v="0"/>
    <x v="0"/>
    <x v="1"/>
    <x v="0"/>
    <x v="1"/>
    <x v="6"/>
    <n v="1"/>
    <n v="1"/>
    <n v="0"/>
    <m/>
    <x v="1"/>
    <n v="6.9067353216518941E-3"/>
  </r>
  <r>
    <x v="11"/>
    <x v="0"/>
    <x v="0"/>
    <x v="1"/>
    <x v="2"/>
    <x v="1"/>
    <x v="0"/>
    <x v="1"/>
    <x v="1"/>
    <x v="4"/>
    <n v="2"/>
    <n v="2"/>
    <n v="0"/>
    <m/>
    <x v="1"/>
    <n v="7.7723772083177017E-2"/>
  </r>
  <r>
    <x v="13"/>
    <x v="0"/>
    <x v="0"/>
    <x v="1"/>
    <x v="2"/>
    <x v="1"/>
    <x v="1"/>
    <x v="1"/>
    <x v="2"/>
    <x v="3"/>
    <n v="1"/>
    <n v="1"/>
    <n v="0"/>
    <m/>
    <x v="1"/>
    <n v="6.1316744395758779E-2"/>
  </r>
  <r>
    <x v="6"/>
    <x v="0"/>
    <x v="1"/>
    <x v="0"/>
    <x v="2"/>
    <x v="0"/>
    <x v="0"/>
    <x v="1"/>
    <x v="0"/>
    <x v="0"/>
    <n v="3"/>
    <n v="3"/>
    <n v="0"/>
    <m/>
    <x v="1"/>
    <n v="0.13620833165203847"/>
  </r>
  <r>
    <x v="15"/>
    <x v="0"/>
    <x v="1"/>
    <x v="0"/>
    <x v="0"/>
    <x v="1"/>
    <x v="1"/>
    <x v="0"/>
    <x v="1"/>
    <x v="5"/>
    <n v="2"/>
    <n v="2"/>
    <n v="0"/>
    <n v="2"/>
    <x v="0"/>
    <n v="3.892864843052074E-2"/>
  </r>
  <r>
    <x v="5"/>
    <x v="1"/>
    <x v="0"/>
    <x v="0"/>
    <x v="2"/>
    <x v="0"/>
    <x v="0"/>
    <x v="0"/>
    <x v="1"/>
    <x v="3"/>
    <n v="4"/>
    <n v="4"/>
    <n v="1"/>
    <n v="4"/>
    <x v="0"/>
    <n v="0.25502881531745741"/>
  </r>
  <r>
    <x v="22"/>
    <x v="1"/>
    <x v="0"/>
    <x v="0"/>
    <x v="0"/>
    <x v="0"/>
    <x v="1"/>
    <x v="1"/>
    <x v="0"/>
    <x v="4"/>
    <n v="2"/>
    <n v="3"/>
    <n v="0"/>
    <n v="2"/>
    <x v="0"/>
    <n v="9.6917149150967677E-2"/>
  </r>
  <r>
    <x v="12"/>
    <x v="1"/>
    <x v="1"/>
    <x v="0"/>
    <x v="2"/>
    <x v="1"/>
    <x v="0"/>
    <x v="1"/>
    <x v="2"/>
    <x v="9"/>
    <n v="1"/>
    <n v="1"/>
    <n v="0"/>
    <m/>
    <x v="1"/>
    <n v="0.24119501983049757"/>
  </r>
  <r>
    <x v="14"/>
    <x v="0"/>
    <x v="0"/>
    <x v="1"/>
    <x v="2"/>
    <x v="0"/>
    <x v="0"/>
    <x v="1"/>
    <x v="2"/>
    <x v="1"/>
    <n v="2"/>
    <n v="2"/>
    <n v="0"/>
    <m/>
    <x v="1"/>
    <n v="0.1310975036068017"/>
  </r>
  <r>
    <x v="20"/>
    <x v="0"/>
    <x v="1"/>
    <x v="1"/>
    <x v="0"/>
    <x v="0"/>
    <x v="1"/>
    <x v="1"/>
    <x v="1"/>
    <x v="6"/>
    <n v="2"/>
    <n v="3"/>
    <n v="0"/>
    <n v="2"/>
    <x v="0"/>
    <n v="1.3736566616060271E-2"/>
  </r>
  <r>
    <x v="18"/>
    <x v="1"/>
    <x v="0"/>
    <x v="0"/>
    <x v="2"/>
    <x v="0"/>
    <x v="0"/>
    <x v="1"/>
    <x v="2"/>
    <x v="9"/>
    <n v="1"/>
    <n v="1"/>
    <n v="0"/>
    <m/>
    <x v="1"/>
    <n v="0.18866403843496365"/>
  </r>
  <r>
    <x v="9"/>
    <x v="1"/>
    <x v="0"/>
    <x v="0"/>
    <x v="2"/>
    <x v="1"/>
    <x v="0"/>
    <x v="1"/>
    <x v="1"/>
    <x v="8"/>
    <n v="12"/>
    <n v="14"/>
    <n v="0"/>
    <n v="11"/>
    <x v="0"/>
    <n v="1.6547036228239718"/>
  </r>
  <r>
    <x v="4"/>
    <x v="1"/>
    <x v="1"/>
    <x v="0"/>
    <x v="3"/>
    <x v="0"/>
    <x v="0"/>
    <x v="1"/>
    <x v="0"/>
    <x v="8"/>
    <n v="1"/>
    <n v="1"/>
    <n v="0"/>
    <m/>
    <x v="1"/>
    <n v="8.8764690714321179E-2"/>
  </r>
  <r>
    <x v="9"/>
    <x v="1"/>
    <x v="1"/>
    <x v="0"/>
    <x v="0"/>
    <x v="0"/>
    <x v="1"/>
    <x v="1"/>
    <x v="0"/>
    <x v="7"/>
    <n v="1"/>
    <n v="1"/>
    <n v="0"/>
    <n v="1"/>
    <x v="0"/>
    <n v="2.2659939205773683E-2"/>
  </r>
  <r>
    <x v="1"/>
    <x v="0"/>
    <x v="1"/>
    <x v="0"/>
    <x v="0"/>
    <x v="0"/>
    <x v="1"/>
    <x v="0"/>
    <x v="2"/>
    <x v="4"/>
    <n v="2"/>
    <n v="2"/>
    <n v="0"/>
    <n v="2"/>
    <x v="0"/>
    <n v="6.6584157148819642E-2"/>
  </r>
  <r>
    <x v="7"/>
    <x v="0"/>
    <x v="1"/>
    <x v="2"/>
    <x v="2"/>
    <x v="0"/>
    <x v="0"/>
    <x v="1"/>
    <x v="1"/>
    <x v="4"/>
    <n v="1"/>
    <n v="1"/>
    <n v="0"/>
    <m/>
    <x v="1"/>
    <n v="3.9524266772527843E-2"/>
  </r>
  <r>
    <x v="22"/>
    <x v="1"/>
    <x v="0"/>
    <x v="0"/>
    <x v="2"/>
    <x v="0"/>
    <x v="0"/>
    <x v="1"/>
    <x v="1"/>
    <x v="3"/>
    <n v="5"/>
    <n v="5"/>
    <n v="1"/>
    <n v="5"/>
    <x v="0"/>
    <n v="0.3187860191468217"/>
  </r>
  <r>
    <x v="5"/>
    <x v="1"/>
    <x v="1"/>
    <x v="0"/>
    <x v="2"/>
    <x v="0"/>
    <x v="0"/>
    <x v="0"/>
    <x v="2"/>
    <x v="9"/>
    <n v="2"/>
    <n v="2"/>
    <n v="1"/>
    <n v="2"/>
    <x v="0"/>
    <n v="0.27808190480497447"/>
  </r>
  <r>
    <x v="4"/>
    <x v="1"/>
    <x v="0"/>
    <x v="1"/>
    <x v="0"/>
    <x v="0"/>
    <x v="1"/>
    <x v="0"/>
    <x v="1"/>
    <x v="6"/>
    <n v="2"/>
    <n v="2"/>
    <n v="0"/>
    <m/>
    <x v="1"/>
    <n v="1.9829579578179591E-2"/>
  </r>
  <r>
    <x v="19"/>
    <x v="1"/>
    <x v="0"/>
    <x v="2"/>
    <x v="2"/>
    <x v="0"/>
    <x v="0"/>
    <x v="0"/>
    <x v="2"/>
    <x v="9"/>
    <n v="1"/>
    <n v="3"/>
    <n v="0"/>
    <m/>
    <x v="1"/>
    <n v="0.70274171793296836"/>
  </r>
  <r>
    <x v="18"/>
    <x v="0"/>
    <x v="0"/>
    <x v="2"/>
    <x v="0"/>
    <x v="0"/>
    <x v="0"/>
    <x v="0"/>
    <x v="1"/>
    <x v="4"/>
    <n v="3"/>
    <n v="4"/>
    <n v="0"/>
    <m/>
    <x v="1"/>
    <n v="0.15524514089319996"/>
  </r>
  <r>
    <x v="0"/>
    <x v="1"/>
    <x v="0"/>
    <x v="1"/>
    <x v="0"/>
    <x v="1"/>
    <x v="0"/>
    <x v="0"/>
    <x v="0"/>
    <x v="3"/>
    <n v="1"/>
    <n v="1"/>
    <n v="0"/>
    <n v="1"/>
    <x v="0"/>
    <n v="5.956945278486124E-2"/>
  </r>
  <r>
    <x v="8"/>
    <x v="1"/>
    <x v="0"/>
    <x v="0"/>
    <x v="2"/>
    <x v="0"/>
    <x v="1"/>
    <x v="1"/>
    <x v="1"/>
    <x v="4"/>
    <n v="5"/>
    <n v="6"/>
    <n v="0"/>
    <m/>
    <x v="1"/>
    <n v="0.18728129137407948"/>
  </r>
  <r>
    <x v="1"/>
    <x v="0"/>
    <x v="1"/>
    <x v="0"/>
    <x v="3"/>
    <x v="1"/>
    <x v="0"/>
    <x v="1"/>
    <x v="2"/>
    <x v="9"/>
    <n v="2"/>
    <n v="2"/>
    <n v="0"/>
    <n v="2"/>
    <x v="0"/>
    <n v="0.44332178255110904"/>
  </r>
  <r>
    <x v="9"/>
    <x v="0"/>
    <x v="1"/>
    <x v="0"/>
    <x v="0"/>
    <x v="0"/>
    <x v="1"/>
    <x v="1"/>
    <x v="0"/>
    <x v="5"/>
    <n v="3"/>
    <n v="3"/>
    <n v="0"/>
    <n v="3"/>
    <x v="0"/>
    <n v="4.5309815360431056E-2"/>
  </r>
  <r>
    <x v="8"/>
    <x v="0"/>
    <x v="1"/>
    <x v="0"/>
    <x v="2"/>
    <x v="1"/>
    <x v="0"/>
    <x v="1"/>
    <x v="0"/>
    <x v="8"/>
    <n v="1"/>
    <n v="2"/>
    <n v="0"/>
    <m/>
    <x v="1"/>
    <n v="0.17120094765474353"/>
  </r>
  <r>
    <x v="21"/>
    <x v="0"/>
    <x v="1"/>
    <x v="0"/>
    <x v="0"/>
    <x v="0"/>
    <x v="1"/>
    <x v="0"/>
    <x v="2"/>
    <x v="4"/>
    <n v="1"/>
    <n v="1"/>
    <n v="0"/>
    <m/>
    <x v="1"/>
    <n v="3.3292078574409821E-2"/>
  </r>
  <r>
    <x v="3"/>
    <x v="0"/>
    <x v="1"/>
    <x v="2"/>
    <x v="2"/>
    <x v="0"/>
    <x v="0"/>
    <x v="0"/>
    <x v="1"/>
    <x v="4"/>
    <n v="1"/>
    <n v="2"/>
    <n v="0"/>
    <m/>
    <x v="1"/>
    <n v="7.9048533545055685E-2"/>
  </r>
  <r>
    <x v="9"/>
    <x v="0"/>
    <x v="0"/>
    <x v="1"/>
    <x v="0"/>
    <x v="0"/>
    <x v="0"/>
    <x v="1"/>
    <x v="0"/>
    <x v="5"/>
    <n v="2"/>
    <n v="2"/>
    <n v="0"/>
    <n v="2"/>
    <x v="0"/>
    <n v="4.168396685840825E-2"/>
  </r>
  <r>
    <x v="12"/>
    <x v="0"/>
    <x v="0"/>
    <x v="0"/>
    <x v="2"/>
    <x v="1"/>
    <x v="0"/>
    <x v="1"/>
    <x v="1"/>
    <x v="1"/>
    <n v="6"/>
    <n v="8"/>
    <n v="0"/>
    <m/>
    <x v="1"/>
    <n v="0.65145904643868391"/>
  </r>
  <r>
    <x v="4"/>
    <x v="0"/>
    <x v="0"/>
    <x v="2"/>
    <x v="2"/>
    <x v="0"/>
    <x v="0"/>
    <x v="1"/>
    <x v="0"/>
    <x v="1"/>
    <n v="2"/>
    <n v="4"/>
    <n v="0"/>
    <m/>
    <x v="1"/>
    <n v="0.33058612471095111"/>
  </r>
  <r>
    <x v="1"/>
    <x v="0"/>
    <x v="1"/>
    <x v="2"/>
    <x v="2"/>
    <x v="0"/>
    <x v="0"/>
    <x v="1"/>
    <x v="2"/>
    <x v="8"/>
    <n v="2"/>
    <n v="2"/>
    <n v="0"/>
    <n v="2"/>
    <x v="0"/>
    <n v="0.24640740521321994"/>
  </r>
  <r>
    <x v="13"/>
    <x v="0"/>
    <x v="0"/>
    <x v="0"/>
    <x v="2"/>
    <x v="1"/>
    <x v="1"/>
    <x v="0"/>
    <x v="1"/>
    <x v="4"/>
    <n v="1"/>
    <n v="1"/>
    <n v="0"/>
    <m/>
    <x v="1"/>
    <n v="4.0254674678184769E-2"/>
  </r>
  <r>
    <x v="19"/>
    <x v="1"/>
    <x v="0"/>
    <x v="2"/>
    <x v="3"/>
    <x v="1"/>
    <x v="0"/>
    <x v="1"/>
    <x v="0"/>
    <x v="9"/>
    <n v="1"/>
    <n v="1"/>
    <n v="0"/>
    <m/>
    <x v="1"/>
    <n v="0.26641728068577614"/>
  </r>
  <r>
    <x v="4"/>
    <x v="1"/>
    <x v="0"/>
    <x v="0"/>
    <x v="3"/>
    <x v="0"/>
    <x v="0"/>
    <x v="1"/>
    <x v="2"/>
    <x v="9"/>
    <n v="2"/>
    <n v="4"/>
    <n v="0"/>
    <m/>
    <x v="1"/>
    <n v="0.95816249291672906"/>
  </r>
  <r>
    <x v="11"/>
    <x v="1"/>
    <x v="0"/>
    <x v="2"/>
    <x v="2"/>
    <x v="0"/>
    <x v="1"/>
    <x v="1"/>
    <x v="1"/>
    <x v="4"/>
    <n v="1"/>
    <n v="3"/>
    <n v="0"/>
    <m/>
    <x v="1"/>
    <n v="0.12198478999091958"/>
  </r>
  <r>
    <x v="7"/>
    <x v="1"/>
    <x v="0"/>
    <x v="2"/>
    <x v="0"/>
    <x v="0"/>
    <x v="0"/>
    <x v="1"/>
    <x v="2"/>
    <x v="9"/>
    <n v="1"/>
    <n v="1"/>
    <n v="0"/>
    <m/>
    <x v="1"/>
    <n v="0.17250282287365376"/>
  </r>
  <r>
    <x v="21"/>
    <x v="1"/>
    <x v="0"/>
    <x v="2"/>
    <x v="0"/>
    <x v="0"/>
    <x v="0"/>
    <x v="0"/>
    <x v="2"/>
    <x v="9"/>
    <n v="1"/>
    <n v="1"/>
    <n v="0"/>
    <m/>
    <x v="1"/>
    <n v="0.17250282287365376"/>
  </r>
  <r>
    <x v="19"/>
    <x v="1"/>
    <x v="0"/>
    <x v="2"/>
    <x v="2"/>
    <x v="0"/>
    <x v="0"/>
    <x v="1"/>
    <x v="1"/>
    <x v="1"/>
    <n v="2"/>
    <n v="2"/>
    <n v="0"/>
    <m/>
    <x v="1"/>
    <n v="0.16443979139191614"/>
  </r>
  <r>
    <x v="7"/>
    <x v="0"/>
    <x v="0"/>
    <x v="1"/>
    <x v="2"/>
    <x v="0"/>
    <x v="0"/>
    <x v="1"/>
    <x v="1"/>
    <x v="5"/>
    <n v="1"/>
    <n v="1"/>
    <n v="0"/>
    <m/>
    <x v="1"/>
    <n v="2.0129311329445246E-2"/>
  </r>
  <r>
    <x v="21"/>
    <x v="0"/>
    <x v="0"/>
    <x v="0"/>
    <x v="3"/>
    <x v="1"/>
    <x v="0"/>
    <x v="1"/>
    <x v="1"/>
    <x v="8"/>
    <n v="2"/>
    <n v="2"/>
    <n v="0"/>
    <m/>
    <x v="1"/>
    <n v="0.21442651361065859"/>
  </r>
  <r>
    <x v="18"/>
    <x v="0"/>
    <x v="0"/>
    <x v="0"/>
    <x v="0"/>
    <x v="0"/>
    <x v="1"/>
    <x v="0"/>
    <x v="1"/>
    <x v="6"/>
    <n v="1"/>
    <n v="1"/>
    <n v="0"/>
    <m/>
    <x v="1"/>
    <n v="1.4314121579974512E-2"/>
  </r>
  <r>
    <x v="14"/>
    <x v="0"/>
    <x v="1"/>
    <x v="0"/>
    <x v="0"/>
    <x v="0"/>
    <x v="0"/>
    <x v="0"/>
    <x v="0"/>
    <x v="4"/>
    <n v="4"/>
    <n v="4"/>
    <n v="0"/>
    <m/>
    <x v="1"/>
    <n v="0.12557782849501686"/>
  </r>
  <r>
    <x v="20"/>
    <x v="1"/>
    <x v="0"/>
    <x v="1"/>
    <x v="2"/>
    <x v="1"/>
    <x v="0"/>
    <x v="1"/>
    <x v="1"/>
    <x v="0"/>
    <n v="2"/>
    <n v="2"/>
    <n v="0"/>
    <n v="1"/>
    <x v="0"/>
    <n v="0.11522089129373574"/>
  </r>
  <r>
    <x v="2"/>
    <x v="0"/>
    <x v="0"/>
    <x v="0"/>
    <x v="0"/>
    <x v="1"/>
    <x v="0"/>
    <x v="1"/>
    <x v="1"/>
    <x v="0"/>
    <n v="1"/>
    <n v="1"/>
    <n v="0"/>
    <m/>
    <x v="1"/>
    <n v="5.6971121420815236E-2"/>
  </r>
  <r>
    <x v="12"/>
    <x v="1"/>
    <x v="1"/>
    <x v="0"/>
    <x v="1"/>
    <x v="0"/>
    <x v="0"/>
    <x v="1"/>
    <x v="1"/>
    <x v="0"/>
    <n v="8"/>
    <n v="10"/>
    <n v="1"/>
    <m/>
    <x v="1"/>
    <n v="0.45654479136507858"/>
  </r>
  <r>
    <x v="6"/>
    <x v="0"/>
    <x v="1"/>
    <x v="0"/>
    <x v="3"/>
    <x v="1"/>
    <x v="0"/>
    <x v="0"/>
    <x v="0"/>
    <x v="8"/>
    <n v="2"/>
    <n v="2"/>
    <n v="0"/>
    <m/>
    <x v="1"/>
    <n v="0.22507853204367734"/>
  </r>
  <r>
    <x v="14"/>
    <x v="1"/>
    <x v="0"/>
    <x v="0"/>
    <x v="2"/>
    <x v="0"/>
    <x v="1"/>
    <x v="1"/>
    <x v="1"/>
    <x v="4"/>
    <n v="5"/>
    <n v="5"/>
    <n v="0"/>
    <m/>
    <x v="1"/>
    <n v="0.15606774281173291"/>
  </r>
  <r>
    <x v="21"/>
    <x v="0"/>
    <x v="1"/>
    <x v="2"/>
    <x v="1"/>
    <x v="1"/>
    <x v="0"/>
    <x v="1"/>
    <x v="0"/>
    <x v="8"/>
    <n v="3"/>
    <n v="6"/>
    <n v="0"/>
    <m/>
    <x v="1"/>
    <n v="0.66461289224608444"/>
  </r>
  <r>
    <x v="12"/>
    <x v="0"/>
    <x v="0"/>
    <x v="0"/>
    <x v="2"/>
    <x v="0"/>
    <x v="1"/>
    <x v="1"/>
    <x v="0"/>
    <x v="4"/>
    <n v="2"/>
    <n v="2"/>
    <n v="0"/>
    <m/>
    <x v="1"/>
    <n v="6.2769130013339253E-2"/>
  </r>
  <r>
    <x v="11"/>
    <x v="0"/>
    <x v="0"/>
    <x v="0"/>
    <x v="3"/>
    <x v="1"/>
    <x v="1"/>
    <x v="1"/>
    <x v="2"/>
    <x v="9"/>
    <n v="2"/>
    <n v="4"/>
    <n v="0"/>
    <m/>
    <x v="1"/>
    <n v="0.64994252912965955"/>
  </r>
  <r>
    <x v="20"/>
    <x v="1"/>
    <x v="0"/>
    <x v="1"/>
    <x v="0"/>
    <x v="0"/>
    <x v="1"/>
    <x v="1"/>
    <x v="1"/>
    <x v="6"/>
    <n v="5"/>
    <n v="6"/>
    <n v="0"/>
    <n v="5"/>
    <x v="0"/>
    <n v="5.9488738734538769E-2"/>
  </r>
  <r>
    <x v="15"/>
    <x v="1"/>
    <x v="0"/>
    <x v="1"/>
    <x v="0"/>
    <x v="0"/>
    <x v="0"/>
    <x v="1"/>
    <x v="2"/>
    <x v="1"/>
    <n v="1"/>
    <n v="1"/>
    <n v="1"/>
    <n v="1"/>
    <x v="0"/>
    <n v="6.7402860630559377E-2"/>
  </r>
  <r>
    <x v="15"/>
    <x v="0"/>
    <x v="0"/>
    <x v="1"/>
    <x v="1"/>
    <x v="0"/>
    <x v="0"/>
    <x v="1"/>
    <x v="2"/>
    <x v="1"/>
    <n v="4"/>
    <n v="5"/>
    <n v="0"/>
    <n v="4"/>
    <x v="0"/>
    <n v="0.33126257087152278"/>
  </r>
  <r>
    <x v="21"/>
    <x v="1"/>
    <x v="0"/>
    <x v="0"/>
    <x v="2"/>
    <x v="0"/>
    <x v="0"/>
    <x v="0"/>
    <x v="0"/>
    <x v="8"/>
    <n v="2"/>
    <n v="2"/>
    <n v="0"/>
    <m/>
    <x v="1"/>
    <n v="0.18765650481069013"/>
  </r>
  <r>
    <x v="1"/>
    <x v="0"/>
    <x v="1"/>
    <x v="1"/>
    <x v="1"/>
    <x v="1"/>
    <x v="0"/>
    <x v="1"/>
    <x v="1"/>
    <x v="7"/>
    <n v="3"/>
    <n v="3"/>
    <n v="0"/>
    <n v="2"/>
    <x v="0"/>
    <n v="8.2857661993138126E-2"/>
  </r>
  <r>
    <x v="19"/>
    <x v="1"/>
    <x v="0"/>
    <x v="0"/>
    <x v="0"/>
    <x v="0"/>
    <x v="0"/>
    <x v="1"/>
    <x v="2"/>
    <x v="9"/>
    <n v="2"/>
    <n v="4"/>
    <n v="0"/>
    <m/>
    <x v="1"/>
    <n v="0.54715378918665358"/>
  </r>
  <r>
    <x v="9"/>
    <x v="0"/>
    <x v="1"/>
    <x v="0"/>
    <x v="0"/>
    <x v="0"/>
    <x v="0"/>
    <x v="1"/>
    <x v="0"/>
    <x v="4"/>
    <n v="7"/>
    <n v="8"/>
    <n v="0"/>
    <n v="7"/>
    <x v="0"/>
    <n v="0.25115565699003373"/>
  </r>
  <r>
    <x v="12"/>
    <x v="0"/>
    <x v="0"/>
    <x v="0"/>
    <x v="2"/>
    <x v="1"/>
    <x v="0"/>
    <x v="0"/>
    <x v="0"/>
    <x v="8"/>
    <n v="3"/>
    <n v="3"/>
    <n v="0"/>
    <m/>
    <x v="1"/>
    <n v="0.35634676875446636"/>
  </r>
  <r>
    <x v="15"/>
    <x v="1"/>
    <x v="1"/>
    <x v="0"/>
    <x v="2"/>
    <x v="0"/>
    <x v="0"/>
    <x v="1"/>
    <x v="0"/>
    <x v="1"/>
    <n v="3"/>
    <n v="3"/>
    <n v="0"/>
    <n v="3"/>
    <x v="0"/>
    <n v="0.20126001532675697"/>
  </r>
  <r>
    <x v="9"/>
    <x v="1"/>
    <x v="1"/>
    <x v="0"/>
    <x v="1"/>
    <x v="0"/>
    <x v="0"/>
    <x v="1"/>
    <x v="2"/>
    <x v="9"/>
    <n v="3"/>
    <n v="5"/>
    <n v="0"/>
    <n v="3"/>
    <x v="0"/>
    <n v="0.70207597860023607"/>
  </r>
  <r>
    <x v="10"/>
    <x v="0"/>
    <x v="1"/>
    <x v="0"/>
    <x v="2"/>
    <x v="0"/>
    <x v="1"/>
    <x v="0"/>
    <x v="2"/>
    <x v="0"/>
    <n v="1"/>
    <n v="1"/>
    <n v="0"/>
    <m/>
    <x v="1"/>
    <n v="4.8105072216363585E-2"/>
  </r>
  <r>
    <x v="16"/>
    <x v="0"/>
    <x v="1"/>
    <x v="2"/>
    <x v="3"/>
    <x v="0"/>
    <x v="0"/>
    <x v="1"/>
    <x v="1"/>
    <x v="0"/>
    <n v="1"/>
    <n v="1"/>
    <n v="0"/>
    <m/>
    <x v="1"/>
    <n v="5.2799993952800307E-2"/>
  </r>
  <r>
    <x v="5"/>
    <x v="1"/>
    <x v="0"/>
    <x v="0"/>
    <x v="2"/>
    <x v="1"/>
    <x v="0"/>
    <x v="0"/>
    <x v="1"/>
    <x v="8"/>
    <n v="2"/>
    <n v="2"/>
    <n v="0"/>
    <n v="2"/>
    <x v="0"/>
    <n v="0.236386231831996"/>
  </r>
  <r>
    <x v="2"/>
    <x v="0"/>
    <x v="0"/>
    <x v="2"/>
    <x v="0"/>
    <x v="0"/>
    <x v="1"/>
    <x v="0"/>
    <x v="1"/>
    <x v="5"/>
    <n v="2"/>
    <n v="2"/>
    <n v="0"/>
    <m/>
    <x v="1"/>
    <n v="3.7491703864349239E-2"/>
  </r>
  <r>
    <x v="20"/>
    <x v="0"/>
    <x v="1"/>
    <x v="1"/>
    <x v="2"/>
    <x v="1"/>
    <x v="1"/>
    <x v="0"/>
    <x v="1"/>
    <x v="6"/>
    <n v="1"/>
    <n v="1"/>
    <n v="0"/>
    <n v="1"/>
    <x v="0"/>
    <n v="1.3111498149720941E-2"/>
  </r>
  <r>
    <x v="2"/>
    <x v="1"/>
    <x v="0"/>
    <x v="2"/>
    <x v="0"/>
    <x v="1"/>
    <x v="0"/>
    <x v="0"/>
    <x v="1"/>
    <x v="8"/>
    <n v="1"/>
    <n v="2"/>
    <n v="0"/>
    <m/>
    <x v="1"/>
    <n v="0.21454080743188383"/>
  </r>
  <r>
    <x v="8"/>
    <x v="0"/>
    <x v="1"/>
    <x v="2"/>
    <x v="2"/>
    <x v="0"/>
    <x v="0"/>
    <x v="1"/>
    <x v="2"/>
    <x v="8"/>
    <n v="1"/>
    <n v="1"/>
    <n v="0"/>
    <m/>
    <x v="1"/>
    <n v="0.12320370260660997"/>
  </r>
  <r>
    <x v="19"/>
    <x v="0"/>
    <x v="0"/>
    <x v="0"/>
    <x v="3"/>
    <x v="0"/>
    <x v="1"/>
    <x v="1"/>
    <x v="0"/>
    <x v="2"/>
    <n v="1"/>
    <n v="1"/>
    <n v="0"/>
    <m/>
    <x v="1"/>
    <n v="4.2045949270268397E-2"/>
  </r>
  <r>
    <x v="9"/>
    <x v="1"/>
    <x v="1"/>
    <x v="2"/>
    <x v="0"/>
    <x v="0"/>
    <x v="0"/>
    <x v="1"/>
    <x v="0"/>
    <x v="3"/>
    <n v="1"/>
    <n v="1"/>
    <n v="0"/>
    <n v="1"/>
    <x v="0"/>
    <n v="6.0562543455648175E-2"/>
  </r>
  <r>
    <x v="7"/>
    <x v="1"/>
    <x v="0"/>
    <x v="0"/>
    <x v="2"/>
    <x v="0"/>
    <x v="0"/>
    <x v="0"/>
    <x v="1"/>
    <x v="3"/>
    <n v="2"/>
    <n v="2"/>
    <n v="0"/>
    <m/>
    <x v="1"/>
    <n v="0.12751440765872871"/>
  </r>
  <r>
    <x v="6"/>
    <x v="1"/>
    <x v="0"/>
    <x v="0"/>
    <x v="2"/>
    <x v="1"/>
    <x v="1"/>
    <x v="1"/>
    <x v="1"/>
    <x v="3"/>
    <n v="1"/>
    <n v="1"/>
    <n v="0"/>
    <m/>
    <x v="1"/>
    <n v="5.9633482189705503E-2"/>
  </r>
  <r>
    <x v="17"/>
    <x v="0"/>
    <x v="0"/>
    <x v="0"/>
    <x v="2"/>
    <x v="0"/>
    <x v="1"/>
    <x v="1"/>
    <x v="0"/>
    <x v="4"/>
    <n v="2"/>
    <n v="2"/>
    <n v="0"/>
    <n v="2"/>
    <x v="0"/>
    <n v="6.2769130013339253E-2"/>
  </r>
  <r>
    <x v="20"/>
    <x v="1"/>
    <x v="1"/>
    <x v="0"/>
    <x v="0"/>
    <x v="0"/>
    <x v="0"/>
    <x v="0"/>
    <x v="2"/>
    <x v="8"/>
    <n v="1"/>
    <n v="1"/>
    <n v="0"/>
    <n v="1"/>
    <x v="0"/>
    <n v="9.9142550923112027E-2"/>
  </r>
  <r>
    <x v="15"/>
    <x v="0"/>
    <x v="1"/>
    <x v="0"/>
    <x v="2"/>
    <x v="0"/>
    <x v="1"/>
    <x v="0"/>
    <x v="2"/>
    <x v="0"/>
    <n v="3"/>
    <n v="3"/>
    <n v="0"/>
    <n v="3"/>
    <x v="0"/>
    <n v="0.14431521664909075"/>
  </r>
  <r>
    <x v="21"/>
    <x v="0"/>
    <x v="1"/>
    <x v="1"/>
    <x v="2"/>
    <x v="0"/>
    <x v="1"/>
    <x v="1"/>
    <x v="2"/>
    <x v="7"/>
    <n v="1"/>
    <n v="1"/>
    <n v="0"/>
    <m/>
    <x v="1"/>
    <n v="2.2529806175554733E-2"/>
  </r>
  <r>
    <x v="19"/>
    <x v="0"/>
    <x v="0"/>
    <x v="2"/>
    <x v="0"/>
    <x v="0"/>
    <x v="1"/>
    <x v="1"/>
    <x v="1"/>
    <x v="5"/>
    <n v="2"/>
    <n v="2"/>
    <n v="0"/>
    <m/>
    <x v="1"/>
    <n v="3.7491703864349239E-2"/>
  </r>
  <r>
    <x v="11"/>
    <x v="0"/>
    <x v="1"/>
    <x v="1"/>
    <x v="0"/>
    <x v="0"/>
    <x v="0"/>
    <x v="1"/>
    <x v="0"/>
    <x v="5"/>
    <n v="1"/>
    <n v="1"/>
    <n v="0"/>
    <m/>
    <x v="1"/>
    <n v="1.4567498552386326E-2"/>
  </r>
  <r>
    <x v="4"/>
    <x v="0"/>
    <x v="1"/>
    <x v="1"/>
    <x v="3"/>
    <x v="1"/>
    <x v="1"/>
    <x v="1"/>
    <x v="1"/>
    <x v="5"/>
    <n v="1"/>
    <n v="1"/>
    <n v="0"/>
    <m/>
    <x v="1"/>
    <n v="1.7678788746375976E-2"/>
  </r>
  <r>
    <x v="5"/>
    <x v="1"/>
    <x v="0"/>
    <x v="0"/>
    <x v="2"/>
    <x v="0"/>
    <x v="0"/>
    <x v="1"/>
    <x v="0"/>
    <x v="8"/>
    <n v="1"/>
    <n v="3"/>
    <n v="0"/>
    <n v="1"/>
    <x v="0"/>
    <n v="0.28148475721603516"/>
  </r>
  <r>
    <x v="2"/>
    <x v="1"/>
    <x v="0"/>
    <x v="2"/>
    <x v="0"/>
    <x v="0"/>
    <x v="0"/>
    <x v="0"/>
    <x v="0"/>
    <x v="8"/>
    <n v="2"/>
    <n v="5"/>
    <n v="0"/>
    <m/>
    <x v="1"/>
    <n v="0.42470152977428904"/>
  </r>
  <r>
    <x v="14"/>
    <x v="1"/>
    <x v="1"/>
    <x v="0"/>
    <x v="0"/>
    <x v="0"/>
    <x v="1"/>
    <x v="1"/>
    <x v="1"/>
    <x v="5"/>
    <n v="6"/>
    <n v="6"/>
    <n v="0"/>
    <m/>
    <x v="1"/>
    <n v="9.0117584641118811E-2"/>
  </r>
  <r>
    <x v="0"/>
    <x v="1"/>
    <x v="1"/>
    <x v="1"/>
    <x v="0"/>
    <x v="0"/>
    <x v="0"/>
    <x v="1"/>
    <x v="1"/>
    <x v="6"/>
    <n v="1"/>
    <n v="1"/>
    <n v="0"/>
    <n v="1"/>
    <x v="0"/>
    <n v="1.4486748808385878E-2"/>
  </r>
  <r>
    <x v="15"/>
    <x v="0"/>
    <x v="1"/>
    <x v="0"/>
    <x v="0"/>
    <x v="0"/>
    <x v="1"/>
    <x v="1"/>
    <x v="1"/>
    <x v="6"/>
    <n v="5"/>
    <n v="7"/>
    <n v="0"/>
    <n v="5"/>
    <x v="0"/>
    <n v="6.9893679441137321E-2"/>
  </r>
  <r>
    <x v="18"/>
    <x v="1"/>
    <x v="0"/>
    <x v="2"/>
    <x v="0"/>
    <x v="0"/>
    <x v="1"/>
    <x v="1"/>
    <x v="1"/>
    <x v="7"/>
    <n v="2"/>
    <n v="2"/>
    <n v="0"/>
    <m/>
    <x v="1"/>
    <n v="5.6146150112140698E-2"/>
  </r>
  <r>
    <x v="3"/>
    <x v="0"/>
    <x v="1"/>
    <x v="0"/>
    <x v="2"/>
    <x v="0"/>
    <x v="0"/>
    <x v="1"/>
    <x v="0"/>
    <x v="0"/>
    <n v="4"/>
    <n v="4"/>
    <n v="0"/>
    <m/>
    <x v="1"/>
    <n v="0.18161110886938464"/>
  </r>
  <r>
    <x v="18"/>
    <x v="0"/>
    <x v="1"/>
    <x v="1"/>
    <x v="0"/>
    <x v="0"/>
    <x v="1"/>
    <x v="1"/>
    <x v="1"/>
    <x v="6"/>
    <n v="1"/>
    <n v="1"/>
    <n v="0"/>
    <m/>
    <x v="1"/>
    <n v="4.5788555386867564E-3"/>
  </r>
  <r>
    <x v="14"/>
    <x v="1"/>
    <x v="0"/>
    <x v="1"/>
    <x v="0"/>
    <x v="0"/>
    <x v="1"/>
    <x v="0"/>
    <x v="1"/>
    <x v="6"/>
    <n v="1"/>
    <n v="1"/>
    <n v="0"/>
    <m/>
    <x v="1"/>
    <n v="9.9147897890897955E-3"/>
  </r>
  <r>
    <x v="11"/>
    <x v="1"/>
    <x v="0"/>
    <x v="1"/>
    <x v="0"/>
    <x v="1"/>
    <x v="0"/>
    <x v="0"/>
    <x v="1"/>
    <x v="4"/>
    <n v="1"/>
    <n v="1"/>
    <n v="0"/>
    <m/>
    <x v="1"/>
    <n v="3.9993438758136914E-2"/>
  </r>
  <r>
    <x v="0"/>
    <x v="1"/>
    <x v="0"/>
    <x v="0"/>
    <x v="0"/>
    <x v="0"/>
    <x v="1"/>
    <x v="0"/>
    <x v="0"/>
    <x v="4"/>
    <n v="2"/>
    <n v="2"/>
    <n v="0"/>
    <n v="2"/>
    <x v="0"/>
    <n v="6.4611432767311794E-2"/>
  </r>
  <r>
    <x v="0"/>
    <x v="1"/>
    <x v="0"/>
    <x v="0"/>
    <x v="2"/>
    <x v="0"/>
    <x v="1"/>
    <x v="1"/>
    <x v="1"/>
    <x v="4"/>
    <n v="1"/>
    <n v="2"/>
    <n v="0"/>
    <n v="1"/>
    <x v="0"/>
    <n v="6.2427097124693152E-2"/>
  </r>
  <r>
    <x v="14"/>
    <x v="0"/>
    <x v="0"/>
    <x v="0"/>
    <x v="2"/>
    <x v="0"/>
    <x v="1"/>
    <x v="1"/>
    <x v="1"/>
    <x v="5"/>
    <n v="2"/>
    <n v="2"/>
    <n v="0"/>
    <m/>
    <x v="1"/>
    <n v="4.1730618848715956E-2"/>
  </r>
  <r>
    <x v="6"/>
    <x v="1"/>
    <x v="0"/>
    <x v="0"/>
    <x v="0"/>
    <x v="0"/>
    <x v="1"/>
    <x v="0"/>
    <x v="1"/>
    <x v="7"/>
    <n v="3"/>
    <n v="4"/>
    <n v="0"/>
    <m/>
    <x v="1"/>
    <n v="8.5938256015208103E-2"/>
  </r>
  <r>
    <x v="19"/>
    <x v="0"/>
    <x v="1"/>
    <x v="2"/>
    <x v="2"/>
    <x v="1"/>
    <x v="0"/>
    <x v="0"/>
    <x v="1"/>
    <x v="1"/>
    <n v="1"/>
    <n v="1"/>
    <n v="0"/>
    <m/>
    <x v="1"/>
    <n v="7.4925884485121511E-2"/>
  </r>
  <r>
    <x v="12"/>
    <x v="1"/>
    <x v="0"/>
    <x v="1"/>
    <x v="0"/>
    <x v="0"/>
    <x v="0"/>
    <x v="1"/>
    <x v="0"/>
    <x v="4"/>
    <n v="2"/>
    <n v="2"/>
    <n v="0"/>
    <m/>
    <x v="1"/>
    <n v="6.2358044650831737E-2"/>
  </r>
  <r>
    <x v="8"/>
    <x v="0"/>
    <x v="0"/>
    <x v="0"/>
    <x v="2"/>
    <x v="1"/>
    <x v="0"/>
    <x v="0"/>
    <x v="0"/>
    <x v="8"/>
    <n v="3"/>
    <n v="3"/>
    <n v="0"/>
    <m/>
    <x v="1"/>
    <n v="0.35634676875446636"/>
  </r>
  <r>
    <x v="3"/>
    <x v="1"/>
    <x v="1"/>
    <x v="1"/>
    <x v="2"/>
    <x v="1"/>
    <x v="0"/>
    <x v="0"/>
    <x v="2"/>
    <x v="9"/>
    <n v="1"/>
    <n v="1"/>
    <n v="0"/>
    <m/>
    <x v="1"/>
    <n v="0.12661775183939203"/>
  </r>
  <r>
    <x v="3"/>
    <x v="0"/>
    <x v="1"/>
    <x v="1"/>
    <x v="0"/>
    <x v="0"/>
    <x v="1"/>
    <x v="1"/>
    <x v="0"/>
    <x v="6"/>
    <n v="1"/>
    <n v="1"/>
    <n v="0"/>
    <m/>
    <x v="1"/>
    <n v="6.9455315248842728E-3"/>
  </r>
  <r>
    <x v="1"/>
    <x v="1"/>
    <x v="0"/>
    <x v="0"/>
    <x v="1"/>
    <x v="1"/>
    <x v="0"/>
    <x v="1"/>
    <x v="0"/>
    <x v="9"/>
    <n v="6"/>
    <n v="9"/>
    <n v="2"/>
    <n v="6"/>
    <x v="0"/>
    <n v="1.5381911074433512"/>
  </r>
  <r>
    <x v="9"/>
    <x v="1"/>
    <x v="1"/>
    <x v="2"/>
    <x v="0"/>
    <x v="0"/>
    <x v="0"/>
    <x v="0"/>
    <x v="2"/>
    <x v="9"/>
    <n v="1"/>
    <n v="1"/>
    <n v="0"/>
    <n v="1"/>
    <x v="0"/>
    <n v="0.12646792194996428"/>
  </r>
  <r>
    <x v="12"/>
    <x v="1"/>
    <x v="0"/>
    <x v="1"/>
    <x v="0"/>
    <x v="1"/>
    <x v="1"/>
    <x v="1"/>
    <x v="0"/>
    <x v="7"/>
    <n v="1"/>
    <n v="1"/>
    <n v="0"/>
    <m/>
    <x v="1"/>
    <n v="2.909692372485392E-2"/>
  </r>
  <r>
    <x v="6"/>
    <x v="1"/>
    <x v="0"/>
    <x v="2"/>
    <x v="0"/>
    <x v="0"/>
    <x v="0"/>
    <x v="0"/>
    <x v="2"/>
    <x v="9"/>
    <n v="1"/>
    <n v="2"/>
    <n v="0"/>
    <m/>
    <x v="1"/>
    <n v="0.34500564574730752"/>
  </r>
  <r>
    <x v="15"/>
    <x v="0"/>
    <x v="0"/>
    <x v="1"/>
    <x v="0"/>
    <x v="0"/>
    <x v="1"/>
    <x v="1"/>
    <x v="0"/>
    <x v="6"/>
    <n v="2"/>
    <n v="2"/>
    <n v="0"/>
    <n v="2"/>
    <x v="0"/>
    <n v="1.9940626127143805E-2"/>
  </r>
  <r>
    <x v="20"/>
    <x v="0"/>
    <x v="1"/>
    <x v="2"/>
    <x v="2"/>
    <x v="1"/>
    <x v="0"/>
    <x v="1"/>
    <x v="1"/>
    <x v="1"/>
    <n v="1"/>
    <n v="1"/>
    <n v="0"/>
    <n v="0"/>
    <x v="0"/>
    <n v="7.4925884485121511E-2"/>
  </r>
  <r>
    <x v="3"/>
    <x v="1"/>
    <x v="1"/>
    <x v="2"/>
    <x v="1"/>
    <x v="1"/>
    <x v="0"/>
    <x v="1"/>
    <x v="2"/>
    <x v="9"/>
    <n v="1"/>
    <n v="1"/>
    <n v="0"/>
    <m/>
    <x v="1"/>
    <n v="0.29724028639102335"/>
  </r>
  <r>
    <x v="7"/>
    <x v="0"/>
    <x v="0"/>
    <x v="0"/>
    <x v="0"/>
    <x v="0"/>
    <x v="0"/>
    <x v="1"/>
    <x v="0"/>
    <x v="0"/>
    <n v="2"/>
    <n v="2"/>
    <n v="0"/>
    <m/>
    <x v="1"/>
    <n v="8.9177351230152496E-2"/>
  </r>
  <r>
    <x v="18"/>
    <x v="1"/>
    <x v="0"/>
    <x v="0"/>
    <x v="2"/>
    <x v="0"/>
    <x v="1"/>
    <x v="1"/>
    <x v="0"/>
    <x v="0"/>
    <n v="1"/>
    <n v="1"/>
    <n v="0"/>
    <m/>
    <x v="1"/>
    <n v="4.6701039199944734E-2"/>
  </r>
  <r>
    <x v="16"/>
    <x v="1"/>
    <x v="0"/>
    <x v="0"/>
    <x v="3"/>
    <x v="0"/>
    <x v="1"/>
    <x v="1"/>
    <x v="1"/>
    <x v="4"/>
    <n v="1"/>
    <n v="1"/>
    <n v="0"/>
    <m/>
    <x v="1"/>
    <n v="4.1819346475315163E-2"/>
  </r>
  <r>
    <x v="5"/>
    <x v="0"/>
    <x v="1"/>
    <x v="1"/>
    <x v="1"/>
    <x v="1"/>
    <x v="0"/>
    <x v="1"/>
    <x v="2"/>
    <x v="8"/>
    <n v="1"/>
    <n v="1"/>
    <n v="0"/>
    <n v="1"/>
    <x v="0"/>
    <n v="8.8413868051613997E-2"/>
  </r>
  <r>
    <x v="14"/>
    <x v="1"/>
    <x v="0"/>
    <x v="0"/>
    <x v="2"/>
    <x v="0"/>
    <x v="0"/>
    <x v="0"/>
    <x v="1"/>
    <x v="3"/>
    <n v="3"/>
    <n v="3"/>
    <n v="0"/>
    <m/>
    <x v="1"/>
    <n v="0.19127161148809305"/>
  </r>
  <r>
    <x v="2"/>
    <x v="1"/>
    <x v="0"/>
    <x v="0"/>
    <x v="3"/>
    <x v="1"/>
    <x v="1"/>
    <x v="1"/>
    <x v="2"/>
    <x v="9"/>
    <n v="2"/>
    <n v="3"/>
    <n v="0"/>
    <m/>
    <x v="1"/>
    <n v="0.68040507607243506"/>
  </r>
  <r>
    <x v="11"/>
    <x v="0"/>
    <x v="1"/>
    <x v="1"/>
    <x v="1"/>
    <x v="0"/>
    <x v="0"/>
    <x v="1"/>
    <x v="2"/>
    <x v="0"/>
    <n v="2"/>
    <n v="2"/>
    <n v="0"/>
    <m/>
    <x v="1"/>
    <n v="9.3925729422400503E-2"/>
  </r>
  <r>
    <x v="1"/>
    <x v="0"/>
    <x v="0"/>
    <x v="2"/>
    <x v="0"/>
    <x v="1"/>
    <x v="1"/>
    <x v="0"/>
    <x v="1"/>
    <x v="4"/>
    <n v="1"/>
    <n v="1"/>
    <n v="0"/>
    <n v="1"/>
    <x v="0"/>
    <n v="3.6238577293788529E-2"/>
  </r>
  <r>
    <x v="2"/>
    <x v="0"/>
    <x v="1"/>
    <x v="1"/>
    <x v="2"/>
    <x v="1"/>
    <x v="1"/>
    <x v="1"/>
    <x v="1"/>
    <x v="6"/>
    <n v="2"/>
    <n v="2"/>
    <n v="0"/>
    <m/>
    <x v="1"/>
    <n v="2.6222996299441883E-2"/>
  </r>
  <r>
    <x v="12"/>
    <x v="0"/>
    <x v="1"/>
    <x v="2"/>
    <x v="1"/>
    <x v="1"/>
    <x v="0"/>
    <x v="1"/>
    <x v="0"/>
    <x v="8"/>
    <n v="1"/>
    <n v="1"/>
    <n v="0"/>
    <m/>
    <x v="1"/>
    <n v="0.11076881537434741"/>
  </r>
  <r>
    <x v="10"/>
    <x v="0"/>
    <x v="1"/>
    <x v="0"/>
    <x v="0"/>
    <x v="0"/>
    <x v="1"/>
    <x v="0"/>
    <x v="1"/>
    <x v="6"/>
    <n v="2"/>
    <n v="2"/>
    <n v="0"/>
    <m/>
    <x v="1"/>
    <n v="1.9969622697467805E-2"/>
  </r>
  <r>
    <x v="5"/>
    <x v="1"/>
    <x v="1"/>
    <x v="0"/>
    <x v="2"/>
    <x v="1"/>
    <x v="0"/>
    <x v="1"/>
    <x v="1"/>
    <x v="8"/>
    <n v="3"/>
    <n v="3"/>
    <n v="0"/>
    <n v="3"/>
    <x v="0"/>
    <n v="0.25548001550009786"/>
  </r>
  <r>
    <x v="7"/>
    <x v="0"/>
    <x v="1"/>
    <x v="1"/>
    <x v="3"/>
    <x v="1"/>
    <x v="0"/>
    <x v="1"/>
    <x v="2"/>
    <x v="8"/>
    <n v="1"/>
    <n v="1"/>
    <n v="0"/>
    <m/>
    <x v="1"/>
    <n v="0.11495729196366554"/>
  </r>
  <r>
    <x v="5"/>
    <x v="0"/>
    <x v="0"/>
    <x v="1"/>
    <x v="0"/>
    <x v="0"/>
    <x v="0"/>
    <x v="0"/>
    <x v="0"/>
    <x v="5"/>
    <n v="3"/>
    <n v="4"/>
    <n v="0"/>
    <n v="3"/>
    <x v="0"/>
    <n v="8.33679337168165E-2"/>
  </r>
  <r>
    <x v="16"/>
    <x v="1"/>
    <x v="1"/>
    <x v="0"/>
    <x v="3"/>
    <x v="0"/>
    <x v="0"/>
    <x v="1"/>
    <x v="1"/>
    <x v="3"/>
    <n v="1"/>
    <n v="1"/>
    <n v="0"/>
    <m/>
    <x v="1"/>
    <n v="6.0208639779017012E-2"/>
  </r>
  <r>
    <x v="12"/>
    <x v="0"/>
    <x v="1"/>
    <x v="0"/>
    <x v="0"/>
    <x v="0"/>
    <x v="0"/>
    <x v="0"/>
    <x v="2"/>
    <x v="1"/>
    <n v="2"/>
    <n v="2"/>
    <n v="0"/>
    <m/>
    <x v="1"/>
    <n v="0.1357021175431819"/>
  </r>
  <r>
    <x v="3"/>
    <x v="1"/>
    <x v="1"/>
    <x v="0"/>
    <x v="0"/>
    <x v="1"/>
    <x v="1"/>
    <x v="1"/>
    <x v="1"/>
    <x v="7"/>
    <n v="1"/>
    <n v="1"/>
    <n v="0"/>
    <m/>
    <x v="1"/>
    <n v="2.9138416298841268E-2"/>
  </r>
  <r>
    <x v="12"/>
    <x v="1"/>
    <x v="1"/>
    <x v="1"/>
    <x v="0"/>
    <x v="0"/>
    <x v="0"/>
    <x v="1"/>
    <x v="1"/>
    <x v="6"/>
    <n v="1"/>
    <n v="1"/>
    <n v="0"/>
    <m/>
    <x v="1"/>
    <n v="1.4486748808385878E-2"/>
  </r>
  <r>
    <x v="3"/>
    <x v="1"/>
    <x v="1"/>
    <x v="0"/>
    <x v="2"/>
    <x v="1"/>
    <x v="0"/>
    <x v="1"/>
    <x v="1"/>
    <x v="8"/>
    <n v="3"/>
    <n v="3"/>
    <n v="0"/>
    <m/>
    <x v="1"/>
    <n v="0.25548001550009786"/>
  </r>
  <r>
    <x v="19"/>
    <x v="1"/>
    <x v="0"/>
    <x v="2"/>
    <x v="0"/>
    <x v="0"/>
    <x v="0"/>
    <x v="1"/>
    <x v="0"/>
    <x v="8"/>
    <n v="2"/>
    <n v="4"/>
    <n v="0"/>
    <m/>
    <x v="1"/>
    <n v="0.33976122381943119"/>
  </r>
  <r>
    <x v="10"/>
    <x v="0"/>
    <x v="0"/>
    <x v="2"/>
    <x v="2"/>
    <x v="0"/>
    <x v="0"/>
    <x v="1"/>
    <x v="1"/>
    <x v="0"/>
    <n v="1"/>
    <n v="1"/>
    <n v="0"/>
    <m/>
    <x v="1"/>
    <n v="5.5937898870790044E-2"/>
  </r>
  <r>
    <x v="22"/>
    <x v="0"/>
    <x v="1"/>
    <x v="2"/>
    <x v="2"/>
    <x v="0"/>
    <x v="0"/>
    <x v="0"/>
    <x v="2"/>
    <x v="8"/>
    <n v="1"/>
    <n v="1"/>
    <n v="1"/>
    <n v="1"/>
    <x v="0"/>
    <n v="0.12320370260660997"/>
  </r>
  <r>
    <x v="12"/>
    <x v="0"/>
    <x v="1"/>
    <x v="0"/>
    <x v="0"/>
    <x v="1"/>
    <x v="0"/>
    <x v="0"/>
    <x v="0"/>
    <x v="3"/>
    <n v="1"/>
    <n v="1"/>
    <n v="0"/>
    <m/>
    <x v="1"/>
    <n v="5.9968911810879433E-2"/>
  </r>
  <r>
    <x v="2"/>
    <x v="0"/>
    <x v="0"/>
    <x v="1"/>
    <x v="2"/>
    <x v="1"/>
    <x v="0"/>
    <x v="1"/>
    <x v="0"/>
    <x v="0"/>
    <n v="1"/>
    <n v="2"/>
    <n v="0"/>
    <m/>
    <x v="1"/>
    <n v="0.11583488445771037"/>
  </r>
  <r>
    <x v="0"/>
    <x v="1"/>
    <x v="0"/>
    <x v="2"/>
    <x v="2"/>
    <x v="0"/>
    <x v="0"/>
    <x v="1"/>
    <x v="1"/>
    <x v="1"/>
    <n v="3"/>
    <n v="3"/>
    <n v="0"/>
    <n v="3"/>
    <x v="0"/>
    <n v="0.24665968708787422"/>
  </r>
  <r>
    <x v="13"/>
    <x v="1"/>
    <x v="0"/>
    <x v="2"/>
    <x v="0"/>
    <x v="0"/>
    <x v="0"/>
    <x v="1"/>
    <x v="1"/>
    <x v="0"/>
    <n v="1"/>
    <n v="1"/>
    <n v="0"/>
    <m/>
    <x v="1"/>
    <n v="5.7536894305784736E-2"/>
  </r>
  <r>
    <x v="20"/>
    <x v="0"/>
    <x v="0"/>
    <x v="2"/>
    <x v="0"/>
    <x v="1"/>
    <x v="0"/>
    <x v="1"/>
    <x v="1"/>
    <x v="1"/>
    <n v="1"/>
    <n v="1"/>
    <n v="0"/>
    <n v="1"/>
    <x v="0"/>
    <n v="7.3623241710018827E-2"/>
  </r>
  <r>
    <x v="12"/>
    <x v="0"/>
    <x v="0"/>
    <x v="1"/>
    <x v="2"/>
    <x v="0"/>
    <x v="1"/>
    <x v="1"/>
    <x v="2"/>
    <x v="4"/>
    <n v="1"/>
    <n v="1"/>
    <n v="0"/>
    <m/>
    <x v="1"/>
    <n v="3.2122009568017543E-2"/>
  </r>
  <r>
    <x v="4"/>
    <x v="0"/>
    <x v="1"/>
    <x v="1"/>
    <x v="0"/>
    <x v="1"/>
    <x v="0"/>
    <x v="0"/>
    <x v="1"/>
    <x v="5"/>
    <n v="2"/>
    <n v="3"/>
    <n v="0"/>
    <m/>
    <x v="1"/>
    <n v="5.6330389386931537E-2"/>
  </r>
  <r>
    <x v="20"/>
    <x v="1"/>
    <x v="0"/>
    <x v="0"/>
    <x v="1"/>
    <x v="1"/>
    <x v="0"/>
    <x v="1"/>
    <x v="2"/>
    <x v="9"/>
    <n v="5"/>
    <n v="7"/>
    <n v="0"/>
    <n v="5"/>
    <x v="0"/>
    <n v="2.2151383295451126"/>
  </r>
  <r>
    <x v="6"/>
    <x v="1"/>
    <x v="0"/>
    <x v="1"/>
    <x v="1"/>
    <x v="1"/>
    <x v="0"/>
    <x v="1"/>
    <x v="1"/>
    <x v="0"/>
    <n v="1"/>
    <n v="1"/>
    <n v="0"/>
    <m/>
    <x v="1"/>
    <n v="5.8234290043702328E-2"/>
  </r>
  <r>
    <x v="22"/>
    <x v="0"/>
    <x v="1"/>
    <x v="0"/>
    <x v="0"/>
    <x v="1"/>
    <x v="1"/>
    <x v="1"/>
    <x v="0"/>
    <x v="7"/>
    <n v="1"/>
    <n v="1"/>
    <n v="0"/>
    <n v="1"/>
    <x v="0"/>
    <n v="2.9298407105615491E-2"/>
  </r>
  <r>
    <x v="20"/>
    <x v="0"/>
    <x v="0"/>
    <x v="2"/>
    <x v="2"/>
    <x v="0"/>
    <x v="0"/>
    <x v="0"/>
    <x v="2"/>
    <x v="9"/>
    <n v="2"/>
    <n v="2"/>
    <n v="0"/>
    <n v="2"/>
    <x v="0"/>
    <n v="0.33655861738858139"/>
  </r>
  <r>
    <x v="3"/>
    <x v="0"/>
    <x v="1"/>
    <x v="0"/>
    <x v="2"/>
    <x v="1"/>
    <x v="1"/>
    <x v="1"/>
    <x v="0"/>
    <x v="2"/>
    <n v="1"/>
    <n v="1"/>
    <n v="0"/>
    <m/>
    <x v="1"/>
    <n v="4.2412414648078343E-2"/>
  </r>
  <r>
    <x v="16"/>
    <x v="1"/>
    <x v="0"/>
    <x v="0"/>
    <x v="3"/>
    <x v="0"/>
    <x v="1"/>
    <x v="1"/>
    <x v="2"/>
    <x v="9"/>
    <n v="3"/>
    <n v="5"/>
    <n v="0"/>
    <m/>
    <x v="1"/>
    <n v="0.64850841939805581"/>
  </r>
  <r>
    <x v="14"/>
    <x v="1"/>
    <x v="0"/>
    <x v="1"/>
    <x v="0"/>
    <x v="0"/>
    <x v="0"/>
    <x v="0"/>
    <x v="0"/>
    <x v="4"/>
    <n v="1"/>
    <n v="1"/>
    <n v="0"/>
    <m/>
    <x v="1"/>
    <n v="3.1179022325415869E-2"/>
  </r>
  <r>
    <x v="11"/>
    <x v="0"/>
    <x v="0"/>
    <x v="2"/>
    <x v="1"/>
    <x v="1"/>
    <x v="0"/>
    <x v="1"/>
    <x v="1"/>
    <x v="8"/>
    <n v="3"/>
    <n v="5"/>
    <n v="0"/>
    <m/>
    <x v="1"/>
    <n v="0.52758315984023618"/>
  </r>
  <r>
    <x v="15"/>
    <x v="1"/>
    <x v="0"/>
    <x v="0"/>
    <x v="3"/>
    <x v="1"/>
    <x v="0"/>
    <x v="0"/>
    <x v="2"/>
    <x v="9"/>
    <n v="3"/>
    <n v="3"/>
    <n v="0"/>
    <n v="3"/>
    <x v="0"/>
    <n v="1.1481308342243193"/>
  </r>
  <r>
    <x v="11"/>
    <x v="1"/>
    <x v="0"/>
    <x v="0"/>
    <x v="2"/>
    <x v="1"/>
    <x v="0"/>
    <x v="0"/>
    <x v="2"/>
    <x v="9"/>
    <n v="2"/>
    <n v="2"/>
    <n v="0"/>
    <m/>
    <x v="1"/>
    <n v="0.62796110753623335"/>
  </r>
  <r>
    <x v="21"/>
    <x v="1"/>
    <x v="1"/>
    <x v="0"/>
    <x v="2"/>
    <x v="0"/>
    <x v="0"/>
    <x v="0"/>
    <x v="2"/>
    <x v="9"/>
    <n v="1"/>
    <n v="2"/>
    <n v="0"/>
    <m/>
    <x v="1"/>
    <n v="0.27808190480497447"/>
  </r>
  <r>
    <x v="14"/>
    <x v="0"/>
    <x v="1"/>
    <x v="1"/>
    <x v="0"/>
    <x v="1"/>
    <x v="1"/>
    <x v="0"/>
    <x v="0"/>
    <x v="6"/>
    <n v="1"/>
    <n v="1"/>
    <n v="0"/>
    <m/>
    <x v="1"/>
    <n v="1.3579149957578668E-2"/>
  </r>
  <r>
    <x v="0"/>
    <x v="1"/>
    <x v="0"/>
    <x v="0"/>
    <x v="2"/>
    <x v="1"/>
    <x v="0"/>
    <x v="1"/>
    <x v="2"/>
    <x v="9"/>
    <n v="1"/>
    <n v="1"/>
    <n v="0"/>
    <n v="1"/>
    <x v="0"/>
    <n v="0.31398055376811668"/>
  </r>
  <r>
    <x v="17"/>
    <x v="0"/>
    <x v="1"/>
    <x v="0"/>
    <x v="0"/>
    <x v="0"/>
    <x v="1"/>
    <x v="1"/>
    <x v="2"/>
    <x v="4"/>
    <n v="1"/>
    <n v="1"/>
    <n v="0"/>
    <n v="1"/>
    <x v="0"/>
    <n v="3.3292078574409821E-2"/>
  </r>
  <r>
    <x v="5"/>
    <x v="1"/>
    <x v="0"/>
    <x v="0"/>
    <x v="3"/>
    <x v="1"/>
    <x v="0"/>
    <x v="1"/>
    <x v="2"/>
    <x v="9"/>
    <n v="1"/>
    <n v="1"/>
    <n v="1"/>
    <n v="1"/>
    <x v="0"/>
    <n v="0.38271027807477309"/>
  </r>
  <r>
    <x v="13"/>
    <x v="1"/>
    <x v="0"/>
    <x v="0"/>
    <x v="2"/>
    <x v="1"/>
    <x v="0"/>
    <x v="0"/>
    <x v="1"/>
    <x v="8"/>
    <n v="1"/>
    <n v="1"/>
    <n v="0"/>
    <m/>
    <x v="1"/>
    <n v="0.118193115915998"/>
  </r>
  <r>
    <x v="21"/>
    <x v="1"/>
    <x v="0"/>
    <x v="0"/>
    <x v="2"/>
    <x v="0"/>
    <x v="0"/>
    <x v="0"/>
    <x v="2"/>
    <x v="9"/>
    <n v="2"/>
    <n v="5"/>
    <n v="0"/>
    <m/>
    <x v="1"/>
    <n v="0.94332019217481822"/>
  </r>
  <r>
    <x v="4"/>
    <x v="0"/>
    <x v="1"/>
    <x v="2"/>
    <x v="0"/>
    <x v="0"/>
    <x v="0"/>
    <x v="0"/>
    <x v="1"/>
    <x v="7"/>
    <n v="3"/>
    <n v="3"/>
    <n v="0"/>
    <m/>
    <x v="1"/>
    <n v="8.1833526001017565E-2"/>
  </r>
  <r>
    <x v="1"/>
    <x v="1"/>
    <x v="1"/>
    <x v="0"/>
    <x v="0"/>
    <x v="0"/>
    <x v="1"/>
    <x v="1"/>
    <x v="0"/>
    <x v="7"/>
    <n v="2"/>
    <n v="2"/>
    <n v="0"/>
    <n v="2"/>
    <x v="0"/>
    <n v="4.5319878411547367E-2"/>
  </r>
  <r>
    <x v="10"/>
    <x v="0"/>
    <x v="1"/>
    <x v="2"/>
    <x v="2"/>
    <x v="0"/>
    <x v="0"/>
    <x v="1"/>
    <x v="2"/>
    <x v="8"/>
    <n v="2"/>
    <n v="2"/>
    <n v="0"/>
    <m/>
    <x v="1"/>
    <n v="0.24640740521321994"/>
  </r>
  <r>
    <x v="20"/>
    <x v="1"/>
    <x v="0"/>
    <x v="2"/>
    <x v="0"/>
    <x v="0"/>
    <x v="1"/>
    <x v="0"/>
    <x v="1"/>
    <x v="7"/>
    <n v="1"/>
    <n v="1"/>
    <n v="0"/>
    <n v="1"/>
    <x v="0"/>
    <n v="2.8073075056070349E-2"/>
  </r>
  <r>
    <x v="14"/>
    <x v="1"/>
    <x v="1"/>
    <x v="0"/>
    <x v="0"/>
    <x v="0"/>
    <x v="1"/>
    <x v="0"/>
    <x v="0"/>
    <x v="7"/>
    <n v="2"/>
    <n v="2"/>
    <n v="0"/>
    <m/>
    <x v="1"/>
    <n v="4.5319878411547367E-2"/>
  </r>
  <r>
    <x v="16"/>
    <x v="1"/>
    <x v="0"/>
    <x v="1"/>
    <x v="0"/>
    <x v="0"/>
    <x v="1"/>
    <x v="0"/>
    <x v="0"/>
    <x v="5"/>
    <n v="1"/>
    <n v="1"/>
    <n v="0"/>
    <m/>
    <x v="1"/>
    <n v="1.4997899225310888E-2"/>
  </r>
  <r>
    <x v="14"/>
    <x v="1"/>
    <x v="1"/>
    <x v="2"/>
    <x v="0"/>
    <x v="0"/>
    <x v="0"/>
    <x v="1"/>
    <x v="1"/>
    <x v="4"/>
    <n v="1"/>
    <n v="2"/>
    <n v="0"/>
    <m/>
    <x v="1"/>
    <n v="8.1348580053063432E-2"/>
  </r>
  <r>
    <x v="14"/>
    <x v="1"/>
    <x v="1"/>
    <x v="1"/>
    <x v="1"/>
    <x v="0"/>
    <x v="0"/>
    <x v="1"/>
    <x v="1"/>
    <x v="5"/>
    <n v="2"/>
    <n v="2"/>
    <n v="0"/>
    <m/>
    <x v="1"/>
    <n v="4.270571089939363E-2"/>
  </r>
  <r>
    <x v="0"/>
    <x v="0"/>
    <x v="1"/>
    <x v="0"/>
    <x v="0"/>
    <x v="0"/>
    <x v="1"/>
    <x v="0"/>
    <x v="0"/>
    <x v="5"/>
    <n v="1"/>
    <n v="1"/>
    <n v="0"/>
    <n v="1"/>
    <x v="0"/>
    <n v="1.5103271786810353E-2"/>
  </r>
  <r>
    <x v="11"/>
    <x v="0"/>
    <x v="0"/>
    <x v="2"/>
    <x v="3"/>
    <x v="1"/>
    <x v="0"/>
    <x v="1"/>
    <x v="0"/>
    <x v="9"/>
    <n v="1"/>
    <n v="1"/>
    <n v="0"/>
    <m/>
    <x v="1"/>
    <n v="0.19368117151349643"/>
  </r>
  <r>
    <x v="0"/>
    <x v="1"/>
    <x v="0"/>
    <x v="0"/>
    <x v="2"/>
    <x v="1"/>
    <x v="1"/>
    <x v="0"/>
    <x v="1"/>
    <x v="3"/>
    <n v="1"/>
    <n v="1"/>
    <n v="0"/>
    <n v="1"/>
    <x v="0"/>
    <n v="5.9633482189705503E-2"/>
  </r>
  <r>
    <x v="8"/>
    <x v="0"/>
    <x v="0"/>
    <x v="0"/>
    <x v="0"/>
    <x v="1"/>
    <x v="0"/>
    <x v="0"/>
    <x v="0"/>
    <x v="1"/>
    <n v="2"/>
    <n v="2"/>
    <n v="0"/>
    <m/>
    <x v="1"/>
    <n v="0.16825824609222664"/>
  </r>
  <r>
    <x v="7"/>
    <x v="1"/>
    <x v="1"/>
    <x v="1"/>
    <x v="0"/>
    <x v="0"/>
    <x v="1"/>
    <x v="0"/>
    <x v="1"/>
    <x v="6"/>
    <n v="1"/>
    <n v="1"/>
    <n v="0"/>
    <m/>
    <x v="1"/>
    <n v="6.9067353216518941E-3"/>
  </r>
  <r>
    <x v="16"/>
    <x v="1"/>
    <x v="1"/>
    <x v="0"/>
    <x v="3"/>
    <x v="0"/>
    <x v="0"/>
    <x v="1"/>
    <x v="2"/>
    <x v="9"/>
    <n v="1"/>
    <n v="1"/>
    <n v="0"/>
    <m/>
    <x v="1"/>
    <n v="0.17949631292439386"/>
  </r>
  <r>
    <x v="10"/>
    <x v="0"/>
    <x v="0"/>
    <x v="1"/>
    <x v="1"/>
    <x v="1"/>
    <x v="0"/>
    <x v="1"/>
    <x v="1"/>
    <x v="4"/>
    <n v="1"/>
    <n v="2"/>
    <n v="0"/>
    <m/>
    <x v="1"/>
    <n v="7.8582346257712016E-2"/>
  </r>
  <r>
    <x v="9"/>
    <x v="0"/>
    <x v="0"/>
    <x v="1"/>
    <x v="1"/>
    <x v="1"/>
    <x v="0"/>
    <x v="1"/>
    <x v="2"/>
    <x v="8"/>
    <n v="2"/>
    <n v="2"/>
    <n v="0"/>
    <n v="2"/>
    <x v="0"/>
    <n v="0.24508014561402286"/>
  </r>
  <r>
    <x v="19"/>
    <x v="0"/>
    <x v="0"/>
    <x v="2"/>
    <x v="0"/>
    <x v="0"/>
    <x v="1"/>
    <x v="1"/>
    <x v="0"/>
    <x v="7"/>
    <n v="2"/>
    <n v="2"/>
    <n v="0"/>
    <m/>
    <x v="1"/>
    <n v="5.6454772893196677E-2"/>
  </r>
  <r>
    <x v="11"/>
    <x v="0"/>
    <x v="0"/>
    <x v="0"/>
    <x v="3"/>
    <x v="1"/>
    <x v="0"/>
    <x v="0"/>
    <x v="0"/>
    <x v="9"/>
    <n v="1"/>
    <n v="2"/>
    <n v="0"/>
    <m/>
    <x v="1"/>
    <n v="0.30880046345207129"/>
  </r>
  <r>
    <x v="13"/>
    <x v="1"/>
    <x v="0"/>
    <x v="1"/>
    <x v="0"/>
    <x v="0"/>
    <x v="0"/>
    <x v="1"/>
    <x v="1"/>
    <x v="5"/>
    <n v="1"/>
    <n v="1"/>
    <n v="0"/>
    <m/>
    <x v="1"/>
    <n v="2.0727184867413109E-2"/>
  </r>
  <r>
    <x v="14"/>
    <x v="1"/>
    <x v="0"/>
    <x v="0"/>
    <x v="3"/>
    <x v="1"/>
    <x v="0"/>
    <x v="0"/>
    <x v="1"/>
    <x v="9"/>
    <n v="1"/>
    <n v="3"/>
    <n v="0"/>
    <m/>
    <x v="1"/>
    <n v="0.46099571299622388"/>
  </r>
  <r>
    <x v="7"/>
    <x v="1"/>
    <x v="1"/>
    <x v="1"/>
    <x v="0"/>
    <x v="0"/>
    <x v="1"/>
    <x v="1"/>
    <x v="1"/>
    <x v="6"/>
    <n v="1"/>
    <n v="1"/>
    <n v="0"/>
    <m/>
    <x v="1"/>
    <n v="6.9067353216518941E-3"/>
  </r>
  <r>
    <x v="12"/>
    <x v="0"/>
    <x v="0"/>
    <x v="0"/>
    <x v="2"/>
    <x v="1"/>
    <x v="1"/>
    <x v="0"/>
    <x v="1"/>
    <x v="4"/>
    <n v="3"/>
    <n v="3"/>
    <n v="0"/>
    <m/>
    <x v="1"/>
    <n v="0.1207640240345543"/>
  </r>
  <r>
    <x v="17"/>
    <x v="0"/>
    <x v="1"/>
    <x v="0"/>
    <x v="2"/>
    <x v="1"/>
    <x v="0"/>
    <x v="1"/>
    <x v="1"/>
    <x v="0"/>
    <n v="1"/>
    <n v="1"/>
    <n v="0"/>
    <n v="1"/>
    <x v="0"/>
    <n v="5.7997578176727585E-2"/>
  </r>
  <r>
    <x v="17"/>
    <x v="0"/>
    <x v="0"/>
    <x v="1"/>
    <x v="0"/>
    <x v="0"/>
    <x v="0"/>
    <x v="0"/>
    <x v="2"/>
    <x v="0"/>
    <n v="1"/>
    <n v="1"/>
    <n v="0"/>
    <n v="1"/>
    <x v="0"/>
    <n v="4.5621764642715154E-2"/>
  </r>
  <r>
    <x v="16"/>
    <x v="0"/>
    <x v="0"/>
    <x v="1"/>
    <x v="0"/>
    <x v="0"/>
    <x v="1"/>
    <x v="0"/>
    <x v="0"/>
    <x v="6"/>
    <n v="1"/>
    <n v="1"/>
    <n v="0"/>
    <m/>
    <x v="1"/>
    <n v="9.9703130635719027E-3"/>
  </r>
  <r>
    <x v="1"/>
    <x v="1"/>
    <x v="0"/>
    <x v="1"/>
    <x v="0"/>
    <x v="0"/>
    <x v="0"/>
    <x v="0"/>
    <x v="1"/>
    <x v="5"/>
    <n v="2"/>
    <n v="4"/>
    <n v="0"/>
    <n v="2"/>
    <x v="0"/>
    <n v="8.2908739469652437E-2"/>
  </r>
  <r>
    <x v="21"/>
    <x v="1"/>
    <x v="0"/>
    <x v="2"/>
    <x v="0"/>
    <x v="0"/>
    <x v="0"/>
    <x v="1"/>
    <x v="2"/>
    <x v="9"/>
    <n v="1"/>
    <n v="1"/>
    <n v="0"/>
    <m/>
    <x v="1"/>
    <n v="0.17250282287365376"/>
  </r>
  <r>
    <x v="1"/>
    <x v="1"/>
    <x v="1"/>
    <x v="1"/>
    <x v="1"/>
    <x v="0"/>
    <x v="0"/>
    <x v="1"/>
    <x v="2"/>
    <x v="1"/>
    <n v="1"/>
    <n v="1"/>
    <n v="0"/>
    <n v="1"/>
    <x v="0"/>
    <n v="6.9337721412467759E-2"/>
  </r>
  <r>
    <x v="3"/>
    <x v="0"/>
    <x v="1"/>
    <x v="1"/>
    <x v="0"/>
    <x v="0"/>
    <x v="0"/>
    <x v="0"/>
    <x v="0"/>
    <x v="5"/>
    <n v="1"/>
    <n v="1"/>
    <n v="0"/>
    <m/>
    <x v="1"/>
    <n v="1.4567498552386326E-2"/>
  </r>
  <r>
    <x v="3"/>
    <x v="1"/>
    <x v="1"/>
    <x v="1"/>
    <x v="1"/>
    <x v="0"/>
    <x v="0"/>
    <x v="1"/>
    <x v="1"/>
    <x v="5"/>
    <n v="1"/>
    <n v="1"/>
    <n v="0"/>
    <m/>
    <x v="1"/>
    <n v="2.1352855449696815E-2"/>
  </r>
  <r>
    <x v="9"/>
    <x v="1"/>
    <x v="0"/>
    <x v="1"/>
    <x v="0"/>
    <x v="0"/>
    <x v="0"/>
    <x v="1"/>
    <x v="1"/>
    <x v="5"/>
    <n v="1"/>
    <n v="1"/>
    <n v="0"/>
    <n v="1"/>
    <x v="0"/>
    <n v="2.0727184867413109E-2"/>
  </r>
  <r>
    <x v="0"/>
    <x v="0"/>
    <x v="0"/>
    <x v="2"/>
    <x v="2"/>
    <x v="0"/>
    <x v="1"/>
    <x v="0"/>
    <x v="0"/>
    <x v="4"/>
    <n v="1"/>
    <n v="1"/>
    <n v="0"/>
    <n v="1"/>
    <x v="0"/>
    <n v="4.088219372579513E-2"/>
  </r>
  <r>
    <x v="9"/>
    <x v="1"/>
    <x v="0"/>
    <x v="2"/>
    <x v="0"/>
    <x v="0"/>
    <x v="1"/>
    <x v="0"/>
    <x v="0"/>
    <x v="2"/>
    <n v="1"/>
    <n v="1"/>
    <n v="0"/>
    <n v="1"/>
    <x v="0"/>
    <n v="4.2069997453546046E-2"/>
  </r>
  <r>
    <x v="5"/>
    <x v="0"/>
    <x v="0"/>
    <x v="0"/>
    <x v="3"/>
    <x v="1"/>
    <x v="0"/>
    <x v="0"/>
    <x v="0"/>
    <x v="9"/>
    <n v="1"/>
    <n v="1"/>
    <n v="0"/>
    <n v="1"/>
    <x v="0"/>
    <n v="0.15440023172603565"/>
  </r>
  <r>
    <x v="1"/>
    <x v="0"/>
    <x v="1"/>
    <x v="2"/>
    <x v="2"/>
    <x v="1"/>
    <x v="0"/>
    <x v="1"/>
    <x v="1"/>
    <x v="1"/>
    <n v="2"/>
    <n v="2"/>
    <n v="0"/>
    <n v="2"/>
    <x v="0"/>
    <n v="0.14985176897024302"/>
  </r>
  <r>
    <x v="17"/>
    <x v="0"/>
    <x v="1"/>
    <x v="0"/>
    <x v="0"/>
    <x v="0"/>
    <x v="1"/>
    <x v="0"/>
    <x v="0"/>
    <x v="5"/>
    <n v="1"/>
    <n v="1"/>
    <n v="0"/>
    <n v="1"/>
    <x v="0"/>
    <n v="1.5103271786810353E-2"/>
  </r>
  <r>
    <x v="6"/>
    <x v="0"/>
    <x v="0"/>
    <x v="2"/>
    <x v="0"/>
    <x v="0"/>
    <x v="1"/>
    <x v="0"/>
    <x v="0"/>
    <x v="7"/>
    <n v="1"/>
    <n v="1"/>
    <n v="0"/>
    <m/>
    <x v="1"/>
    <n v="2.8227386446598338E-2"/>
  </r>
  <r>
    <x v="18"/>
    <x v="1"/>
    <x v="0"/>
    <x v="0"/>
    <x v="2"/>
    <x v="0"/>
    <x v="0"/>
    <x v="0"/>
    <x v="0"/>
    <x v="8"/>
    <n v="1"/>
    <n v="2"/>
    <n v="0"/>
    <m/>
    <x v="1"/>
    <n v="0.18765650481069013"/>
  </r>
  <r>
    <x v="20"/>
    <x v="0"/>
    <x v="1"/>
    <x v="0"/>
    <x v="0"/>
    <x v="1"/>
    <x v="1"/>
    <x v="0"/>
    <x v="0"/>
    <x v="7"/>
    <n v="1"/>
    <n v="1"/>
    <n v="0"/>
    <n v="1"/>
    <x v="0"/>
    <n v="2.9298407105615491E-2"/>
  </r>
  <r>
    <x v="8"/>
    <x v="1"/>
    <x v="1"/>
    <x v="2"/>
    <x v="0"/>
    <x v="0"/>
    <x v="1"/>
    <x v="0"/>
    <x v="1"/>
    <x v="5"/>
    <n v="1"/>
    <n v="1"/>
    <n v="0"/>
    <m/>
    <x v="1"/>
    <n v="1.9665389303685415E-2"/>
  </r>
  <r>
    <x v="0"/>
    <x v="0"/>
    <x v="0"/>
    <x v="1"/>
    <x v="2"/>
    <x v="0"/>
    <x v="1"/>
    <x v="1"/>
    <x v="2"/>
    <x v="4"/>
    <n v="1"/>
    <n v="1"/>
    <n v="0"/>
    <n v="1"/>
    <x v="0"/>
    <n v="3.2122009568017543E-2"/>
  </r>
  <r>
    <x v="22"/>
    <x v="0"/>
    <x v="0"/>
    <x v="1"/>
    <x v="0"/>
    <x v="1"/>
    <x v="0"/>
    <x v="1"/>
    <x v="0"/>
    <x v="4"/>
    <n v="1"/>
    <n v="1"/>
    <n v="0"/>
    <n v="1"/>
    <x v="0"/>
    <n v="4.0210562870550678E-2"/>
  </r>
  <r>
    <x v="1"/>
    <x v="1"/>
    <x v="0"/>
    <x v="0"/>
    <x v="0"/>
    <x v="1"/>
    <x v="0"/>
    <x v="1"/>
    <x v="1"/>
    <x v="1"/>
    <n v="1"/>
    <n v="2"/>
    <n v="0"/>
    <n v="1"/>
    <x v="0"/>
    <n v="0.1673910648723646"/>
  </r>
  <r>
    <x v="7"/>
    <x v="1"/>
    <x v="0"/>
    <x v="0"/>
    <x v="0"/>
    <x v="0"/>
    <x v="0"/>
    <x v="1"/>
    <x v="2"/>
    <x v="9"/>
    <n v="3"/>
    <n v="6"/>
    <n v="0"/>
    <m/>
    <x v="1"/>
    <n v="0.82073068377998026"/>
  </r>
  <r>
    <x v="16"/>
    <x v="0"/>
    <x v="0"/>
    <x v="1"/>
    <x v="2"/>
    <x v="1"/>
    <x v="0"/>
    <x v="1"/>
    <x v="1"/>
    <x v="4"/>
    <n v="1"/>
    <n v="1"/>
    <n v="0"/>
    <m/>
    <x v="1"/>
    <n v="3.8861886041588509E-2"/>
  </r>
  <r>
    <x v="0"/>
    <x v="1"/>
    <x v="0"/>
    <x v="2"/>
    <x v="0"/>
    <x v="1"/>
    <x v="0"/>
    <x v="1"/>
    <x v="1"/>
    <x v="8"/>
    <n v="1"/>
    <n v="1"/>
    <n v="0"/>
    <n v="1"/>
    <x v="0"/>
    <n v="0.10727040371594192"/>
  </r>
  <r>
    <x v="22"/>
    <x v="0"/>
    <x v="1"/>
    <x v="0"/>
    <x v="0"/>
    <x v="0"/>
    <x v="0"/>
    <x v="0"/>
    <x v="2"/>
    <x v="1"/>
    <n v="2"/>
    <n v="4"/>
    <n v="1"/>
    <n v="2"/>
    <x v="0"/>
    <n v="0.2714042350863638"/>
  </r>
  <r>
    <x v="7"/>
    <x v="1"/>
    <x v="1"/>
    <x v="2"/>
    <x v="2"/>
    <x v="0"/>
    <x v="0"/>
    <x v="1"/>
    <x v="0"/>
    <x v="8"/>
    <n v="1"/>
    <n v="1"/>
    <n v="0"/>
    <m/>
    <x v="1"/>
    <n v="8.6424504948779526E-2"/>
  </r>
  <r>
    <x v="17"/>
    <x v="0"/>
    <x v="1"/>
    <x v="0"/>
    <x v="3"/>
    <x v="1"/>
    <x v="0"/>
    <x v="1"/>
    <x v="0"/>
    <x v="8"/>
    <n v="3"/>
    <n v="3"/>
    <n v="0"/>
    <n v="3"/>
    <x v="0"/>
    <n v="0.33761779806551595"/>
  </r>
  <r>
    <x v="17"/>
    <x v="0"/>
    <x v="0"/>
    <x v="1"/>
    <x v="0"/>
    <x v="0"/>
    <x v="1"/>
    <x v="0"/>
    <x v="1"/>
    <x v="6"/>
    <n v="2"/>
    <n v="2"/>
    <n v="0"/>
    <n v="2"/>
    <x v="0"/>
    <n v="1.315955589013206E-2"/>
  </r>
  <r>
    <x v="21"/>
    <x v="0"/>
    <x v="0"/>
    <x v="2"/>
    <x v="2"/>
    <x v="0"/>
    <x v="0"/>
    <x v="1"/>
    <x v="0"/>
    <x v="1"/>
    <n v="2"/>
    <n v="2"/>
    <n v="0"/>
    <m/>
    <x v="1"/>
    <n v="0.16529306235547556"/>
  </r>
  <r>
    <x v="4"/>
    <x v="1"/>
    <x v="0"/>
    <x v="2"/>
    <x v="1"/>
    <x v="1"/>
    <x v="0"/>
    <x v="1"/>
    <x v="1"/>
    <x v="9"/>
    <n v="1"/>
    <n v="5"/>
    <n v="0"/>
    <m/>
    <x v="1"/>
    <n v="0.75679072226126198"/>
  </r>
  <r>
    <x v="4"/>
    <x v="0"/>
    <x v="1"/>
    <x v="0"/>
    <x v="3"/>
    <x v="0"/>
    <x v="1"/>
    <x v="1"/>
    <x v="2"/>
    <x v="3"/>
    <n v="1"/>
    <n v="1"/>
    <n v="0"/>
    <m/>
    <x v="1"/>
    <n v="6.407072599452876E-2"/>
  </r>
  <r>
    <x v="5"/>
    <x v="1"/>
    <x v="0"/>
    <x v="0"/>
    <x v="3"/>
    <x v="1"/>
    <x v="1"/>
    <x v="1"/>
    <x v="1"/>
    <x v="1"/>
    <n v="1"/>
    <n v="1"/>
    <n v="1"/>
    <n v="1"/>
    <x v="0"/>
    <n v="7.9107339630020743E-2"/>
  </r>
  <r>
    <x v="14"/>
    <x v="0"/>
    <x v="0"/>
    <x v="0"/>
    <x v="3"/>
    <x v="1"/>
    <x v="0"/>
    <x v="1"/>
    <x v="2"/>
    <x v="9"/>
    <n v="2"/>
    <n v="5"/>
    <n v="0"/>
    <m/>
    <x v="1"/>
    <n v="1.4540539177142675"/>
  </r>
  <r>
    <x v="9"/>
    <x v="0"/>
    <x v="1"/>
    <x v="0"/>
    <x v="3"/>
    <x v="1"/>
    <x v="0"/>
    <x v="1"/>
    <x v="0"/>
    <x v="8"/>
    <n v="1"/>
    <n v="1"/>
    <n v="1"/>
    <n v="1"/>
    <x v="0"/>
    <n v="0.11253926602183867"/>
  </r>
  <r>
    <x v="0"/>
    <x v="1"/>
    <x v="1"/>
    <x v="0"/>
    <x v="0"/>
    <x v="0"/>
    <x v="1"/>
    <x v="1"/>
    <x v="0"/>
    <x v="7"/>
    <n v="1"/>
    <n v="1"/>
    <n v="0"/>
    <n v="1"/>
    <x v="0"/>
    <n v="2.2659939205773683E-2"/>
  </r>
  <r>
    <x v="19"/>
    <x v="0"/>
    <x v="0"/>
    <x v="1"/>
    <x v="0"/>
    <x v="0"/>
    <x v="1"/>
    <x v="0"/>
    <x v="2"/>
    <x v="7"/>
    <n v="1"/>
    <n v="1"/>
    <n v="0"/>
    <m/>
    <x v="1"/>
    <n v="2.2116330033594731E-2"/>
  </r>
  <r>
    <x v="12"/>
    <x v="0"/>
    <x v="0"/>
    <x v="2"/>
    <x v="1"/>
    <x v="1"/>
    <x v="0"/>
    <x v="1"/>
    <x v="2"/>
    <x v="9"/>
    <n v="1"/>
    <n v="1"/>
    <n v="0"/>
    <m/>
    <x v="1"/>
    <n v="0.28714321825078692"/>
  </r>
  <r>
    <x v="6"/>
    <x v="1"/>
    <x v="0"/>
    <x v="1"/>
    <x v="3"/>
    <x v="1"/>
    <x v="0"/>
    <x v="1"/>
    <x v="0"/>
    <x v="8"/>
    <n v="1"/>
    <n v="1"/>
    <n v="0"/>
    <m/>
    <x v="1"/>
    <n v="0.11183128944304827"/>
  </r>
  <r>
    <x v="9"/>
    <x v="0"/>
    <x v="0"/>
    <x v="1"/>
    <x v="2"/>
    <x v="0"/>
    <x v="0"/>
    <x v="1"/>
    <x v="0"/>
    <x v="7"/>
    <n v="2"/>
    <n v="3"/>
    <n v="0"/>
    <n v="2"/>
    <x v="0"/>
    <n v="9.0866974408290405E-2"/>
  </r>
  <r>
    <x v="21"/>
    <x v="0"/>
    <x v="1"/>
    <x v="2"/>
    <x v="0"/>
    <x v="0"/>
    <x v="0"/>
    <x v="0"/>
    <x v="1"/>
    <x v="7"/>
    <n v="2"/>
    <n v="3"/>
    <n v="0"/>
    <m/>
    <x v="1"/>
    <n v="8.1833526001017565E-2"/>
  </r>
  <r>
    <x v="13"/>
    <x v="0"/>
    <x v="0"/>
    <x v="0"/>
    <x v="2"/>
    <x v="1"/>
    <x v="0"/>
    <x v="1"/>
    <x v="1"/>
    <x v="1"/>
    <n v="1"/>
    <n v="1"/>
    <n v="1"/>
    <m/>
    <x v="1"/>
    <n v="8.1432380804835489E-2"/>
  </r>
  <r>
    <x v="12"/>
    <x v="1"/>
    <x v="1"/>
    <x v="2"/>
    <x v="0"/>
    <x v="0"/>
    <x v="0"/>
    <x v="0"/>
    <x v="0"/>
    <x v="3"/>
    <n v="1"/>
    <n v="1"/>
    <n v="1"/>
    <m/>
    <x v="1"/>
    <n v="6.0562543455648175E-2"/>
  </r>
  <r>
    <x v="9"/>
    <x v="1"/>
    <x v="0"/>
    <x v="2"/>
    <x v="3"/>
    <x v="0"/>
    <x v="0"/>
    <x v="1"/>
    <x v="2"/>
    <x v="9"/>
    <n v="1"/>
    <n v="1"/>
    <n v="1"/>
    <n v="1"/>
    <x v="0"/>
    <n v="0.2929773242473675"/>
  </r>
  <r>
    <x v="1"/>
    <x v="1"/>
    <x v="1"/>
    <x v="0"/>
    <x v="2"/>
    <x v="0"/>
    <x v="0"/>
    <x v="0"/>
    <x v="1"/>
    <x v="0"/>
    <n v="1"/>
    <n v="1"/>
    <n v="0"/>
    <n v="1"/>
    <x v="0"/>
    <n v="4.5158935948663145E-2"/>
  </r>
  <r>
    <x v="1"/>
    <x v="0"/>
    <x v="1"/>
    <x v="2"/>
    <x v="0"/>
    <x v="1"/>
    <x v="1"/>
    <x v="1"/>
    <x v="1"/>
    <x v="7"/>
    <n v="1"/>
    <n v="1"/>
    <n v="0"/>
    <n v="1"/>
    <x v="0"/>
    <n v="2.5449416297903645E-2"/>
  </r>
  <r>
    <x v="11"/>
    <x v="1"/>
    <x v="1"/>
    <x v="2"/>
    <x v="2"/>
    <x v="1"/>
    <x v="0"/>
    <x v="1"/>
    <x v="1"/>
    <x v="8"/>
    <n v="1"/>
    <n v="1"/>
    <n v="0"/>
    <m/>
    <x v="1"/>
    <n v="0.10909826649368773"/>
  </r>
  <r>
    <x v="10"/>
    <x v="0"/>
    <x v="1"/>
    <x v="0"/>
    <x v="2"/>
    <x v="0"/>
    <x v="0"/>
    <x v="1"/>
    <x v="1"/>
    <x v="7"/>
    <n v="2"/>
    <n v="2"/>
    <n v="0"/>
    <m/>
    <x v="1"/>
    <n v="6.066426167972111E-2"/>
  </r>
  <r>
    <x v="1"/>
    <x v="1"/>
    <x v="1"/>
    <x v="1"/>
    <x v="2"/>
    <x v="0"/>
    <x v="1"/>
    <x v="1"/>
    <x v="1"/>
    <x v="6"/>
    <n v="2"/>
    <n v="2"/>
    <n v="0"/>
    <n v="2"/>
    <x v="0"/>
    <n v="2.0205017035700282E-2"/>
  </r>
  <r>
    <x v="11"/>
    <x v="0"/>
    <x v="0"/>
    <x v="1"/>
    <x v="2"/>
    <x v="0"/>
    <x v="0"/>
    <x v="0"/>
    <x v="2"/>
    <x v="1"/>
    <n v="2"/>
    <n v="2"/>
    <n v="0"/>
    <m/>
    <x v="1"/>
    <n v="0.1310975036068017"/>
  </r>
  <r>
    <x v="20"/>
    <x v="1"/>
    <x v="1"/>
    <x v="0"/>
    <x v="2"/>
    <x v="1"/>
    <x v="1"/>
    <x v="0"/>
    <x v="0"/>
    <x v="3"/>
    <n v="1"/>
    <n v="1"/>
    <n v="0"/>
    <n v="1"/>
    <x v="0"/>
    <n v="6.2762040961245935E-2"/>
  </r>
  <r>
    <x v="18"/>
    <x v="1"/>
    <x v="0"/>
    <x v="1"/>
    <x v="1"/>
    <x v="0"/>
    <x v="0"/>
    <x v="1"/>
    <x v="0"/>
    <x v="0"/>
    <n v="1"/>
    <n v="3"/>
    <n v="0"/>
    <m/>
    <x v="1"/>
    <n v="0.13677171718722211"/>
  </r>
  <r>
    <x v="10"/>
    <x v="0"/>
    <x v="0"/>
    <x v="0"/>
    <x v="0"/>
    <x v="0"/>
    <x v="1"/>
    <x v="0"/>
    <x v="2"/>
    <x v="0"/>
    <n v="1"/>
    <n v="2"/>
    <n v="0"/>
    <m/>
    <x v="1"/>
    <n v="9.4489829543465659E-2"/>
  </r>
  <r>
    <x v="1"/>
    <x v="0"/>
    <x v="1"/>
    <x v="2"/>
    <x v="1"/>
    <x v="0"/>
    <x v="0"/>
    <x v="1"/>
    <x v="0"/>
    <x v="3"/>
    <n v="1"/>
    <n v="1"/>
    <n v="0"/>
    <n v="1"/>
    <x v="0"/>
    <n v="5.9521487991317845E-2"/>
  </r>
  <r>
    <x v="20"/>
    <x v="0"/>
    <x v="1"/>
    <x v="1"/>
    <x v="3"/>
    <x v="1"/>
    <x v="1"/>
    <x v="1"/>
    <x v="0"/>
    <x v="7"/>
    <n v="1"/>
    <n v="1"/>
    <n v="0"/>
    <n v="1"/>
    <x v="0"/>
    <n v="2.6635259430474494E-2"/>
  </r>
  <r>
    <x v="16"/>
    <x v="1"/>
    <x v="1"/>
    <x v="2"/>
    <x v="0"/>
    <x v="0"/>
    <x v="0"/>
    <x v="0"/>
    <x v="1"/>
    <x v="4"/>
    <n v="1"/>
    <n v="1"/>
    <n v="0"/>
    <m/>
    <x v="1"/>
    <n v="4.0674290026531716E-2"/>
  </r>
  <r>
    <x v="2"/>
    <x v="0"/>
    <x v="0"/>
    <x v="1"/>
    <x v="3"/>
    <x v="1"/>
    <x v="0"/>
    <x v="0"/>
    <x v="2"/>
    <x v="9"/>
    <n v="1"/>
    <n v="1"/>
    <n v="0"/>
    <m/>
    <x v="1"/>
    <n v="0.15755800253898447"/>
  </r>
  <r>
    <x v="14"/>
    <x v="1"/>
    <x v="1"/>
    <x v="0"/>
    <x v="0"/>
    <x v="0"/>
    <x v="0"/>
    <x v="1"/>
    <x v="2"/>
    <x v="8"/>
    <n v="1"/>
    <n v="1"/>
    <n v="0"/>
    <m/>
    <x v="1"/>
    <n v="9.9142550923112027E-2"/>
  </r>
  <r>
    <x v="4"/>
    <x v="0"/>
    <x v="0"/>
    <x v="0"/>
    <x v="2"/>
    <x v="0"/>
    <x v="1"/>
    <x v="1"/>
    <x v="0"/>
    <x v="4"/>
    <n v="2"/>
    <n v="2"/>
    <n v="0"/>
    <m/>
    <x v="1"/>
    <n v="6.2769130013339253E-2"/>
  </r>
  <r>
    <x v="14"/>
    <x v="0"/>
    <x v="0"/>
    <x v="1"/>
    <x v="2"/>
    <x v="0"/>
    <x v="0"/>
    <x v="1"/>
    <x v="1"/>
    <x v="5"/>
    <n v="1"/>
    <n v="1"/>
    <n v="0"/>
    <m/>
    <x v="1"/>
    <n v="2.0129311329445246E-2"/>
  </r>
  <r>
    <x v="2"/>
    <x v="0"/>
    <x v="1"/>
    <x v="1"/>
    <x v="2"/>
    <x v="1"/>
    <x v="0"/>
    <x v="1"/>
    <x v="1"/>
    <x v="7"/>
    <n v="1"/>
    <n v="1"/>
    <n v="0"/>
    <m/>
    <x v="1"/>
    <n v="2.7313833211787753E-2"/>
  </r>
  <r>
    <x v="8"/>
    <x v="0"/>
    <x v="1"/>
    <x v="0"/>
    <x v="0"/>
    <x v="1"/>
    <x v="0"/>
    <x v="0"/>
    <x v="0"/>
    <x v="3"/>
    <n v="1"/>
    <n v="1"/>
    <n v="0"/>
    <m/>
    <x v="1"/>
    <n v="5.9968911810879433E-2"/>
  </r>
  <r>
    <x v="17"/>
    <x v="1"/>
    <x v="0"/>
    <x v="2"/>
    <x v="0"/>
    <x v="0"/>
    <x v="1"/>
    <x v="1"/>
    <x v="0"/>
    <x v="2"/>
    <n v="1"/>
    <n v="1"/>
    <n v="1"/>
    <n v="1"/>
    <x v="0"/>
    <n v="4.2069997453546046E-2"/>
  </r>
  <r>
    <x v="20"/>
    <x v="0"/>
    <x v="1"/>
    <x v="2"/>
    <x v="0"/>
    <x v="0"/>
    <x v="0"/>
    <x v="0"/>
    <x v="0"/>
    <x v="4"/>
    <n v="1"/>
    <n v="1"/>
    <n v="0"/>
    <n v="1"/>
    <x v="0"/>
    <n v="4.089495301709424E-2"/>
  </r>
  <r>
    <x v="15"/>
    <x v="0"/>
    <x v="1"/>
    <x v="0"/>
    <x v="2"/>
    <x v="0"/>
    <x v="0"/>
    <x v="0"/>
    <x v="1"/>
    <x v="7"/>
    <n v="2"/>
    <n v="2"/>
    <n v="0"/>
    <n v="2"/>
    <x v="0"/>
    <n v="6.066426167972111E-2"/>
  </r>
  <r>
    <x v="22"/>
    <x v="0"/>
    <x v="0"/>
    <x v="2"/>
    <x v="0"/>
    <x v="0"/>
    <x v="1"/>
    <x v="0"/>
    <x v="1"/>
    <x v="5"/>
    <n v="1"/>
    <n v="1"/>
    <n v="0"/>
    <n v="1"/>
    <x v="0"/>
    <n v="1.874585193217462E-2"/>
  </r>
  <r>
    <x v="16"/>
    <x v="1"/>
    <x v="1"/>
    <x v="2"/>
    <x v="1"/>
    <x v="0"/>
    <x v="0"/>
    <x v="1"/>
    <x v="2"/>
    <x v="9"/>
    <n v="1"/>
    <n v="4"/>
    <n v="0"/>
    <m/>
    <x v="1"/>
    <n v="0.7075298085272419"/>
  </r>
  <r>
    <x v="22"/>
    <x v="1"/>
    <x v="0"/>
    <x v="0"/>
    <x v="3"/>
    <x v="1"/>
    <x v="0"/>
    <x v="1"/>
    <x v="0"/>
    <x v="9"/>
    <n v="1"/>
    <n v="1"/>
    <n v="0"/>
    <n v="1"/>
    <x v="0"/>
    <n v="0.21634259353047053"/>
  </r>
  <r>
    <x v="22"/>
    <x v="0"/>
    <x v="1"/>
    <x v="2"/>
    <x v="3"/>
    <x v="1"/>
    <x v="0"/>
    <x v="1"/>
    <x v="2"/>
    <x v="9"/>
    <n v="1"/>
    <n v="1"/>
    <n v="0"/>
    <n v="1"/>
    <x v="0"/>
    <n v="0.27253844728178028"/>
  </r>
  <r>
    <x v="7"/>
    <x v="0"/>
    <x v="1"/>
    <x v="2"/>
    <x v="0"/>
    <x v="0"/>
    <x v="0"/>
    <x v="1"/>
    <x v="0"/>
    <x v="4"/>
    <n v="1"/>
    <n v="2"/>
    <n v="0"/>
    <m/>
    <x v="1"/>
    <n v="8.1789906034188481E-2"/>
  </r>
  <r>
    <x v="17"/>
    <x v="1"/>
    <x v="0"/>
    <x v="2"/>
    <x v="0"/>
    <x v="0"/>
    <x v="1"/>
    <x v="0"/>
    <x v="0"/>
    <x v="2"/>
    <n v="1"/>
    <n v="1"/>
    <n v="0"/>
    <n v="1"/>
    <x v="0"/>
    <n v="4.2069997453546046E-2"/>
  </r>
  <r>
    <x v="5"/>
    <x v="0"/>
    <x v="1"/>
    <x v="2"/>
    <x v="2"/>
    <x v="1"/>
    <x v="0"/>
    <x v="1"/>
    <x v="0"/>
    <x v="8"/>
    <n v="1"/>
    <n v="1"/>
    <n v="0"/>
    <n v="1"/>
    <x v="0"/>
    <n v="0.10964771003463976"/>
  </r>
  <r>
    <x v="21"/>
    <x v="1"/>
    <x v="0"/>
    <x v="2"/>
    <x v="3"/>
    <x v="0"/>
    <x v="0"/>
    <x v="1"/>
    <x v="2"/>
    <x v="9"/>
    <n v="2"/>
    <n v="3"/>
    <n v="0"/>
    <m/>
    <x v="1"/>
    <n v="0.87893197274210255"/>
  </r>
  <r>
    <x v="9"/>
    <x v="1"/>
    <x v="0"/>
    <x v="2"/>
    <x v="3"/>
    <x v="1"/>
    <x v="0"/>
    <x v="1"/>
    <x v="2"/>
    <x v="9"/>
    <n v="1"/>
    <n v="1"/>
    <n v="0"/>
    <n v="1"/>
    <x v="0"/>
    <n v="0.44921867129852688"/>
  </r>
  <r>
    <x v="22"/>
    <x v="1"/>
    <x v="0"/>
    <x v="1"/>
    <x v="0"/>
    <x v="0"/>
    <x v="1"/>
    <x v="0"/>
    <x v="1"/>
    <x v="6"/>
    <n v="2"/>
    <n v="2"/>
    <n v="0"/>
    <n v="2"/>
    <x v="0"/>
    <n v="1.9829579578179591E-2"/>
  </r>
  <r>
    <x v="9"/>
    <x v="0"/>
    <x v="0"/>
    <x v="0"/>
    <x v="2"/>
    <x v="1"/>
    <x v="1"/>
    <x v="1"/>
    <x v="2"/>
    <x v="9"/>
    <n v="1"/>
    <n v="1"/>
    <n v="0"/>
    <n v="1"/>
    <x v="0"/>
    <n v="0.12527880269335515"/>
  </r>
  <r>
    <x v="19"/>
    <x v="0"/>
    <x v="1"/>
    <x v="1"/>
    <x v="3"/>
    <x v="0"/>
    <x v="1"/>
    <x v="1"/>
    <x v="1"/>
    <x v="6"/>
    <n v="1"/>
    <n v="1"/>
    <n v="0"/>
    <m/>
    <x v="1"/>
    <n v="9.0608315236654167E-3"/>
  </r>
  <r>
    <x v="10"/>
    <x v="0"/>
    <x v="0"/>
    <x v="2"/>
    <x v="0"/>
    <x v="0"/>
    <x v="1"/>
    <x v="0"/>
    <x v="2"/>
    <x v="3"/>
    <n v="1"/>
    <n v="1"/>
    <n v="0"/>
    <m/>
    <x v="1"/>
    <n v="6.1238768703886295E-2"/>
  </r>
  <r>
    <x v="14"/>
    <x v="0"/>
    <x v="0"/>
    <x v="1"/>
    <x v="0"/>
    <x v="0"/>
    <x v="0"/>
    <x v="0"/>
    <x v="2"/>
    <x v="0"/>
    <n v="1"/>
    <n v="1"/>
    <n v="0"/>
    <m/>
    <x v="1"/>
    <n v="4.5621764642715154E-2"/>
  </r>
  <r>
    <x v="15"/>
    <x v="0"/>
    <x v="0"/>
    <x v="0"/>
    <x v="0"/>
    <x v="1"/>
    <x v="0"/>
    <x v="0"/>
    <x v="2"/>
    <x v="9"/>
    <n v="1"/>
    <n v="2"/>
    <n v="0"/>
    <n v="1"/>
    <x v="0"/>
    <n v="0.3420233869536996"/>
  </r>
  <r>
    <x v="22"/>
    <x v="1"/>
    <x v="0"/>
    <x v="2"/>
    <x v="2"/>
    <x v="1"/>
    <x v="0"/>
    <x v="0"/>
    <x v="2"/>
    <x v="9"/>
    <n v="1"/>
    <n v="1"/>
    <n v="0"/>
    <n v="1"/>
    <x v="0"/>
    <n v="0.37581664832801498"/>
  </r>
  <r>
    <x v="0"/>
    <x v="1"/>
    <x v="0"/>
    <x v="1"/>
    <x v="0"/>
    <x v="0"/>
    <x v="1"/>
    <x v="1"/>
    <x v="2"/>
    <x v="4"/>
    <n v="1"/>
    <n v="1"/>
    <n v="0"/>
    <n v="1"/>
    <x v="0"/>
    <n v="3.306406644322489E-2"/>
  </r>
  <r>
    <x v="12"/>
    <x v="1"/>
    <x v="0"/>
    <x v="1"/>
    <x v="2"/>
    <x v="1"/>
    <x v="0"/>
    <x v="0"/>
    <x v="1"/>
    <x v="0"/>
    <n v="1"/>
    <n v="1"/>
    <n v="0"/>
    <m/>
    <x v="1"/>
    <n v="5.7610445646867868E-2"/>
  </r>
  <r>
    <x v="22"/>
    <x v="1"/>
    <x v="0"/>
    <x v="0"/>
    <x v="0"/>
    <x v="0"/>
    <x v="1"/>
    <x v="1"/>
    <x v="1"/>
    <x v="7"/>
    <n v="1"/>
    <n v="1"/>
    <n v="0"/>
    <n v="1"/>
    <x v="0"/>
    <n v="2.1484564003802026E-2"/>
  </r>
  <r>
    <x v="10"/>
    <x v="0"/>
    <x v="1"/>
    <x v="0"/>
    <x v="1"/>
    <x v="1"/>
    <x v="0"/>
    <x v="1"/>
    <x v="2"/>
    <x v="9"/>
    <n v="1"/>
    <n v="5"/>
    <n v="0"/>
    <m/>
    <x v="1"/>
    <n v="0.87680743802938443"/>
  </r>
  <r>
    <x v="14"/>
    <x v="0"/>
    <x v="0"/>
    <x v="1"/>
    <x v="3"/>
    <x v="1"/>
    <x v="1"/>
    <x v="1"/>
    <x v="2"/>
    <x v="1"/>
    <n v="1"/>
    <n v="1"/>
    <n v="0"/>
    <m/>
    <x v="1"/>
    <n v="8.1292767345553685E-2"/>
  </r>
  <r>
    <x v="11"/>
    <x v="0"/>
    <x v="0"/>
    <x v="0"/>
    <x v="3"/>
    <x v="1"/>
    <x v="0"/>
    <x v="1"/>
    <x v="1"/>
    <x v="8"/>
    <n v="1"/>
    <n v="2"/>
    <n v="0"/>
    <m/>
    <x v="1"/>
    <n v="0.21442651361065859"/>
  </r>
  <r>
    <x v="9"/>
    <x v="0"/>
    <x v="1"/>
    <x v="0"/>
    <x v="2"/>
    <x v="1"/>
    <x v="0"/>
    <x v="0"/>
    <x v="1"/>
    <x v="0"/>
    <n v="2"/>
    <n v="2"/>
    <n v="0"/>
    <n v="2"/>
    <x v="0"/>
    <n v="0.11599515635345517"/>
  </r>
  <r>
    <x v="8"/>
    <x v="1"/>
    <x v="0"/>
    <x v="0"/>
    <x v="0"/>
    <x v="1"/>
    <x v="1"/>
    <x v="0"/>
    <x v="0"/>
    <x v="3"/>
    <n v="1"/>
    <n v="2"/>
    <n v="0"/>
    <m/>
    <x v="1"/>
    <n v="0.12331356125473709"/>
  </r>
  <r>
    <x v="0"/>
    <x v="0"/>
    <x v="0"/>
    <x v="2"/>
    <x v="2"/>
    <x v="1"/>
    <x v="0"/>
    <x v="1"/>
    <x v="1"/>
    <x v="8"/>
    <n v="1"/>
    <n v="2"/>
    <n v="0"/>
    <n v="1"/>
    <x v="0"/>
    <n v="0.20888488220949553"/>
  </r>
  <r>
    <x v="11"/>
    <x v="0"/>
    <x v="1"/>
    <x v="0"/>
    <x v="2"/>
    <x v="1"/>
    <x v="1"/>
    <x v="1"/>
    <x v="1"/>
    <x v="7"/>
    <n v="1"/>
    <n v="2"/>
    <n v="0"/>
    <m/>
    <x v="1"/>
    <n v="5.6609868750299878E-2"/>
  </r>
  <r>
    <x v="2"/>
    <x v="0"/>
    <x v="1"/>
    <x v="2"/>
    <x v="2"/>
    <x v="0"/>
    <x v="0"/>
    <x v="0"/>
    <x v="2"/>
    <x v="8"/>
    <n v="1"/>
    <n v="1"/>
    <n v="1"/>
    <m/>
    <x v="1"/>
    <n v="0.12320370260660997"/>
  </r>
  <r>
    <x v="11"/>
    <x v="0"/>
    <x v="1"/>
    <x v="0"/>
    <x v="3"/>
    <x v="1"/>
    <x v="0"/>
    <x v="0"/>
    <x v="1"/>
    <x v="1"/>
    <n v="1"/>
    <n v="1"/>
    <n v="0"/>
    <m/>
    <x v="1"/>
    <n v="7.6980948887072007E-2"/>
  </r>
  <r>
    <x v="21"/>
    <x v="1"/>
    <x v="1"/>
    <x v="0"/>
    <x v="3"/>
    <x v="0"/>
    <x v="1"/>
    <x v="1"/>
    <x v="0"/>
    <x v="2"/>
    <n v="1"/>
    <n v="1"/>
    <n v="0"/>
    <m/>
    <x v="1"/>
    <n v="4.4057106281978078E-2"/>
  </r>
  <r>
    <x v="19"/>
    <x v="0"/>
    <x v="0"/>
    <x v="2"/>
    <x v="2"/>
    <x v="0"/>
    <x v="0"/>
    <x v="0"/>
    <x v="0"/>
    <x v="1"/>
    <n v="1"/>
    <n v="1"/>
    <n v="0"/>
    <m/>
    <x v="1"/>
    <n v="8.2646531177737778E-2"/>
  </r>
  <r>
    <x v="22"/>
    <x v="0"/>
    <x v="0"/>
    <x v="1"/>
    <x v="0"/>
    <x v="0"/>
    <x v="0"/>
    <x v="1"/>
    <x v="0"/>
    <x v="5"/>
    <n v="1"/>
    <n v="1"/>
    <n v="0"/>
    <n v="1"/>
    <x v="0"/>
    <n v="2.0841983429204125E-2"/>
  </r>
  <r>
    <x v="11"/>
    <x v="0"/>
    <x v="0"/>
    <x v="0"/>
    <x v="3"/>
    <x v="1"/>
    <x v="0"/>
    <x v="1"/>
    <x v="0"/>
    <x v="9"/>
    <n v="3"/>
    <n v="3"/>
    <n v="0"/>
    <m/>
    <x v="1"/>
    <n v="0.46320069517810697"/>
  </r>
  <r>
    <x v="10"/>
    <x v="0"/>
    <x v="1"/>
    <x v="1"/>
    <x v="0"/>
    <x v="0"/>
    <x v="0"/>
    <x v="1"/>
    <x v="1"/>
    <x v="6"/>
    <n v="2"/>
    <n v="2"/>
    <n v="0"/>
    <m/>
    <x v="1"/>
    <n v="1.9257670326452481E-2"/>
  </r>
  <r>
    <x v="9"/>
    <x v="0"/>
    <x v="1"/>
    <x v="0"/>
    <x v="3"/>
    <x v="0"/>
    <x v="0"/>
    <x v="1"/>
    <x v="1"/>
    <x v="4"/>
    <n v="1"/>
    <n v="1"/>
    <n v="0"/>
    <n v="1"/>
    <x v="0"/>
    <n v="4.0651005805418881E-2"/>
  </r>
  <r>
    <x v="1"/>
    <x v="1"/>
    <x v="0"/>
    <x v="0"/>
    <x v="0"/>
    <x v="1"/>
    <x v="0"/>
    <x v="1"/>
    <x v="0"/>
    <x v="8"/>
    <n v="1"/>
    <n v="1"/>
    <n v="0"/>
    <n v="1"/>
    <x v="0"/>
    <n v="0.12194562411528299"/>
  </r>
  <r>
    <x v="1"/>
    <x v="1"/>
    <x v="1"/>
    <x v="0"/>
    <x v="3"/>
    <x v="1"/>
    <x v="1"/>
    <x v="1"/>
    <x v="0"/>
    <x v="1"/>
    <n v="1"/>
    <n v="1"/>
    <n v="0"/>
    <n v="1"/>
    <x v="0"/>
    <n v="8.3167200953685433E-2"/>
  </r>
  <r>
    <x v="16"/>
    <x v="1"/>
    <x v="0"/>
    <x v="1"/>
    <x v="1"/>
    <x v="1"/>
    <x v="0"/>
    <x v="1"/>
    <x v="0"/>
    <x v="8"/>
    <n v="1"/>
    <n v="1"/>
    <n v="0"/>
    <m/>
    <x v="1"/>
    <n v="8.593956647800631E-2"/>
  </r>
  <r>
    <x v="9"/>
    <x v="0"/>
    <x v="1"/>
    <x v="0"/>
    <x v="3"/>
    <x v="1"/>
    <x v="0"/>
    <x v="0"/>
    <x v="2"/>
    <x v="9"/>
    <n v="1"/>
    <n v="1"/>
    <n v="1"/>
    <n v="1"/>
    <x v="0"/>
    <n v="0.22166089127555452"/>
  </r>
  <r>
    <x v="7"/>
    <x v="0"/>
    <x v="1"/>
    <x v="0"/>
    <x v="2"/>
    <x v="0"/>
    <x v="1"/>
    <x v="0"/>
    <x v="2"/>
    <x v="0"/>
    <n v="1"/>
    <n v="1"/>
    <n v="0"/>
    <m/>
    <x v="1"/>
    <n v="4.8105072216363585E-2"/>
  </r>
  <r>
    <x v="5"/>
    <x v="1"/>
    <x v="0"/>
    <x v="0"/>
    <x v="3"/>
    <x v="1"/>
    <x v="0"/>
    <x v="0"/>
    <x v="1"/>
    <x v="9"/>
    <n v="1"/>
    <n v="1"/>
    <n v="0"/>
    <n v="1"/>
    <x v="0"/>
    <n v="0.15366523766540796"/>
  </r>
  <r>
    <x v="7"/>
    <x v="1"/>
    <x v="1"/>
    <x v="0"/>
    <x v="1"/>
    <x v="1"/>
    <x v="0"/>
    <x v="1"/>
    <x v="0"/>
    <x v="9"/>
    <n v="1"/>
    <n v="1"/>
    <n v="0"/>
    <m/>
    <x v="1"/>
    <n v="0.12523593124339735"/>
  </r>
  <r>
    <x v="12"/>
    <x v="0"/>
    <x v="0"/>
    <x v="2"/>
    <x v="0"/>
    <x v="0"/>
    <x v="1"/>
    <x v="0"/>
    <x v="2"/>
    <x v="3"/>
    <n v="1"/>
    <n v="3"/>
    <n v="0"/>
    <m/>
    <x v="1"/>
    <n v="0.18371630611165887"/>
  </r>
  <r>
    <x v="4"/>
    <x v="0"/>
    <x v="1"/>
    <x v="2"/>
    <x v="1"/>
    <x v="1"/>
    <x v="0"/>
    <x v="1"/>
    <x v="2"/>
    <x v="9"/>
    <n v="1"/>
    <n v="1"/>
    <n v="0"/>
    <m/>
    <x v="1"/>
    <n v="0.21859660432790401"/>
  </r>
  <r>
    <x v="0"/>
    <x v="0"/>
    <x v="0"/>
    <x v="0"/>
    <x v="1"/>
    <x v="0"/>
    <x v="1"/>
    <x v="1"/>
    <x v="1"/>
    <x v="5"/>
    <n v="1"/>
    <n v="1"/>
    <n v="0"/>
    <n v="1"/>
    <x v="0"/>
    <n v="2.1100161961676144E-2"/>
  </r>
  <r>
    <x v="16"/>
    <x v="0"/>
    <x v="1"/>
    <x v="0"/>
    <x v="3"/>
    <x v="1"/>
    <x v="1"/>
    <x v="1"/>
    <x v="0"/>
    <x v="0"/>
    <n v="1"/>
    <n v="1"/>
    <n v="0"/>
    <m/>
    <x v="1"/>
    <n v="5.6601068172472908E-2"/>
  </r>
  <r>
    <x v="13"/>
    <x v="0"/>
    <x v="0"/>
    <x v="0"/>
    <x v="3"/>
    <x v="1"/>
    <x v="0"/>
    <x v="1"/>
    <x v="0"/>
    <x v="9"/>
    <n v="1"/>
    <n v="1"/>
    <n v="0"/>
    <m/>
    <x v="1"/>
    <n v="0.15440023172603565"/>
  </r>
  <r>
    <x v="4"/>
    <x v="0"/>
    <x v="1"/>
    <x v="2"/>
    <x v="2"/>
    <x v="0"/>
    <x v="0"/>
    <x v="1"/>
    <x v="0"/>
    <x v="3"/>
    <n v="2"/>
    <n v="2"/>
    <n v="0"/>
    <m/>
    <x v="1"/>
    <n v="0.11776943292837963"/>
  </r>
  <r>
    <x v="20"/>
    <x v="1"/>
    <x v="1"/>
    <x v="0"/>
    <x v="1"/>
    <x v="1"/>
    <x v="1"/>
    <x v="1"/>
    <x v="0"/>
    <x v="3"/>
    <n v="1"/>
    <n v="1"/>
    <n v="0"/>
    <n v="1"/>
    <x v="0"/>
    <n v="6.3437915055510122E-2"/>
  </r>
  <r>
    <x v="22"/>
    <x v="1"/>
    <x v="0"/>
    <x v="2"/>
    <x v="3"/>
    <x v="1"/>
    <x v="1"/>
    <x v="1"/>
    <x v="0"/>
    <x v="9"/>
    <n v="1"/>
    <n v="1"/>
    <n v="0"/>
    <n v="1"/>
    <x v="0"/>
    <n v="0.14663061972369384"/>
  </r>
  <r>
    <x v="20"/>
    <x v="0"/>
    <x v="0"/>
    <x v="0"/>
    <x v="0"/>
    <x v="0"/>
    <x v="1"/>
    <x v="1"/>
    <x v="2"/>
    <x v="0"/>
    <n v="1"/>
    <n v="1"/>
    <n v="0"/>
    <n v="1"/>
    <x v="0"/>
    <n v="4.7244914771732829E-2"/>
  </r>
  <r>
    <x v="15"/>
    <x v="0"/>
    <x v="1"/>
    <x v="0"/>
    <x v="0"/>
    <x v="0"/>
    <x v="1"/>
    <x v="0"/>
    <x v="0"/>
    <x v="5"/>
    <n v="1"/>
    <n v="1"/>
    <n v="0"/>
    <n v="1"/>
    <x v="0"/>
    <n v="1.5103271786810353E-2"/>
  </r>
  <r>
    <x v="1"/>
    <x v="0"/>
    <x v="0"/>
    <x v="2"/>
    <x v="0"/>
    <x v="0"/>
    <x v="0"/>
    <x v="1"/>
    <x v="0"/>
    <x v="0"/>
    <n v="1"/>
    <n v="2"/>
    <n v="1"/>
    <n v="1"/>
    <x v="0"/>
    <n v="0.11568704600419652"/>
  </r>
  <r>
    <x v="16"/>
    <x v="0"/>
    <x v="0"/>
    <x v="2"/>
    <x v="2"/>
    <x v="1"/>
    <x v="1"/>
    <x v="1"/>
    <x v="2"/>
    <x v="9"/>
    <n v="1"/>
    <n v="1"/>
    <n v="0"/>
    <m/>
    <x v="1"/>
    <n v="0.15854002300480582"/>
  </r>
  <r>
    <x v="0"/>
    <x v="1"/>
    <x v="0"/>
    <x v="0"/>
    <x v="3"/>
    <x v="0"/>
    <x v="0"/>
    <x v="1"/>
    <x v="1"/>
    <x v="8"/>
    <n v="1"/>
    <n v="1"/>
    <n v="1"/>
    <n v="1"/>
    <x v="0"/>
    <n v="8.4456755045901957E-2"/>
  </r>
  <r>
    <x v="16"/>
    <x v="0"/>
    <x v="1"/>
    <x v="1"/>
    <x v="1"/>
    <x v="0"/>
    <x v="0"/>
    <x v="1"/>
    <x v="0"/>
    <x v="5"/>
    <n v="1"/>
    <n v="1"/>
    <n v="0"/>
    <m/>
    <x v="1"/>
    <n v="2.1471043341050454E-2"/>
  </r>
  <r>
    <x v="12"/>
    <x v="0"/>
    <x v="0"/>
    <x v="1"/>
    <x v="2"/>
    <x v="1"/>
    <x v="0"/>
    <x v="1"/>
    <x v="1"/>
    <x v="4"/>
    <n v="2"/>
    <n v="2"/>
    <n v="0"/>
    <m/>
    <x v="1"/>
    <n v="7.7723772083177017E-2"/>
  </r>
  <r>
    <x v="3"/>
    <x v="0"/>
    <x v="0"/>
    <x v="1"/>
    <x v="2"/>
    <x v="1"/>
    <x v="0"/>
    <x v="0"/>
    <x v="1"/>
    <x v="4"/>
    <n v="1"/>
    <n v="1"/>
    <n v="0"/>
    <m/>
    <x v="1"/>
    <n v="3.8861886041588509E-2"/>
  </r>
  <r>
    <x v="10"/>
    <x v="0"/>
    <x v="0"/>
    <x v="1"/>
    <x v="0"/>
    <x v="0"/>
    <x v="0"/>
    <x v="1"/>
    <x v="0"/>
    <x v="5"/>
    <n v="1"/>
    <n v="1"/>
    <n v="0"/>
    <m/>
    <x v="1"/>
    <n v="2.0841983429204125E-2"/>
  </r>
  <r>
    <x v="1"/>
    <x v="0"/>
    <x v="0"/>
    <x v="0"/>
    <x v="0"/>
    <x v="0"/>
    <x v="1"/>
    <x v="1"/>
    <x v="2"/>
    <x v="0"/>
    <n v="2"/>
    <n v="2"/>
    <n v="0"/>
    <n v="2"/>
    <x v="0"/>
    <n v="9.4489829543465659E-2"/>
  </r>
  <r>
    <x v="5"/>
    <x v="1"/>
    <x v="0"/>
    <x v="1"/>
    <x v="0"/>
    <x v="1"/>
    <x v="1"/>
    <x v="1"/>
    <x v="1"/>
    <x v="5"/>
    <n v="1"/>
    <n v="1"/>
    <n v="0"/>
    <n v="1"/>
    <x v="0"/>
    <n v="1.9329122577824528E-2"/>
  </r>
  <r>
    <x v="1"/>
    <x v="0"/>
    <x v="1"/>
    <x v="0"/>
    <x v="3"/>
    <x v="0"/>
    <x v="1"/>
    <x v="1"/>
    <x v="1"/>
    <x v="5"/>
    <n v="1"/>
    <n v="1"/>
    <n v="0"/>
    <n v="1"/>
    <x v="0"/>
    <n v="1.9653885350930222E-2"/>
  </r>
  <r>
    <x v="3"/>
    <x v="1"/>
    <x v="1"/>
    <x v="0"/>
    <x v="3"/>
    <x v="1"/>
    <x v="0"/>
    <x v="1"/>
    <x v="0"/>
    <x v="9"/>
    <n v="1"/>
    <n v="2"/>
    <n v="0"/>
    <m/>
    <x v="1"/>
    <n v="0.32176599513620374"/>
  </r>
  <r>
    <x v="10"/>
    <x v="0"/>
    <x v="1"/>
    <x v="2"/>
    <x v="2"/>
    <x v="1"/>
    <x v="1"/>
    <x v="1"/>
    <x v="1"/>
    <x v="4"/>
    <n v="1"/>
    <n v="1"/>
    <n v="0"/>
    <m/>
    <x v="1"/>
    <n v="3.6906111670654135E-2"/>
  </r>
  <r>
    <x v="13"/>
    <x v="1"/>
    <x v="1"/>
    <x v="0"/>
    <x v="2"/>
    <x v="1"/>
    <x v="1"/>
    <x v="1"/>
    <x v="1"/>
    <x v="2"/>
    <n v="1"/>
    <n v="1"/>
    <n v="0"/>
    <m/>
    <x v="1"/>
    <n v="4.2183923792892507E-2"/>
  </r>
  <r>
    <x v="7"/>
    <x v="0"/>
    <x v="1"/>
    <x v="0"/>
    <x v="2"/>
    <x v="0"/>
    <x v="0"/>
    <x v="0"/>
    <x v="2"/>
    <x v="8"/>
    <n v="1"/>
    <n v="2"/>
    <n v="0"/>
    <m/>
    <x v="1"/>
    <n v="0.19301139789125732"/>
  </r>
  <r>
    <x v="5"/>
    <x v="1"/>
    <x v="0"/>
    <x v="2"/>
    <x v="2"/>
    <x v="1"/>
    <x v="0"/>
    <x v="1"/>
    <x v="1"/>
    <x v="9"/>
    <n v="1"/>
    <n v="1"/>
    <n v="0"/>
    <n v="1"/>
    <x v="0"/>
    <n v="0.14989547850382232"/>
  </r>
  <r>
    <x v="10"/>
    <x v="1"/>
    <x v="1"/>
    <x v="2"/>
    <x v="0"/>
    <x v="0"/>
    <x v="0"/>
    <x v="1"/>
    <x v="2"/>
    <x v="9"/>
    <n v="1"/>
    <n v="1"/>
    <n v="0"/>
    <m/>
    <x v="1"/>
    <n v="0.12646792194996428"/>
  </r>
  <r>
    <x v="18"/>
    <x v="0"/>
    <x v="1"/>
    <x v="1"/>
    <x v="1"/>
    <x v="1"/>
    <x v="0"/>
    <x v="1"/>
    <x v="1"/>
    <x v="7"/>
    <n v="1"/>
    <n v="1"/>
    <n v="0"/>
    <m/>
    <x v="1"/>
    <n v="2.7619220664379374E-2"/>
  </r>
  <r>
    <x v="5"/>
    <x v="1"/>
    <x v="1"/>
    <x v="2"/>
    <x v="0"/>
    <x v="0"/>
    <x v="0"/>
    <x v="1"/>
    <x v="1"/>
    <x v="4"/>
    <n v="1"/>
    <n v="1"/>
    <n v="0"/>
    <n v="1"/>
    <x v="0"/>
    <n v="4.0674290026531716E-2"/>
  </r>
  <r>
    <x v="16"/>
    <x v="0"/>
    <x v="0"/>
    <x v="1"/>
    <x v="3"/>
    <x v="1"/>
    <x v="1"/>
    <x v="1"/>
    <x v="1"/>
    <x v="7"/>
    <n v="1"/>
    <n v="1"/>
    <n v="0"/>
    <m/>
    <x v="1"/>
    <n v="2.5259012821724224E-2"/>
  </r>
  <r>
    <x v="14"/>
    <x v="0"/>
    <x v="0"/>
    <x v="2"/>
    <x v="2"/>
    <x v="1"/>
    <x v="0"/>
    <x v="0"/>
    <x v="2"/>
    <x v="9"/>
    <n v="1"/>
    <n v="1"/>
    <n v="0"/>
    <m/>
    <x v="1"/>
    <n v="0.28480875100254455"/>
  </r>
  <r>
    <x v="12"/>
    <x v="1"/>
    <x v="1"/>
    <x v="1"/>
    <x v="1"/>
    <x v="0"/>
    <x v="0"/>
    <x v="1"/>
    <x v="0"/>
    <x v="4"/>
    <n v="1"/>
    <n v="1"/>
    <n v="0"/>
    <m/>
    <x v="1"/>
    <n v="3.2109846912100462E-2"/>
  </r>
  <r>
    <x v="12"/>
    <x v="1"/>
    <x v="0"/>
    <x v="0"/>
    <x v="3"/>
    <x v="0"/>
    <x v="0"/>
    <x v="1"/>
    <x v="0"/>
    <x v="8"/>
    <n v="1"/>
    <n v="1"/>
    <n v="0"/>
    <m/>
    <x v="1"/>
    <n v="0.12300803466666659"/>
  </r>
  <r>
    <x v="20"/>
    <x v="0"/>
    <x v="1"/>
    <x v="0"/>
    <x v="3"/>
    <x v="0"/>
    <x v="0"/>
    <x v="1"/>
    <x v="2"/>
    <x v="9"/>
    <n v="2"/>
    <n v="2"/>
    <n v="1"/>
    <n v="2"/>
    <x v="0"/>
    <n v="0.25280399177886359"/>
  </r>
  <r>
    <x v="7"/>
    <x v="1"/>
    <x v="0"/>
    <x v="0"/>
    <x v="2"/>
    <x v="1"/>
    <x v="0"/>
    <x v="1"/>
    <x v="1"/>
    <x v="8"/>
    <n v="2"/>
    <n v="3"/>
    <n v="0"/>
    <m/>
    <x v="1"/>
    <n v="0.35457934774799399"/>
  </r>
  <r>
    <x v="18"/>
    <x v="1"/>
    <x v="0"/>
    <x v="0"/>
    <x v="3"/>
    <x v="1"/>
    <x v="0"/>
    <x v="0"/>
    <x v="2"/>
    <x v="9"/>
    <n v="1"/>
    <n v="1"/>
    <n v="0"/>
    <m/>
    <x v="1"/>
    <n v="0.38271027807477309"/>
  </r>
  <r>
    <x v="6"/>
    <x v="1"/>
    <x v="0"/>
    <x v="0"/>
    <x v="0"/>
    <x v="0"/>
    <x v="0"/>
    <x v="0"/>
    <x v="2"/>
    <x v="9"/>
    <n v="2"/>
    <n v="3"/>
    <n v="0"/>
    <m/>
    <x v="1"/>
    <n v="0.41036534188999013"/>
  </r>
  <r>
    <x v="8"/>
    <x v="1"/>
    <x v="0"/>
    <x v="2"/>
    <x v="0"/>
    <x v="0"/>
    <x v="0"/>
    <x v="1"/>
    <x v="2"/>
    <x v="9"/>
    <n v="1"/>
    <n v="2"/>
    <n v="0"/>
    <m/>
    <x v="1"/>
    <n v="0.34500564574730752"/>
  </r>
  <r>
    <x v="10"/>
    <x v="1"/>
    <x v="1"/>
    <x v="0"/>
    <x v="2"/>
    <x v="0"/>
    <x v="0"/>
    <x v="1"/>
    <x v="2"/>
    <x v="9"/>
    <n v="1"/>
    <n v="1"/>
    <n v="0"/>
    <m/>
    <x v="1"/>
    <n v="0.13904095240248723"/>
  </r>
  <r>
    <x v="19"/>
    <x v="0"/>
    <x v="1"/>
    <x v="0"/>
    <x v="2"/>
    <x v="1"/>
    <x v="0"/>
    <x v="1"/>
    <x v="2"/>
    <x v="9"/>
    <n v="1"/>
    <n v="1"/>
    <n v="0"/>
    <m/>
    <x v="1"/>
    <n v="0.17371434400069519"/>
  </r>
  <r>
    <x v="10"/>
    <x v="1"/>
    <x v="1"/>
    <x v="0"/>
    <x v="3"/>
    <x v="0"/>
    <x v="0"/>
    <x v="0"/>
    <x v="2"/>
    <x v="9"/>
    <n v="1"/>
    <n v="1"/>
    <n v="0"/>
    <m/>
    <x v="1"/>
    <n v="0.17949631292439386"/>
  </r>
  <r>
    <x v="4"/>
    <x v="0"/>
    <x v="0"/>
    <x v="1"/>
    <x v="1"/>
    <x v="0"/>
    <x v="0"/>
    <x v="1"/>
    <x v="2"/>
    <x v="1"/>
    <n v="2"/>
    <n v="3"/>
    <n v="0"/>
    <m/>
    <x v="1"/>
    <n v="0.19875754252291369"/>
  </r>
  <r>
    <x v="22"/>
    <x v="0"/>
    <x v="0"/>
    <x v="1"/>
    <x v="3"/>
    <x v="1"/>
    <x v="1"/>
    <x v="1"/>
    <x v="0"/>
    <x v="4"/>
    <n v="1"/>
    <n v="1"/>
    <n v="0"/>
    <m/>
    <x v="0"/>
    <n v="3.7907598023617026E-2"/>
  </r>
  <r>
    <x v="14"/>
    <x v="1"/>
    <x v="0"/>
    <x v="0"/>
    <x v="3"/>
    <x v="0"/>
    <x v="0"/>
    <x v="1"/>
    <x v="1"/>
    <x v="8"/>
    <n v="1"/>
    <n v="1"/>
    <n v="0"/>
    <m/>
    <x v="1"/>
    <n v="8.4456755045901957E-2"/>
  </r>
  <r>
    <x v="10"/>
    <x v="0"/>
    <x v="1"/>
    <x v="0"/>
    <x v="0"/>
    <x v="1"/>
    <x v="1"/>
    <x v="0"/>
    <x v="1"/>
    <x v="5"/>
    <n v="1"/>
    <n v="1"/>
    <n v="0"/>
    <m/>
    <x v="1"/>
    <n v="1.946432421526037E-2"/>
  </r>
  <r>
    <x v="7"/>
    <x v="0"/>
    <x v="0"/>
    <x v="1"/>
    <x v="2"/>
    <x v="0"/>
    <x v="1"/>
    <x v="1"/>
    <x v="0"/>
    <x v="5"/>
    <n v="1"/>
    <n v="1"/>
    <n v="0"/>
    <m/>
    <x v="1"/>
    <n v="1.4562828746708278E-2"/>
  </r>
  <r>
    <x v="5"/>
    <x v="0"/>
    <x v="1"/>
    <x v="0"/>
    <x v="3"/>
    <x v="1"/>
    <x v="0"/>
    <x v="1"/>
    <x v="1"/>
    <x v="1"/>
    <n v="1"/>
    <n v="1"/>
    <n v="0"/>
    <n v="1"/>
    <x v="0"/>
    <n v="7.6980948887072007E-2"/>
  </r>
  <r>
    <x v="21"/>
    <x v="0"/>
    <x v="1"/>
    <x v="0"/>
    <x v="2"/>
    <x v="1"/>
    <x v="1"/>
    <x v="0"/>
    <x v="1"/>
    <x v="7"/>
    <n v="1"/>
    <n v="2"/>
    <n v="0"/>
    <m/>
    <x v="1"/>
    <n v="5.6609868750299878E-2"/>
  </r>
  <r>
    <x v="22"/>
    <x v="0"/>
    <x v="1"/>
    <x v="2"/>
    <x v="0"/>
    <x v="0"/>
    <x v="1"/>
    <x v="1"/>
    <x v="0"/>
    <x v="5"/>
    <n v="1"/>
    <n v="1"/>
    <n v="0"/>
    <n v="1"/>
    <x v="0"/>
    <n v="1.9774425808023691E-2"/>
  </r>
  <r>
    <x v="6"/>
    <x v="1"/>
    <x v="1"/>
    <x v="0"/>
    <x v="1"/>
    <x v="1"/>
    <x v="1"/>
    <x v="1"/>
    <x v="1"/>
    <x v="2"/>
    <n v="1"/>
    <n v="1"/>
    <n v="0"/>
    <m/>
    <x v="1"/>
    <n v="4.264827937041895E-2"/>
  </r>
  <r>
    <x v="11"/>
    <x v="1"/>
    <x v="1"/>
    <x v="2"/>
    <x v="2"/>
    <x v="0"/>
    <x v="1"/>
    <x v="1"/>
    <x v="2"/>
    <x v="8"/>
    <n v="1"/>
    <n v="1"/>
    <n v="0"/>
    <m/>
    <x v="1"/>
    <n v="9.1334738525727502E-2"/>
  </r>
  <r>
    <x v="4"/>
    <x v="1"/>
    <x v="1"/>
    <x v="2"/>
    <x v="0"/>
    <x v="0"/>
    <x v="0"/>
    <x v="0"/>
    <x v="2"/>
    <x v="9"/>
    <n v="1"/>
    <n v="1"/>
    <n v="0"/>
    <m/>
    <x v="1"/>
    <n v="0.12646792194996428"/>
  </r>
  <r>
    <x v="19"/>
    <x v="0"/>
    <x v="1"/>
    <x v="1"/>
    <x v="0"/>
    <x v="1"/>
    <x v="0"/>
    <x v="0"/>
    <x v="1"/>
    <x v="5"/>
    <n v="1"/>
    <n v="1"/>
    <n v="0"/>
    <m/>
    <x v="1"/>
    <n v="1.8776796462310515E-2"/>
  </r>
  <r>
    <x v="5"/>
    <x v="0"/>
    <x v="0"/>
    <x v="2"/>
    <x v="3"/>
    <x v="1"/>
    <x v="1"/>
    <x v="1"/>
    <x v="0"/>
    <x v="8"/>
    <n v="1"/>
    <n v="1"/>
    <n v="0"/>
    <n v="1"/>
    <x v="0"/>
    <n v="0.10204874735038927"/>
  </r>
  <r>
    <x v="6"/>
    <x v="1"/>
    <x v="0"/>
    <x v="0"/>
    <x v="0"/>
    <x v="0"/>
    <x v="1"/>
    <x v="1"/>
    <x v="0"/>
    <x v="4"/>
    <n v="1"/>
    <n v="2"/>
    <n v="0"/>
    <m/>
    <x v="1"/>
    <n v="6.4611432767311794E-2"/>
  </r>
  <r>
    <x v="4"/>
    <x v="1"/>
    <x v="1"/>
    <x v="0"/>
    <x v="2"/>
    <x v="0"/>
    <x v="0"/>
    <x v="1"/>
    <x v="1"/>
    <x v="0"/>
    <n v="1"/>
    <n v="1"/>
    <n v="0"/>
    <m/>
    <x v="1"/>
    <n v="4.5158935948663145E-2"/>
  </r>
  <r>
    <x v="21"/>
    <x v="1"/>
    <x v="0"/>
    <x v="1"/>
    <x v="1"/>
    <x v="1"/>
    <x v="0"/>
    <x v="1"/>
    <x v="1"/>
    <x v="0"/>
    <n v="1"/>
    <n v="1"/>
    <n v="0"/>
    <m/>
    <x v="1"/>
    <n v="5.8234290043702328E-2"/>
  </r>
  <r>
    <x v="9"/>
    <x v="0"/>
    <x v="1"/>
    <x v="0"/>
    <x v="2"/>
    <x v="1"/>
    <x v="1"/>
    <x v="1"/>
    <x v="2"/>
    <x v="8"/>
    <n v="1"/>
    <n v="1"/>
    <n v="0"/>
    <n v="1"/>
    <x v="0"/>
    <n v="9.0468526032261742E-2"/>
  </r>
  <r>
    <x v="10"/>
    <x v="0"/>
    <x v="1"/>
    <x v="1"/>
    <x v="2"/>
    <x v="0"/>
    <x v="1"/>
    <x v="0"/>
    <x v="2"/>
    <x v="7"/>
    <n v="1"/>
    <n v="1"/>
    <n v="0"/>
    <m/>
    <x v="1"/>
    <n v="2.2529806175554733E-2"/>
  </r>
  <r>
    <x v="0"/>
    <x v="1"/>
    <x v="1"/>
    <x v="0"/>
    <x v="2"/>
    <x v="0"/>
    <x v="0"/>
    <x v="1"/>
    <x v="0"/>
    <x v="1"/>
    <n v="1"/>
    <n v="1"/>
    <n v="0"/>
    <n v="1"/>
    <x v="0"/>
    <n v="6.7086671775585666E-2"/>
  </r>
  <r>
    <x v="12"/>
    <x v="1"/>
    <x v="0"/>
    <x v="0"/>
    <x v="2"/>
    <x v="1"/>
    <x v="1"/>
    <x v="1"/>
    <x v="0"/>
    <x v="8"/>
    <n v="2"/>
    <n v="2"/>
    <n v="0"/>
    <m/>
    <x v="1"/>
    <n v="0.17588454222228606"/>
  </r>
  <r>
    <x v="0"/>
    <x v="1"/>
    <x v="0"/>
    <x v="2"/>
    <x v="0"/>
    <x v="0"/>
    <x v="1"/>
    <x v="1"/>
    <x v="2"/>
    <x v="8"/>
    <n v="1"/>
    <n v="1"/>
    <n v="0"/>
    <n v="1"/>
    <x v="0"/>
    <n v="8.9774500731891763E-2"/>
  </r>
  <r>
    <x v="20"/>
    <x v="0"/>
    <x v="1"/>
    <x v="0"/>
    <x v="3"/>
    <x v="0"/>
    <x v="0"/>
    <x v="1"/>
    <x v="1"/>
    <x v="4"/>
    <n v="1"/>
    <n v="1"/>
    <n v="0"/>
    <n v="1"/>
    <x v="0"/>
    <n v="4.0651005805418881E-2"/>
  </r>
  <r>
    <x v="12"/>
    <x v="1"/>
    <x v="0"/>
    <x v="0"/>
    <x v="2"/>
    <x v="1"/>
    <x v="0"/>
    <x v="1"/>
    <x v="0"/>
    <x v="9"/>
    <n v="1"/>
    <n v="2"/>
    <n v="0"/>
    <m/>
    <x v="1"/>
    <n v="0.33859241347985619"/>
  </r>
  <r>
    <x v="4"/>
    <x v="1"/>
    <x v="0"/>
    <x v="1"/>
    <x v="0"/>
    <x v="1"/>
    <x v="1"/>
    <x v="0"/>
    <x v="0"/>
    <x v="7"/>
    <n v="1"/>
    <n v="1"/>
    <n v="0"/>
    <m/>
    <x v="1"/>
    <n v="2.909692372485392E-2"/>
  </r>
  <r>
    <x v="12"/>
    <x v="0"/>
    <x v="1"/>
    <x v="2"/>
    <x v="0"/>
    <x v="0"/>
    <x v="0"/>
    <x v="0"/>
    <x v="1"/>
    <x v="7"/>
    <n v="1"/>
    <n v="3"/>
    <n v="0"/>
    <m/>
    <x v="1"/>
    <n v="8.1833526001017565E-2"/>
  </r>
  <r>
    <x v="22"/>
    <x v="1"/>
    <x v="0"/>
    <x v="2"/>
    <x v="1"/>
    <x v="1"/>
    <x v="0"/>
    <x v="1"/>
    <x v="1"/>
    <x v="9"/>
    <n v="1"/>
    <n v="4"/>
    <n v="0"/>
    <n v="1"/>
    <x v="0"/>
    <n v="0.60543257780900961"/>
  </r>
  <r>
    <x v="6"/>
    <x v="1"/>
    <x v="0"/>
    <x v="2"/>
    <x v="0"/>
    <x v="0"/>
    <x v="1"/>
    <x v="0"/>
    <x v="1"/>
    <x v="7"/>
    <n v="2"/>
    <n v="2"/>
    <n v="0"/>
    <m/>
    <x v="1"/>
    <n v="5.6146150112140698E-2"/>
  </r>
  <r>
    <x v="19"/>
    <x v="0"/>
    <x v="0"/>
    <x v="0"/>
    <x v="3"/>
    <x v="0"/>
    <x v="1"/>
    <x v="1"/>
    <x v="2"/>
    <x v="8"/>
    <n v="1"/>
    <n v="2"/>
    <n v="0"/>
    <m/>
    <x v="1"/>
    <n v="0.17945147547396764"/>
  </r>
  <r>
    <x v="13"/>
    <x v="1"/>
    <x v="0"/>
    <x v="0"/>
    <x v="2"/>
    <x v="0"/>
    <x v="0"/>
    <x v="1"/>
    <x v="0"/>
    <x v="8"/>
    <n v="1"/>
    <n v="1"/>
    <n v="0"/>
    <m/>
    <x v="1"/>
    <n v="9.3828252405345064E-2"/>
  </r>
  <r>
    <x v="12"/>
    <x v="1"/>
    <x v="1"/>
    <x v="0"/>
    <x v="0"/>
    <x v="0"/>
    <x v="0"/>
    <x v="1"/>
    <x v="0"/>
    <x v="0"/>
    <n v="1"/>
    <n v="1"/>
    <n v="0"/>
    <m/>
    <x v="1"/>
    <n v="4.6715526092825782E-2"/>
  </r>
  <r>
    <x v="14"/>
    <x v="1"/>
    <x v="1"/>
    <x v="0"/>
    <x v="0"/>
    <x v="0"/>
    <x v="0"/>
    <x v="1"/>
    <x v="0"/>
    <x v="0"/>
    <n v="1"/>
    <n v="3"/>
    <n v="0"/>
    <m/>
    <x v="1"/>
    <n v="0.14014657827847735"/>
  </r>
  <r>
    <x v="6"/>
    <x v="0"/>
    <x v="1"/>
    <x v="1"/>
    <x v="0"/>
    <x v="0"/>
    <x v="0"/>
    <x v="1"/>
    <x v="1"/>
    <x v="6"/>
    <n v="1"/>
    <n v="1"/>
    <n v="0"/>
    <m/>
    <x v="1"/>
    <n v="9.6288351632262403E-3"/>
  </r>
  <r>
    <x v="7"/>
    <x v="1"/>
    <x v="1"/>
    <x v="0"/>
    <x v="2"/>
    <x v="0"/>
    <x v="1"/>
    <x v="1"/>
    <x v="2"/>
    <x v="1"/>
    <n v="1"/>
    <n v="1"/>
    <n v="0"/>
    <m/>
    <x v="1"/>
    <n v="7.0983587013537311E-2"/>
  </r>
  <r>
    <x v="6"/>
    <x v="0"/>
    <x v="1"/>
    <x v="2"/>
    <x v="2"/>
    <x v="0"/>
    <x v="0"/>
    <x v="1"/>
    <x v="0"/>
    <x v="3"/>
    <n v="1"/>
    <n v="1"/>
    <n v="0"/>
    <m/>
    <x v="1"/>
    <n v="5.8884716464189815E-2"/>
  </r>
  <r>
    <x v="10"/>
    <x v="0"/>
    <x v="0"/>
    <x v="2"/>
    <x v="0"/>
    <x v="1"/>
    <x v="1"/>
    <x v="1"/>
    <x v="1"/>
    <x v="4"/>
    <n v="1"/>
    <n v="1"/>
    <n v="0"/>
    <m/>
    <x v="1"/>
    <n v="3.6238577293788529E-2"/>
  </r>
  <r>
    <x v="21"/>
    <x v="1"/>
    <x v="0"/>
    <x v="2"/>
    <x v="0"/>
    <x v="0"/>
    <x v="1"/>
    <x v="0"/>
    <x v="1"/>
    <x v="7"/>
    <n v="1"/>
    <n v="1"/>
    <n v="0"/>
    <m/>
    <x v="1"/>
    <n v="2.8073075056070349E-2"/>
  </r>
  <r>
    <x v="13"/>
    <x v="0"/>
    <x v="0"/>
    <x v="2"/>
    <x v="0"/>
    <x v="0"/>
    <x v="0"/>
    <x v="1"/>
    <x v="2"/>
    <x v="8"/>
    <n v="1"/>
    <n v="2"/>
    <n v="0"/>
    <m/>
    <x v="1"/>
    <n v="0.2423433124072577"/>
  </r>
  <r>
    <x v="3"/>
    <x v="0"/>
    <x v="0"/>
    <x v="2"/>
    <x v="2"/>
    <x v="0"/>
    <x v="0"/>
    <x v="1"/>
    <x v="0"/>
    <x v="1"/>
    <n v="1"/>
    <n v="2"/>
    <n v="0"/>
    <m/>
    <x v="1"/>
    <n v="0.16529306235547556"/>
  </r>
  <r>
    <x v="9"/>
    <x v="1"/>
    <x v="1"/>
    <x v="0"/>
    <x v="3"/>
    <x v="1"/>
    <x v="0"/>
    <x v="1"/>
    <x v="1"/>
    <x v="8"/>
    <n v="1"/>
    <n v="1"/>
    <n v="0"/>
    <n v="1"/>
    <x v="0"/>
    <n v="0.11197715523543472"/>
  </r>
  <r>
    <x v="7"/>
    <x v="1"/>
    <x v="0"/>
    <x v="2"/>
    <x v="1"/>
    <x v="1"/>
    <x v="0"/>
    <x v="1"/>
    <x v="2"/>
    <x v="9"/>
    <n v="1"/>
    <n v="2"/>
    <n v="1"/>
    <m/>
    <x v="1"/>
    <n v="0.75700457570436863"/>
  </r>
  <r>
    <x v="9"/>
    <x v="0"/>
    <x v="1"/>
    <x v="1"/>
    <x v="0"/>
    <x v="0"/>
    <x v="1"/>
    <x v="1"/>
    <x v="1"/>
    <x v="6"/>
    <n v="1"/>
    <n v="1"/>
    <n v="0"/>
    <n v="1"/>
    <x v="0"/>
    <n v="4.5788555386867564E-3"/>
  </r>
  <r>
    <x v="9"/>
    <x v="1"/>
    <x v="1"/>
    <x v="2"/>
    <x v="0"/>
    <x v="1"/>
    <x v="0"/>
    <x v="0"/>
    <x v="2"/>
    <x v="9"/>
    <n v="1"/>
    <n v="1"/>
    <n v="0"/>
    <n v="1"/>
    <x v="0"/>
    <n v="0.22176388832643165"/>
  </r>
  <r>
    <x v="22"/>
    <x v="1"/>
    <x v="0"/>
    <x v="0"/>
    <x v="2"/>
    <x v="1"/>
    <x v="1"/>
    <x v="1"/>
    <x v="1"/>
    <x v="3"/>
    <n v="1"/>
    <n v="1"/>
    <n v="0"/>
    <n v="1"/>
    <x v="0"/>
    <n v="5.9633482189705503E-2"/>
  </r>
  <r>
    <x v="1"/>
    <x v="0"/>
    <x v="1"/>
    <x v="1"/>
    <x v="2"/>
    <x v="0"/>
    <x v="0"/>
    <x v="1"/>
    <x v="1"/>
    <x v="6"/>
    <n v="1"/>
    <n v="2"/>
    <n v="0"/>
    <n v="1"/>
    <x v="0"/>
    <n v="2.8132588843325503E-2"/>
  </r>
  <r>
    <x v="11"/>
    <x v="1"/>
    <x v="0"/>
    <x v="2"/>
    <x v="2"/>
    <x v="1"/>
    <x v="0"/>
    <x v="0"/>
    <x v="1"/>
    <x v="9"/>
    <n v="1"/>
    <n v="1"/>
    <n v="0"/>
    <m/>
    <x v="1"/>
    <n v="0.14989547850382232"/>
  </r>
  <r>
    <x v="22"/>
    <x v="1"/>
    <x v="0"/>
    <x v="2"/>
    <x v="2"/>
    <x v="0"/>
    <x v="0"/>
    <x v="1"/>
    <x v="0"/>
    <x v="8"/>
    <n v="1"/>
    <n v="1"/>
    <n v="0"/>
    <n v="1"/>
    <x v="0"/>
    <n v="0.11988383252407406"/>
  </r>
  <r>
    <x v="3"/>
    <x v="0"/>
    <x v="1"/>
    <x v="1"/>
    <x v="1"/>
    <x v="0"/>
    <x v="0"/>
    <x v="1"/>
    <x v="2"/>
    <x v="0"/>
    <n v="0"/>
    <n v="1"/>
    <n v="0"/>
    <m/>
    <x v="1"/>
    <n v="4.6962864711200251E-2"/>
  </r>
  <r>
    <x v="21"/>
    <x v="0"/>
    <x v="1"/>
    <x v="0"/>
    <x v="2"/>
    <x v="1"/>
    <x v="0"/>
    <x v="0"/>
    <x v="1"/>
    <x v="0"/>
    <n v="0"/>
    <n v="1"/>
    <n v="0"/>
    <m/>
    <x v="1"/>
    <n v="5.7997578176727585E-2"/>
  </r>
  <r>
    <x v="4"/>
    <x v="0"/>
    <x v="1"/>
    <x v="0"/>
    <x v="0"/>
    <x v="1"/>
    <x v="0"/>
    <x v="1"/>
    <x v="0"/>
    <x v="3"/>
    <n v="0"/>
    <n v="3"/>
    <n v="0"/>
    <m/>
    <x v="1"/>
    <n v="0.17990673543263827"/>
  </r>
  <r>
    <x v="12"/>
    <x v="1"/>
    <x v="1"/>
    <x v="0"/>
    <x v="2"/>
    <x v="0"/>
    <x v="0"/>
    <x v="1"/>
    <x v="0"/>
    <x v="1"/>
    <n v="0"/>
    <n v="1"/>
    <n v="0"/>
    <m/>
    <x v="1"/>
    <n v="6.7086671775585666E-2"/>
  </r>
  <r>
    <x v="10"/>
    <x v="0"/>
    <x v="0"/>
    <x v="2"/>
    <x v="2"/>
    <x v="1"/>
    <x v="0"/>
    <x v="1"/>
    <x v="1"/>
    <x v="8"/>
    <n v="0"/>
    <n v="1"/>
    <n v="0"/>
    <m/>
    <x v="1"/>
    <n v="0.10444244110474776"/>
  </r>
  <r>
    <x v="7"/>
    <x v="0"/>
    <x v="0"/>
    <x v="0"/>
    <x v="2"/>
    <x v="1"/>
    <x v="1"/>
    <x v="0"/>
    <x v="2"/>
    <x v="9"/>
    <n v="0"/>
    <n v="2"/>
    <n v="0"/>
    <m/>
    <x v="1"/>
    <n v="0.25055760538671029"/>
  </r>
  <r>
    <x v="11"/>
    <x v="0"/>
    <x v="0"/>
    <x v="2"/>
    <x v="2"/>
    <x v="0"/>
    <x v="0"/>
    <x v="1"/>
    <x v="1"/>
    <x v="0"/>
    <n v="0"/>
    <n v="1"/>
    <n v="0"/>
    <m/>
    <x v="1"/>
    <n v="5.5937898870790044E-2"/>
  </r>
  <r>
    <x v="2"/>
    <x v="0"/>
    <x v="1"/>
    <x v="0"/>
    <x v="3"/>
    <x v="1"/>
    <x v="0"/>
    <x v="1"/>
    <x v="1"/>
    <x v="1"/>
    <n v="0"/>
    <n v="1"/>
    <n v="0"/>
    <m/>
    <x v="1"/>
    <n v="7.6980948887072007E-2"/>
  </r>
  <r>
    <x v="19"/>
    <x v="0"/>
    <x v="0"/>
    <x v="1"/>
    <x v="0"/>
    <x v="1"/>
    <x v="0"/>
    <x v="0"/>
    <x v="1"/>
    <x v="7"/>
    <n v="0"/>
    <n v="1"/>
    <n v="0"/>
    <m/>
    <x v="1"/>
    <n v="2.6814967241158918E-2"/>
  </r>
  <r>
    <x v="22"/>
    <x v="0"/>
    <x v="0"/>
    <x v="1"/>
    <x v="3"/>
    <x v="1"/>
    <x v="0"/>
    <x v="1"/>
    <x v="0"/>
    <x v="1"/>
    <n v="0"/>
    <n v="1"/>
    <n v="0"/>
    <m/>
    <x v="0"/>
    <n v="7.6876723979707504E-2"/>
  </r>
  <r>
    <x v="18"/>
    <x v="0"/>
    <x v="1"/>
    <x v="0"/>
    <x v="2"/>
    <x v="0"/>
    <x v="0"/>
    <x v="1"/>
    <x v="2"/>
    <x v="8"/>
    <n v="0"/>
    <n v="2"/>
    <n v="0"/>
    <m/>
    <x v="1"/>
    <n v="0.19301139789125732"/>
  </r>
  <r>
    <x v="19"/>
    <x v="1"/>
    <x v="1"/>
    <x v="2"/>
    <x v="1"/>
    <x v="1"/>
    <x v="0"/>
    <x v="1"/>
    <x v="2"/>
    <x v="9"/>
    <n v="0"/>
    <n v="1"/>
    <n v="0"/>
    <m/>
    <x v="1"/>
    <n v="0.29724028639102335"/>
  </r>
  <r>
    <x v="19"/>
    <x v="0"/>
    <x v="1"/>
    <x v="2"/>
    <x v="1"/>
    <x v="0"/>
    <x v="0"/>
    <x v="1"/>
    <x v="0"/>
    <x v="3"/>
    <n v="0"/>
    <n v="4"/>
    <n v="0"/>
    <m/>
    <x v="1"/>
    <n v="0.23808595196527138"/>
  </r>
  <r>
    <x v="19"/>
    <x v="1"/>
    <x v="0"/>
    <x v="0"/>
    <x v="1"/>
    <x v="1"/>
    <x v="0"/>
    <x v="1"/>
    <x v="2"/>
    <x v="9"/>
    <n v="0"/>
    <n v="7"/>
    <n v="0"/>
    <m/>
    <x v="1"/>
    <n v="2.2151383295451126"/>
  </r>
  <r>
    <x v="0"/>
    <x v="0"/>
    <x v="1"/>
    <x v="2"/>
    <x v="0"/>
    <x v="0"/>
    <x v="1"/>
    <x v="0"/>
    <x v="1"/>
    <x v="6"/>
    <n v="0"/>
    <n v="1"/>
    <n v="0"/>
    <m/>
    <x v="0"/>
    <n v="1.3093969311862536E-2"/>
  </r>
  <r>
    <x v="4"/>
    <x v="1"/>
    <x v="0"/>
    <x v="0"/>
    <x v="3"/>
    <x v="1"/>
    <x v="1"/>
    <x v="1"/>
    <x v="2"/>
    <x v="9"/>
    <n v="0"/>
    <n v="1"/>
    <n v="0"/>
    <m/>
    <x v="1"/>
    <n v="0.22680169202414502"/>
  </r>
  <r>
    <x v="10"/>
    <x v="1"/>
    <x v="1"/>
    <x v="1"/>
    <x v="2"/>
    <x v="1"/>
    <x v="0"/>
    <x v="1"/>
    <x v="0"/>
    <x v="3"/>
    <n v="0"/>
    <n v="1"/>
    <n v="0"/>
    <m/>
    <x v="1"/>
    <n v="6.0639713725234794E-2"/>
  </r>
  <r>
    <x v="2"/>
    <x v="1"/>
    <x v="1"/>
    <x v="0"/>
    <x v="0"/>
    <x v="0"/>
    <x v="1"/>
    <x v="0"/>
    <x v="0"/>
    <x v="7"/>
    <n v="0"/>
    <n v="1"/>
    <n v="0"/>
    <m/>
    <x v="1"/>
    <n v="2.2659939205773683E-2"/>
  </r>
  <r>
    <x v="12"/>
    <x v="1"/>
    <x v="1"/>
    <x v="2"/>
    <x v="3"/>
    <x v="1"/>
    <x v="0"/>
    <x v="1"/>
    <x v="2"/>
    <x v="9"/>
    <n v="0"/>
    <n v="2"/>
    <n v="0"/>
    <m/>
    <x v="1"/>
    <n v="0.72321582439838716"/>
  </r>
  <r>
    <x v="7"/>
    <x v="0"/>
    <x v="0"/>
    <x v="2"/>
    <x v="2"/>
    <x v="0"/>
    <x v="1"/>
    <x v="1"/>
    <x v="2"/>
    <x v="8"/>
    <n v="0"/>
    <n v="1"/>
    <n v="0"/>
    <m/>
    <x v="1"/>
    <n v="8.7362644124071173E-2"/>
  </r>
  <r>
    <x v="2"/>
    <x v="1"/>
    <x v="0"/>
    <x v="1"/>
    <x v="3"/>
    <x v="1"/>
    <x v="1"/>
    <x v="1"/>
    <x v="0"/>
    <x v="0"/>
    <n v="0"/>
    <n v="1"/>
    <n v="0"/>
    <m/>
    <x v="1"/>
    <n v="5.6222700958497802E-2"/>
  </r>
  <r>
    <x v="20"/>
    <x v="0"/>
    <x v="1"/>
    <x v="0"/>
    <x v="2"/>
    <x v="1"/>
    <x v="0"/>
    <x v="0"/>
    <x v="0"/>
    <x v="8"/>
    <n v="0"/>
    <n v="1"/>
    <n v="0"/>
    <m/>
    <x v="0"/>
    <n v="8.5600473827371765E-2"/>
  </r>
  <r>
    <x v="2"/>
    <x v="1"/>
    <x v="0"/>
    <x v="0"/>
    <x v="3"/>
    <x v="1"/>
    <x v="0"/>
    <x v="1"/>
    <x v="2"/>
    <x v="9"/>
    <n v="0"/>
    <n v="5"/>
    <n v="0"/>
    <m/>
    <x v="1"/>
    <n v="1.9135513903738655"/>
  </r>
  <r>
    <x v="7"/>
    <x v="1"/>
    <x v="0"/>
    <x v="2"/>
    <x v="2"/>
    <x v="0"/>
    <x v="0"/>
    <x v="0"/>
    <x v="1"/>
    <x v="1"/>
    <n v="0"/>
    <n v="2"/>
    <n v="0"/>
    <m/>
    <x v="1"/>
    <n v="0.16443979139191614"/>
  </r>
  <r>
    <x v="4"/>
    <x v="1"/>
    <x v="1"/>
    <x v="1"/>
    <x v="1"/>
    <x v="0"/>
    <x v="0"/>
    <x v="1"/>
    <x v="0"/>
    <x v="4"/>
    <n v="0"/>
    <n v="1"/>
    <n v="0"/>
    <m/>
    <x v="1"/>
    <n v="3.2109846912100462E-2"/>
  </r>
  <r>
    <x v="7"/>
    <x v="0"/>
    <x v="0"/>
    <x v="0"/>
    <x v="3"/>
    <x v="1"/>
    <x v="0"/>
    <x v="1"/>
    <x v="2"/>
    <x v="9"/>
    <n v="0"/>
    <n v="3"/>
    <n v="0"/>
    <m/>
    <x v="1"/>
    <n v="0.87243235062856062"/>
  </r>
  <r>
    <x v="22"/>
    <x v="0"/>
    <x v="0"/>
    <x v="2"/>
    <x v="3"/>
    <x v="1"/>
    <x v="1"/>
    <x v="1"/>
    <x v="2"/>
    <x v="9"/>
    <n v="0"/>
    <n v="1"/>
    <n v="0"/>
    <m/>
    <x v="0"/>
    <n v="0.2033289596940886"/>
  </r>
  <r>
    <x v="14"/>
    <x v="1"/>
    <x v="0"/>
    <x v="0"/>
    <x v="3"/>
    <x v="1"/>
    <x v="1"/>
    <x v="1"/>
    <x v="2"/>
    <x v="9"/>
    <n v="0"/>
    <n v="1"/>
    <n v="0"/>
    <m/>
    <x v="1"/>
    <n v="0.22680169202414502"/>
  </r>
  <r>
    <x v="21"/>
    <x v="1"/>
    <x v="0"/>
    <x v="2"/>
    <x v="2"/>
    <x v="1"/>
    <x v="0"/>
    <x v="0"/>
    <x v="2"/>
    <x v="9"/>
    <n v="0"/>
    <n v="1"/>
    <n v="0"/>
    <m/>
    <x v="1"/>
    <n v="0.37581664832801498"/>
  </r>
  <r>
    <x v="2"/>
    <x v="0"/>
    <x v="1"/>
    <x v="0"/>
    <x v="0"/>
    <x v="0"/>
    <x v="1"/>
    <x v="0"/>
    <x v="1"/>
    <x v="6"/>
    <n v="0"/>
    <n v="3"/>
    <n v="0"/>
    <m/>
    <x v="1"/>
    <n v="2.9954434046201708E-2"/>
  </r>
  <r>
    <x v="22"/>
    <x v="1"/>
    <x v="0"/>
    <x v="0"/>
    <x v="3"/>
    <x v="0"/>
    <x v="1"/>
    <x v="1"/>
    <x v="0"/>
    <x v="3"/>
    <n v="0"/>
    <n v="1"/>
    <n v="0"/>
    <m/>
    <x v="0"/>
    <n v="6.2231171033494175E-2"/>
  </r>
  <r>
    <x v="14"/>
    <x v="0"/>
    <x v="0"/>
    <x v="0"/>
    <x v="0"/>
    <x v="1"/>
    <x v="1"/>
    <x v="0"/>
    <x v="1"/>
    <x v="7"/>
    <n v="0"/>
    <n v="2"/>
    <n v="0"/>
    <m/>
    <x v="1"/>
    <n v="5.5576967709156593E-2"/>
  </r>
  <r>
    <x v="17"/>
    <x v="0"/>
    <x v="0"/>
    <x v="0"/>
    <x v="3"/>
    <x v="0"/>
    <x v="0"/>
    <x v="1"/>
    <x v="0"/>
    <x v="8"/>
    <n v="0"/>
    <n v="1"/>
    <n v="0"/>
    <m/>
    <x v="0"/>
    <n v="8.4893923858991527E-2"/>
  </r>
  <r>
    <x v="2"/>
    <x v="1"/>
    <x v="1"/>
    <x v="2"/>
    <x v="1"/>
    <x v="0"/>
    <x v="0"/>
    <x v="1"/>
    <x v="2"/>
    <x v="9"/>
    <n v="0"/>
    <n v="2"/>
    <n v="0"/>
    <m/>
    <x v="1"/>
    <n v="0.35376490426362095"/>
  </r>
  <r>
    <x v="8"/>
    <x v="1"/>
    <x v="0"/>
    <x v="0"/>
    <x v="3"/>
    <x v="1"/>
    <x v="1"/>
    <x v="1"/>
    <x v="2"/>
    <x v="9"/>
    <n v="0"/>
    <n v="2"/>
    <n v="0"/>
    <m/>
    <x v="1"/>
    <n v="0.45360338404829004"/>
  </r>
  <r>
    <x v="16"/>
    <x v="1"/>
    <x v="1"/>
    <x v="0"/>
    <x v="3"/>
    <x v="1"/>
    <x v="1"/>
    <x v="1"/>
    <x v="2"/>
    <x v="9"/>
    <n v="0"/>
    <n v="1"/>
    <n v="0"/>
    <m/>
    <x v="1"/>
    <n v="0.1692399337900779"/>
  </r>
  <r>
    <x v="10"/>
    <x v="1"/>
    <x v="1"/>
    <x v="2"/>
    <x v="1"/>
    <x v="0"/>
    <x v="0"/>
    <x v="1"/>
    <x v="2"/>
    <x v="9"/>
    <n v="0"/>
    <n v="4"/>
    <n v="0"/>
    <m/>
    <x v="1"/>
    <n v="0.7075298085272419"/>
  </r>
  <r>
    <x v="22"/>
    <x v="0"/>
    <x v="1"/>
    <x v="2"/>
    <x v="2"/>
    <x v="0"/>
    <x v="0"/>
    <x v="0"/>
    <x v="1"/>
    <x v="4"/>
    <n v="0"/>
    <n v="1"/>
    <n v="0"/>
    <m/>
    <x v="0"/>
    <n v="3.9524266772527843E-2"/>
  </r>
  <r>
    <x v="11"/>
    <x v="1"/>
    <x v="1"/>
    <x v="0"/>
    <x v="2"/>
    <x v="0"/>
    <x v="0"/>
    <x v="0"/>
    <x v="2"/>
    <x v="9"/>
    <n v="0"/>
    <n v="1"/>
    <n v="0"/>
    <m/>
    <x v="1"/>
    <n v="0.13904095240248723"/>
  </r>
  <r>
    <x v="1"/>
    <x v="0"/>
    <x v="0"/>
    <x v="2"/>
    <x v="2"/>
    <x v="0"/>
    <x v="1"/>
    <x v="1"/>
    <x v="2"/>
    <x v="8"/>
    <n v="0"/>
    <n v="1"/>
    <n v="0"/>
    <m/>
    <x v="0"/>
    <n v="8.7362644124071173E-2"/>
  </r>
  <r>
    <x v="17"/>
    <x v="0"/>
    <x v="1"/>
    <x v="1"/>
    <x v="2"/>
    <x v="1"/>
    <x v="1"/>
    <x v="1"/>
    <x v="1"/>
    <x v="6"/>
    <n v="0"/>
    <n v="1"/>
    <n v="0"/>
    <m/>
    <x v="0"/>
    <n v="1.3111498149720941E-2"/>
  </r>
  <r>
    <x v="10"/>
    <x v="1"/>
    <x v="1"/>
    <x v="2"/>
    <x v="2"/>
    <x v="1"/>
    <x v="0"/>
    <x v="1"/>
    <x v="2"/>
    <x v="9"/>
    <n v="0"/>
    <n v="1"/>
    <n v="0"/>
    <m/>
    <x v="1"/>
    <n v="0.29485768452062661"/>
  </r>
  <r>
    <x v="8"/>
    <x v="1"/>
    <x v="0"/>
    <x v="0"/>
    <x v="2"/>
    <x v="1"/>
    <x v="1"/>
    <x v="1"/>
    <x v="2"/>
    <x v="9"/>
    <n v="0"/>
    <n v="1"/>
    <n v="0"/>
    <m/>
    <x v="1"/>
    <n v="0.1779974580864464"/>
  </r>
  <r>
    <x v="2"/>
    <x v="0"/>
    <x v="0"/>
    <x v="1"/>
    <x v="1"/>
    <x v="1"/>
    <x v="0"/>
    <x v="1"/>
    <x v="0"/>
    <x v="0"/>
    <n v="0"/>
    <n v="1"/>
    <n v="0"/>
    <m/>
    <x v="1"/>
    <n v="5.8544404469129376E-2"/>
  </r>
  <r>
    <x v="21"/>
    <x v="1"/>
    <x v="1"/>
    <x v="2"/>
    <x v="0"/>
    <x v="0"/>
    <x v="0"/>
    <x v="1"/>
    <x v="0"/>
    <x v="3"/>
    <n v="0"/>
    <n v="1"/>
    <n v="0"/>
    <m/>
    <x v="1"/>
    <n v="6.0562543455648175E-2"/>
  </r>
  <r>
    <x v="6"/>
    <x v="0"/>
    <x v="0"/>
    <x v="2"/>
    <x v="2"/>
    <x v="0"/>
    <x v="0"/>
    <x v="1"/>
    <x v="0"/>
    <x v="1"/>
    <n v="0"/>
    <n v="1"/>
    <n v="0"/>
    <m/>
    <x v="1"/>
    <n v="8.2646531177737778E-2"/>
  </r>
  <r>
    <x v="14"/>
    <x v="0"/>
    <x v="1"/>
    <x v="0"/>
    <x v="0"/>
    <x v="1"/>
    <x v="1"/>
    <x v="1"/>
    <x v="1"/>
    <x v="5"/>
    <n v="0"/>
    <n v="1"/>
    <n v="0"/>
    <m/>
    <x v="1"/>
    <n v="1.946432421526037E-2"/>
  </r>
  <r>
    <x v="2"/>
    <x v="0"/>
    <x v="0"/>
    <x v="2"/>
    <x v="0"/>
    <x v="1"/>
    <x v="0"/>
    <x v="1"/>
    <x v="2"/>
    <x v="9"/>
    <n v="0"/>
    <n v="1"/>
    <n v="0"/>
    <m/>
    <x v="1"/>
    <n v="0.21345196731745306"/>
  </r>
  <r>
    <x v="2"/>
    <x v="0"/>
    <x v="1"/>
    <x v="2"/>
    <x v="0"/>
    <x v="0"/>
    <x v="1"/>
    <x v="1"/>
    <x v="2"/>
    <x v="2"/>
    <n v="0"/>
    <n v="1"/>
    <n v="0"/>
    <m/>
    <x v="1"/>
    <n v="4.3341131498994233E-2"/>
  </r>
  <r>
    <x v="18"/>
    <x v="1"/>
    <x v="0"/>
    <x v="1"/>
    <x v="2"/>
    <x v="1"/>
    <x v="0"/>
    <x v="1"/>
    <x v="1"/>
    <x v="0"/>
    <n v="0"/>
    <n v="1"/>
    <n v="0"/>
    <m/>
    <x v="1"/>
    <n v="5.7610445646867868E-2"/>
  </r>
  <r>
    <x v="2"/>
    <x v="1"/>
    <x v="1"/>
    <x v="0"/>
    <x v="3"/>
    <x v="1"/>
    <x v="0"/>
    <x v="0"/>
    <x v="0"/>
    <x v="9"/>
    <n v="0"/>
    <n v="1"/>
    <n v="0"/>
    <m/>
    <x v="1"/>
    <n v="0.16088299756810187"/>
  </r>
  <r>
    <x v="8"/>
    <x v="0"/>
    <x v="0"/>
    <x v="1"/>
    <x v="0"/>
    <x v="1"/>
    <x v="1"/>
    <x v="1"/>
    <x v="2"/>
    <x v="2"/>
    <n v="0"/>
    <n v="1"/>
    <n v="0"/>
    <m/>
    <x v="1"/>
    <n v="4.2617622823946648E-2"/>
  </r>
  <r>
    <x v="3"/>
    <x v="0"/>
    <x v="0"/>
    <x v="0"/>
    <x v="0"/>
    <x v="1"/>
    <x v="0"/>
    <x v="1"/>
    <x v="1"/>
    <x v="0"/>
    <n v="0"/>
    <n v="1"/>
    <n v="0"/>
    <m/>
    <x v="1"/>
    <n v="5.6971121420815236E-2"/>
  </r>
  <r>
    <x v="13"/>
    <x v="0"/>
    <x v="0"/>
    <x v="1"/>
    <x v="0"/>
    <x v="0"/>
    <x v="0"/>
    <x v="0"/>
    <x v="1"/>
    <x v="6"/>
    <n v="0"/>
    <n v="1"/>
    <n v="0"/>
    <m/>
    <x v="1"/>
    <n v="1.3805950233332991E-2"/>
  </r>
  <r>
    <x v="16"/>
    <x v="0"/>
    <x v="1"/>
    <x v="0"/>
    <x v="0"/>
    <x v="1"/>
    <x v="0"/>
    <x v="1"/>
    <x v="1"/>
    <x v="4"/>
    <n v="0"/>
    <n v="1"/>
    <n v="0"/>
    <m/>
    <x v="1"/>
    <n v="4.0267246343836334E-2"/>
  </r>
  <r>
    <x v="7"/>
    <x v="0"/>
    <x v="1"/>
    <x v="2"/>
    <x v="2"/>
    <x v="0"/>
    <x v="0"/>
    <x v="1"/>
    <x v="2"/>
    <x v="8"/>
    <n v="0"/>
    <n v="2"/>
    <n v="0"/>
    <m/>
    <x v="1"/>
    <n v="0.24640740521321994"/>
  </r>
  <r>
    <x v="11"/>
    <x v="1"/>
    <x v="0"/>
    <x v="0"/>
    <x v="3"/>
    <x v="0"/>
    <x v="0"/>
    <x v="1"/>
    <x v="2"/>
    <x v="9"/>
    <n v="0"/>
    <n v="1"/>
    <n v="0"/>
    <m/>
    <x v="1"/>
    <n v="0.23954062322918226"/>
  </r>
  <r>
    <x v="19"/>
    <x v="0"/>
    <x v="0"/>
    <x v="2"/>
    <x v="3"/>
    <x v="0"/>
    <x v="0"/>
    <x v="1"/>
    <x v="2"/>
    <x v="9"/>
    <n v="0"/>
    <n v="2"/>
    <n v="0"/>
    <m/>
    <x v="1"/>
    <n v="0.4302325684154153"/>
  </r>
  <r>
    <x v="6"/>
    <x v="1"/>
    <x v="0"/>
    <x v="1"/>
    <x v="2"/>
    <x v="0"/>
    <x v="1"/>
    <x v="1"/>
    <x v="1"/>
    <x v="6"/>
    <n v="0"/>
    <n v="1"/>
    <n v="0"/>
    <m/>
    <x v="1"/>
    <n v="1.4482104507696861E-2"/>
  </r>
  <r>
    <x v="2"/>
    <x v="1"/>
    <x v="0"/>
    <x v="2"/>
    <x v="2"/>
    <x v="0"/>
    <x v="0"/>
    <x v="0"/>
    <x v="0"/>
    <x v="8"/>
    <n v="0"/>
    <n v="1"/>
    <n v="0"/>
    <m/>
    <x v="1"/>
    <n v="0.11988383252407406"/>
  </r>
  <r>
    <x v="8"/>
    <x v="1"/>
    <x v="1"/>
    <x v="0"/>
    <x v="2"/>
    <x v="1"/>
    <x v="0"/>
    <x v="1"/>
    <x v="1"/>
    <x v="8"/>
    <n v="0"/>
    <n v="1"/>
    <n v="0"/>
    <m/>
    <x v="1"/>
    <n v="8.5160005166699276E-2"/>
  </r>
  <r>
    <x v="22"/>
    <x v="1"/>
    <x v="0"/>
    <x v="2"/>
    <x v="3"/>
    <x v="0"/>
    <x v="0"/>
    <x v="1"/>
    <x v="2"/>
    <x v="9"/>
    <n v="0"/>
    <n v="2"/>
    <n v="0"/>
    <m/>
    <x v="0"/>
    <n v="0.585954648494735"/>
  </r>
  <r>
    <x v="20"/>
    <x v="1"/>
    <x v="0"/>
    <x v="0"/>
    <x v="2"/>
    <x v="1"/>
    <x v="1"/>
    <x v="1"/>
    <x v="2"/>
    <x v="9"/>
    <n v="0"/>
    <n v="1"/>
    <n v="0"/>
    <m/>
    <x v="0"/>
    <n v="0.1779974580864464"/>
  </r>
  <r>
    <x v="20"/>
    <x v="1"/>
    <x v="1"/>
    <x v="1"/>
    <x v="0"/>
    <x v="0"/>
    <x v="1"/>
    <x v="1"/>
    <x v="2"/>
    <x v="7"/>
    <n v="0"/>
    <n v="1"/>
    <n v="0"/>
    <m/>
    <x v="0"/>
    <n v="2.3197290433253883E-2"/>
  </r>
  <r>
    <x v="11"/>
    <x v="0"/>
    <x v="1"/>
    <x v="2"/>
    <x v="0"/>
    <x v="1"/>
    <x v="0"/>
    <x v="0"/>
    <x v="0"/>
    <x v="1"/>
    <n v="0"/>
    <n v="1"/>
    <n v="0"/>
    <m/>
    <x v="1"/>
    <n v="7.7425317298704582E-2"/>
  </r>
  <r>
    <x v="7"/>
    <x v="1"/>
    <x v="0"/>
    <x v="1"/>
    <x v="1"/>
    <x v="0"/>
    <x v="0"/>
    <x v="1"/>
    <x v="1"/>
    <x v="4"/>
    <n v="0"/>
    <n v="1"/>
    <n v="0"/>
    <m/>
    <x v="1"/>
    <n v="3.0459579753661314E-2"/>
  </r>
  <r>
    <x v="0"/>
    <x v="1"/>
    <x v="0"/>
    <x v="0"/>
    <x v="3"/>
    <x v="0"/>
    <x v="0"/>
    <x v="1"/>
    <x v="0"/>
    <x v="8"/>
    <n v="0"/>
    <n v="1"/>
    <n v="0"/>
    <m/>
    <x v="0"/>
    <n v="0.12300803466666659"/>
  </r>
  <r>
    <x v="19"/>
    <x v="1"/>
    <x v="0"/>
    <x v="2"/>
    <x v="3"/>
    <x v="1"/>
    <x v="1"/>
    <x v="1"/>
    <x v="1"/>
    <x v="8"/>
    <n v="0"/>
    <n v="1"/>
    <n v="0"/>
    <m/>
    <x v="1"/>
    <n v="0.10153303979783772"/>
  </r>
  <r>
    <x v="17"/>
    <x v="1"/>
    <x v="0"/>
    <x v="1"/>
    <x v="0"/>
    <x v="0"/>
    <x v="1"/>
    <x v="0"/>
    <x v="2"/>
    <x v="4"/>
    <n v="0"/>
    <n v="1"/>
    <n v="0"/>
    <m/>
    <x v="0"/>
    <n v="3.306406644322489E-2"/>
  </r>
  <r>
    <x v="10"/>
    <x v="0"/>
    <x v="0"/>
    <x v="0"/>
    <x v="2"/>
    <x v="1"/>
    <x v="0"/>
    <x v="1"/>
    <x v="2"/>
    <x v="9"/>
    <n v="0"/>
    <n v="3"/>
    <n v="0"/>
    <m/>
    <x v="1"/>
    <n v="0.69711678800909049"/>
  </r>
  <r>
    <x v="10"/>
    <x v="1"/>
    <x v="0"/>
    <x v="0"/>
    <x v="3"/>
    <x v="0"/>
    <x v="0"/>
    <x v="1"/>
    <x v="2"/>
    <x v="9"/>
    <n v="0"/>
    <n v="1"/>
    <n v="0"/>
    <m/>
    <x v="1"/>
    <n v="0.23954062322918226"/>
  </r>
  <r>
    <x v="14"/>
    <x v="1"/>
    <x v="1"/>
    <x v="0"/>
    <x v="3"/>
    <x v="1"/>
    <x v="1"/>
    <x v="1"/>
    <x v="1"/>
    <x v="0"/>
    <n v="0"/>
    <n v="1"/>
    <n v="0"/>
    <m/>
    <x v="1"/>
    <n v="5.6300632156829497E-2"/>
  </r>
  <r>
    <x v="21"/>
    <x v="1"/>
    <x v="0"/>
    <x v="0"/>
    <x v="0"/>
    <x v="1"/>
    <x v="1"/>
    <x v="0"/>
    <x v="1"/>
    <x v="4"/>
    <n v="0"/>
    <n v="1"/>
    <n v="0"/>
    <m/>
    <x v="1"/>
    <n v="4.1425033735772165E-2"/>
  </r>
  <r>
    <x v="8"/>
    <x v="0"/>
    <x v="1"/>
    <x v="2"/>
    <x v="2"/>
    <x v="1"/>
    <x v="1"/>
    <x v="1"/>
    <x v="2"/>
    <x v="8"/>
    <n v="0"/>
    <n v="1"/>
    <n v="0"/>
    <m/>
    <x v="1"/>
    <n v="0.11571026204132462"/>
  </r>
  <r>
    <x v="1"/>
    <x v="0"/>
    <x v="0"/>
    <x v="1"/>
    <x v="0"/>
    <x v="1"/>
    <x v="0"/>
    <x v="0"/>
    <x v="1"/>
    <x v="7"/>
    <n v="0"/>
    <n v="1"/>
    <n v="0"/>
    <m/>
    <x v="0"/>
    <n v="2.6814967241158918E-2"/>
  </r>
  <r>
    <x v="4"/>
    <x v="1"/>
    <x v="0"/>
    <x v="1"/>
    <x v="0"/>
    <x v="0"/>
    <x v="1"/>
    <x v="0"/>
    <x v="0"/>
    <x v="5"/>
    <n v="0"/>
    <n v="1"/>
    <n v="0"/>
    <m/>
    <x v="1"/>
    <n v="1.4997899225310888E-2"/>
  </r>
  <r>
    <x v="10"/>
    <x v="1"/>
    <x v="1"/>
    <x v="0"/>
    <x v="0"/>
    <x v="0"/>
    <x v="0"/>
    <x v="0"/>
    <x v="2"/>
    <x v="8"/>
    <n v="0"/>
    <n v="1"/>
    <n v="0"/>
    <m/>
    <x v="1"/>
    <n v="9.9142550923112027E-2"/>
  </r>
  <r>
    <x v="14"/>
    <x v="0"/>
    <x v="1"/>
    <x v="2"/>
    <x v="2"/>
    <x v="1"/>
    <x v="0"/>
    <x v="0"/>
    <x v="2"/>
    <x v="9"/>
    <n v="0"/>
    <n v="1"/>
    <n v="0"/>
    <m/>
    <x v="1"/>
    <n v="0.21665005120417449"/>
  </r>
  <r>
    <x v="6"/>
    <x v="1"/>
    <x v="1"/>
    <x v="2"/>
    <x v="1"/>
    <x v="0"/>
    <x v="0"/>
    <x v="1"/>
    <x v="0"/>
    <x v="8"/>
    <n v="0"/>
    <n v="1"/>
    <n v="0"/>
    <m/>
    <x v="1"/>
    <n v="8.7331452463510942E-2"/>
  </r>
  <r>
    <x v="14"/>
    <x v="0"/>
    <x v="0"/>
    <x v="0"/>
    <x v="2"/>
    <x v="1"/>
    <x v="0"/>
    <x v="1"/>
    <x v="2"/>
    <x v="9"/>
    <n v="0"/>
    <n v="1"/>
    <n v="0"/>
    <m/>
    <x v="1"/>
    <n v="0.23237226266969685"/>
  </r>
  <r>
    <x v="18"/>
    <x v="0"/>
    <x v="0"/>
    <x v="1"/>
    <x v="0"/>
    <x v="0"/>
    <x v="1"/>
    <x v="1"/>
    <x v="1"/>
    <x v="6"/>
    <n v="0"/>
    <n v="1"/>
    <n v="0"/>
    <m/>
    <x v="1"/>
    <n v="6.57977794506603E-3"/>
  </r>
  <r>
    <x v="8"/>
    <x v="0"/>
    <x v="0"/>
    <x v="2"/>
    <x v="3"/>
    <x v="1"/>
    <x v="0"/>
    <x v="1"/>
    <x v="2"/>
    <x v="9"/>
    <n v="0"/>
    <n v="1"/>
    <n v="0"/>
    <m/>
    <x v="1"/>
    <n v="0.35041457657899155"/>
  </r>
  <r>
    <x v="15"/>
    <x v="0"/>
    <x v="0"/>
    <x v="0"/>
    <x v="0"/>
    <x v="0"/>
    <x v="1"/>
    <x v="1"/>
    <x v="2"/>
    <x v="0"/>
    <n v="0"/>
    <n v="1"/>
    <n v="0"/>
    <m/>
    <x v="0"/>
    <n v="4.7244914771732829E-2"/>
  </r>
  <r>
    <x v="8"/>
    <x v="1"/>
    <x v="1"/>
    <x v="0"/>
    <x v="0"/>
    <x v="0"/>
    <x v="0"/>
    <x v="0"/>
    <x v="2"/>
    <x v="8"/>
    <n v="0"/>
    <n v="1"/>
    <n v="0"/>
    <m/>
    <x v="1"/>
    <n v="9.9142550923112027E-2"/>
  </r>
  <r>
    <x v="20"/>
    <x v="1"/>
    <x v="1"/>
    <x v="2"/>
    <x v="0"/>
    <x v="0"/>
    <x v="0"/>
    <x v="1"/>
    <x v="0"/>
    <x v="3"/>
    <n v="0"/>
    <n v="1"/>
    <n v="0"/>
    <m/>
    <x v="0"/>
    <n v="6.0562543455648175E-2"/>
  </r>
  <r>
    <x v="13"/>
    <x v="0"/>
    <x v="0"/>
    <x v="2"/>
    <x v="2"/>
    <x v="0"/>
    <x v="0"/>
    <x v="0"/>
    <x v="2"/>
    <x v="9"/>
    <n v="0"/>
    <n v="1"/>
    <n v="0"/>
    <m/>
    <x v="1"/>
    <n v="0.1682793086942907"/>
  </r>
  <r>
    <x v="4"/>
    <x v="0"/>
    <x v="1"/>
    <x v="1"/>
    <x v="1"/>
    <x v="1"/>
    <x v="0"/>
    <x v="1"/>
    <x v="0"/>
    <x v="4"/>
    <n v="0"/>
    <n v="1"/>
    <n v="0"/>
    <m/>
    <x v="1"/>
    <n v="4.1399495065687533E-2"/>
  </r>
  <r>
    <x v="14"/>
    <x v="1"/>
    <x v="1"/>
    <x v="0"/>
    <x v="2"/>
    <x v="0"/>
    <x v="0"/>
    <x v="1"/>
    <x v="2"/>
    <x v="9"/>
    <n v="0"/>
    <n v="1"/>
    <n v="0"/>
    <m/>
    <x v="1"/>
    <n v="0.13904095240248723"/>
  </r>
  <r>
    <x v="7"/>
    <x v="1"/>
    <x v="0"/>
    <x v="0"/>
    <x v="0"/>
    <x v="1"/>
    <x v="0"/>
    <x v="1"/>
    <x v="0"/>
    <x v="8"/>
    <n v="0"/>
    <n v="1"/>
    <n v="0"/>
    <m/>
    <x v="1"/>
    <n v="0.12194562411528299"/>
  </r>
  <r>
    <x v="10"/>
    <x v="0"/>
    <x v="1"/>
    <x v="2"/>
    <x v="2"/>
    <x v="1"/>
    <x v="0"/>
    <x v="0"/>
    <x v="2"/>
    <x v="9"/>
    <n v="0"/>
    <n v="1"/>
    <n v="0"/>
    <m/>
    <x v="1"/>
    <n v="0.21665005120417449"/>
  </r>
  <r>
    <x v="12"/>
    <x v="0"/>
    <x v="0"/>
    <x v="0"/>
    <x v="3"/>
    <x v="0"/>
    <x v="0"/>
    <x v="1"/>
    <x v="0"/>
    <x v="8"/>
    <n v="0"/>
    <n v="1"/>
    <n v="0"/>
    <m/>
    <x v="1"/>
    <n v="8.4893923858991527E-2"/>
  </r>
  <r>
    <x v="16"/>
    <x v="1"/>
    <x v="0"/>
    <x v="1"/>
    <x v="3"/>
    <x v="1"/>
    <x v="1"/>
    <x v="1"/>
    <x v="1"/>
    <x v="4"/>
    <n v="0"/>
    <n v="1"/>
    <n v="0"/>
    <m/>
    <x v="1"/>
    <n v="3.770242069910227E-2"/>
  </r>
  <r>
    <x v="22"/>
    <x v="1"/>
    <x v="0"/>
    <x v="1"/>
    <x v="1"/>
    <x v="1"/>
    <x v="0"/>
    <x v="1"/>
    <x v="2"/>
    <x v="9"/>
    <n v="0"/>
    <n v="1"/>
    <n v="0"/>
    <m/>
    <x v="0"/>
    <n v="0.17433593735276651"/>
  </r>
  <r>
    <x v="0"/>
    <x v="0"/>
    <x v="1"/>
    <x v="0"/>
    <x v="3"/>
    <x v="0"/>
    <x v="1"/>
    <x v="1"/>
    <x v="2"/>
    <x v="3"/>
    <n v="0"/>
    <n v="1"/>
    <n v="0"/>
    <m/>
    <x v="0"/>
    <n v="6.407072599452876E-2"/>
  </r>
  <r>
    <x v="8"/>
    <x v="0"/>
    <x v="0"/>
    <x v="0"/>
    <x v="3"/>
    <x v="0"/>
    <x v="0"/>
    <x v="1"/>
    <x v="1"/>
    <x v="0"/>
    <n v="0"/>
    <n v="1"/>
    <n v="0"/>
    <m/>
    <x v="1"/>
    <n v="5.7504535626010621E-2"/>
  </r>
  <r>
    <x v="17"/>
    <x v="1"/>
    <x v="1"/>
    <x v="1"/>
    <x v="0"/>
    <x v="0"/>
    <x v="0"/>
    <x v="0"/>
    <x v="1"/>
    <x v="6"/>
    <n v="0"/>
    <n v="1"/>
    <n v="0"/>
    <m/>
    <x v="0"/>
    <n v="1.4486748808385878E-2"/>
  </r>
  <r>
    <x v="5"/>
    <x v="1"/>
    <x v="1"/>
    <x v="2"/>
    <x v="2"/>
    <x v="0"/>
    <x v="0"/>
    <x v="1"/>
    <x v="0"/>
    <x v="8"/>
    <n v="2"/>
    <n v="3"/>
    <n v="0"/>
    <n v="2"/>
    <x v="0"/>
    <n v="0.25927351484633854"/>
  </r>
  <r>
    <x v="6"/>
    <x v="1"/>
    <x v="1"/>
    <x v="0"/>
    <x v="1"/>
    <x v="0"/>
    <x v="0"/>
    <x v="1"/>
    <x v="1"/>
    <x v="0"/>
    <n v="15"/>
    <n v="15"/>
    <n v="0"/>
    <m/>
    <x v="1"/>
    <n v="0.68481718704761774"/>
  </r>
  <r>
    <x v="19"/>
    <x v="0"/>
    <x v="0"/>
    <x v="0"/>
    <x v="1"/>
    <x v="0"/>
    <x v="0"/>
    <x v="1"/>
    <x v="1"/>
    <x v="2"/>
    <n v="75"/>
    <n v="90"/>
    <n v="0"/>
    <m/>
    <x v="1"/>
    <n v="3.9216354856543854"/>
  </r>
  <r>
    <x v="1"/>
    <x v="0"/>
    <x v="0"/>
    <x v="0"/>
    <x v="0"/>
    <x v="0"/>
    <x v="0"/>
    <x v="0"/>
    <x v="0"/>
    <x v="0"/>
    <n v="21"/>
    <n v="21"/>
    <n v="1"/>
    <n v="21"/>
    <x v="0"/>
    <n v="0.93636218791660109"/>
  </r>
  <r>
    <x v="16"/>
    <x v="1"/>
    <x v="0"/>
    <x v="2"/>
    <x v="0"/>
    <x v="0"/>
    <x v="0"/>
    <x v="0"/>
    <x v="1"/>
    <x v="0"/>
    <n v="8"/>
    <n v="12"/>
    <n v="0"/>
    <m/>
    <x v="1"/>
    <n v="0.69044273166941683"/>
  </r>
  <r>
    <x v="20"/>
    <x v="0"/>
    <x v="0"/>
    <x v="0"/>
    <x v="1"/>
    <x v="0"/>
    <x v="0"/>
    <x v="1"/>
    <x v="2"/>
    <x v="9"/>
    <n v="27"/>
    <n v="36"/>
    <n v="7"/>
    <n v="27"/>
    <x v="0"/>
    <n v="4.8464949066666003"/>
  </r>
  <r>
    <x v="1"/>
    <x v="1"/>
    <x v="0"/>
    <x v="2"/>
    <x v="2"/>
    <x v="0"/>
    <x v="0"/>
    <x v="1"/>
    <x v="1"/>
    <x v="1"/>
    <n v="6"/>
    <n v="6"/>
    <n v="0"/>
    <n v="6"/>
    <x v="0"/>
    <n v="0.49331937417574845"/>
  </r>
  <r>
    <x v="6"/>
    <x v="1"/>
    <x v="0"/>
    <x v="0"/>
    <x v="1"/>
    <x v="0"/>
    <x v="0"/>
    <x v="1"/>
    <x v="1"/>
    <x v="3"/>
    <n v="70"/>
    <n v="90"/>
    <n v="2"/>
    <m/>
    <x v="1"/>
    <n v="5.7998752021555013"/>
  </r>
  <r>
    <x v="10"/>
    <x v="0"/>
    <x v="1"/>
    <x v="0"/>
    <x v="3"/>
    <x v="1"/>
    <x v="0"/>
    <x v="1"/>
    <x v="0"/>
    <x v="8"/>
    <n v="1"/>
    <n v="2"/>
    <n v="0"/>
    <m/>
    <x v="1"/>
    <n v="0.22507853204367734"/>
  </r>
  <r>
    <x v="9"/>
    <x v="1"/>
    <x v="1"/>
    <x v="0"/>
    <x v="2"/>
    <x v="0"/>
    <x v="0"/>
    <x v="0"/>
    <x v="2"/>
    <x v="9"/>
    <n v="1"/>
    <n v="1"/>
    <n v="0"/>
    <n v="1"/>
    <x v="0"/>
    <n v="0.13904095240248723"/>
  </r>
  <r>
    <x v="15"/>
    <x v="0"/>
    <x v="1"/>
    <x v="0"/>
    <x v="0"/>
    <x v="0"/>
    <x v="0"/>
    <x v="1"/>
    <x v="0"/>
    <x v="4"/>
    <n v="6"/>
    <n v="6"/>
    <n v="0"/>
    <n v="6"/>
    <x v="0"/>
    <n v="0.18836674274252529"/>
  </r>
  <r>
    <x v="5"/>
    <x v="1"/>
    <x v="0"/>
    <x v="0"/>
    <x v="3"/>
    <x v="1"/>
    <x v="0"/>
    <x v="1"/>
    <x v="0"/>
    <x v="9"/>
    <n v="2"/>
    <n v="2"/>
    <n v="0"/>
    <n v="2"/>
    <x v="0"/>
    <n v="0.43268518706094106"/>
  </r>
  <r>
    <x v="22"/>
    <x v="1"/>
    <x v="0"/>
    <x v="0"/>
    <x v="2"/>
    <x v="1"/>
    <x v="0"/>
    <x v="1"/>
    <x v="2"/>
    <x v="9"/>
    <n v="1"/>
    <n v="1"/>
    <n v="0"/>
    <n v="1"/>
    <x v="0"/>
    <n v="0.31398055376811668"/>
  </r>
  <r>
    <x v="15"/>
    <x v="0"/>
    <x v="1"/>
    <x v="0"/>
    <x v="0"/>
    <x v="1"/>
    <x v="0"/>
    <x v="0"/>
    <x v="0"/>
    <x v="3"/>
    <n v="2"/>
    <n v="2"/>
    <n v="0"/>
    <n v="2"/>
    <x v="0"/>
    <n v="0.11993782362175887"/>
  </r>
  <r>
    <x v="19"/>
    <x v="0"/>
    <x v="0"/>
    <x v="0"/>
    <x v="0"/>
    <x v="1"/>
    <x v="1"/>
    <x v="1"/>
    <x v="1"/>
    <x v="7"/>
    <n v="1"/>
    <n v="1"/>
    <n v="0"/>
    <m/>
    <x v="1"/>
    <n v="2.7788483854578296E-2"/>
  </r>
  <r>
    <x v="6"/>
    <x v="0"/>
    <x v="0"/>
    <x v="0"/>
    <x v="2"/>
    <x v="0"/>
    <x v="0"/>
    <x v="1"/>
    <x v="0"/>
    <x v="3"/>
    <n v="5"/>
    <n v="5"/>
    <n v="0"/>
    <m/>
    <x v="1"/>
    <n v="0.32047363852156324"/>
  </r>
  <r>
    <x v="14"/>
    <x v="1"/>
    <x v="0"/>
    <x v="0"/>
    <x v="0"/>
    <x v="0"/>
    <x v="0"/>
    <x v="0"/>
    <x v="1"/>
    <x v="0"/>
    <n v="40"/>
    <n v="50"/>
    <n v="0"/>
    <m/>
    <x v="1"/>
    <n v="2.2174501726840745"/>
  </r>
  <r>
    <x v="0"/>
    <x v="0"/>
    <x v="1"/>
    <x v="0"/>
    <x v="0"/>
    <x v="0"/>
    <x v="1"/>
    <x v="1"/>
    <x v="1"/>
    <x v="6"/>
    <n v="10"/>
    <n v="11"/>
    <n v="0"/>
    <n v="10"/>
    <x v="0"/>
    <n v="0.10983292483607292"/>
  </r>
  <r>
    <x v="22"/>
    <x v="1"/>
    <x v="1"/>
    <x v="0"/>
    <x v="1"/>
    <x v="0"/>
    <x v="0"/>
    <x v="1"/>
    <x v="2"/>
    <x v="9"/>
    <n v="2"/>
    <n v="3"/>
    <n v="0"/>
    <n v="2"/>
    <x v="0"/>
    <n v="0.42124558716014165"/>
  </r>
  <r>
    <x v="11"/>
    <x v="0"/>
    <x v="0"/>
    <x v="0"/>
    <x v="1"/>
    <x v="0"/>
    <x v="0"/>
    <x v="1"/>
    <x v="0"/>
    <x v="1"/>
    <n v="42"/>
    <n v="54"/>
    <n v="0"/>
    <m/>
    <x v="1"/>
    <n v="3.4983339089325929"/>
  </r>
  <r>
    <x v="0"/>
    <x v="1"/>
    <x v="0"/>
    <x v="0"/>
    <x v="2"/>
    <x v="1"/>
    <x v="0"/>
    <x v="1"/>
    <x v="0"/>
    <x v="9"/>
    <n v="2"/>
    <n v="4"/>
    <n v="1"/>
    <n v="2"/>
    <x v="0"/>
    <n v="0.67718482695971238"/>
  </r>
  <r>
    <x v="21"/>
    <x v="0"/>
    <x v="1"/>
    <x v="1"/>
    <x v="0"/>
    <x v="0"/>
    <x v="1"/>
    <x v="0"/>
    <x v="0"/>
    <x v="6"/>
    <n v="1"/>
    <n v="1"/>
    <n v="0"/>
    <m/>
    <x v="1"/>
    <n v="6.9455315248842728E-3"/>
  </r>
  <r>
    <x v="3"/>
    <x v="1"/>
    <x v="0"/>
    <x v="0"/>
    <x v="0"/>
    <x v="0"/>
    <x v="0"/>
    <x v="1"/>
    <x v="0"/>
    <x v="1"/>
    <n v="12"/>
    <n v="15"/>
    <n v="0"/>
    <m/>
    <x v="1"/>
    <n v="0.98865913547405204"/>
  </r>
  <r>
    <x v="19"/>
    <x v="1"/>
    <x v="0"/>
    <x v="0"/>
    <x v="1"/>
    <x v="0"/>
    <x v="0"/>
    <x v="1"/>
    <x v="2"/>
    <x v="9"/>
    <n v="17"/>
    <n v="48"/>
    <n v="0"/>
    <m/>
    <x v="1"/>
    <n v="9.1401727942591382"/>
  </r>
  <r>
    <x v="15"/>
    <x v="1"/>
    <x v="1"/>
    <x v="0"/>
    <x v="0"/>
    <x v="0"/>
    <x v="0"/>
    <x v="0"/>
    <x v="1"/>
    <x v="4"/>
    <n v="7"/>
    <n v="8"/>
    <n v="0"/>
    <n v="7"/>
    <x v="0"/>
    <n v="0.24978710811384044"/>
  </r>
  <r>
    <x v="16"/>
    <x v="1"/>
    <x v="0"/>
    <x v="2"/>
    <x v="1"/>
    <x v="0"/>
    <x v="0"/>
    <x v="1"/>
    <x v="2"/>
    <x v="9"/>
    <n v="8"/>
    <n v="14"/>
    <n v="0"/>
    <m/>
    <x v="1"/>
    <n v="3.3082588702310622"/>
  </r>
  <r>
    <x v="16"/>
    <x v="1"/>
    <x v="1"/>
    <x v="0"/>
    <x v="2"/>
    <x v="0"/>
    <x v="0"/>
    <x v="1"/>
    <x v="2"/>
    <x v="9"/>
    <n v="4"/>
    <n v="5"/>
    <n v="0"/>
    <m/>
    <x v="1"/>
    <n v="0.69520476201243608"/>
  </r>
  <r>
    <x v="9"/>
    <x v="0"/>
    <x v="0"/>
    <x v="0"/>
    <x v="3"/>
    <x v="0"/>
    <x v="0"/>
    <x v="1"/>
    <x v="1"/>
    <x v="0"/>
    <n v="2"/>
    <n v="2"/>
    <n v="0"/>
    <n v="2"/>
    <x v="0"/>
    <n v="0.11500907125202124"/>
  </r>
  <r>
    <x v="19"/>
    <x v="1"/>
    <x v="0"/>
    <x v="0"/>
    <x v="2"/>
    <x v="0"/>
    <x v="0"/>
    <x v="1"/>
    <x v="1"/>
    <x v="3"/>
    <n v="5"/>
    <n v="7"/>
    <n v="0"/>
    <m/>
    <x v="1"/>
    <n v="0.44630042680555043"/>
  </r>
  <r>
    <x v="9"/>
    <x v="0"/>
    <x v="1"/>
    <x v="0"/>
    <x v="0"/>
    <x v="0"/>
    <x v="0"/>
    <x v="1"/>
    <x v="1"/>
    <x v="5"/>
    <n v="15"/>
    <n v="17"/>
    <n v="0"/>
    <n v="15"/>
    <x v="0"/>
    <n v="0.35482327608196362"/>
  </r>
  <r>
    <x v="17"/>
    <x v="0"/>
    <x v="0"/>
    <x v="1"/>
    <x v="1"/>
    <x v="1"/>
    <x v="0"/>
    <x v="1"/>
    <x v="2"/>
    <x v="8"/>
    <n v="1"/>
    <n v="3"/>
    <n v="0"/>
    <n v="1"/>
    <x v="0"/>
    <n v="0.36762021842103426"/>
  </r>
  <r>
    <x v="12"/>
    <x v="0"/>
    <x v="1"/>
    <x v="1"/>
    <x v="2"/>
    <x v="1"/>
    <x v="1"/>
    <x v="1"/>
    <x v="1"/>
    <x v="6"/>
    <n v="1"/>
    <n v="1"/>
    <n v="0"/>
    <m/>
    <x v="1"/>
    <n v="1.3111498149720941E-2"/>
  </r>
  <r>
    <x v="3"/>
    <x v="1"/>
    <x v="0"/>
    <x v="0"/>
    <x v="0"/>
    <x v="0"/>
    <x v="0"/>
    <x v="0"/>
    <x v="1"/>
    <x v="0"/>
    <n v="32"/>
    <n v="38"/>
    <n v="0"/>
    <m/>
    <x v="1"/>
    <n v="1.6852621312398965"/>
  </r>
  <r>
    <x v="7"/>
    <x v="0"/>
    <x v="1"/>
    <x v="2"/>
    <x v="1"/>
    <x v="0"/>
    <x v="0"/>
    <x v="1"/>
    <x v="2"/>
    <x v="8"/>
    <n v="1"/>
    <n v="1"/>
    <n v="0"/>
    <m/>
    <x v="1"/>
    <n v="0.12444404000559624"/>
  </r>
  <r>
    <x v="16"/>
    <x v="1"/>
    <x v="0"/>
    <x v="0"/>
    <x v="2"/>
    <x v="0"/>
    <x v="0"/>
    <x v="0"/>
    <x v="2"/>
    <x v="9"/>
    <n v="6"/>
    <n v="6"/>
    <n v="0"/>
    <m/>
    <x v="1"/>
    <n v="1.1319842306097818"/>
  </r>
  <r>
    <x v="17"/>
    <x v="0"/>
    <x v="0"/>
    <x v="0"/>
    <x v="0"/>
    <x v="0"/>
    <x v="1"/>
    <x v="0"/>
    <x v="1"/>
    <x v="6"/>
    <n v="5"/>
    <n v="6"/>
    <n v="0"/>
    <n v="4"/>
    <x v="0"/>
    <n v="8.5884729479847072E-2"/>
  </r>
  <r>
    <x v="15"/>
    <x v="0"/>
    <x v="0"/>
    <x v="0"/>
    <x v="0"/>
    <x v="0"/>
    <x v="0"/>
    <x v="0"/>
    <x v="1"/>
    <x v="7"/>
    <n v="56"/>
    <n v="62"/>
    <n v="1"/>
    <n v="54"/>
    <x v="0"/>
    <n v="1.846349197913226"/>
  </r>
  <r>
    <x v="15"/>
    <x v="0"/>
    <x v="1"/>
    <x v="0"/>
    <x v="2"/>
    <x v="1"/>
    <x v="1"/>
    <x v="1"/>
    <x v="1"/>
    <x v="7"/>
    <n v="4"/>
    <n v="4"/>
    <n v="0"/>
    <n v="4"/>
    <x v="0"/>
    <n v="0.11321973750059976"/>
  </r>
  <r>
    <x v="3"/>
    <x v="1"/>
    <x v="0"/>
    <x v="0"/>
    <x v="0"/>
    <x v="1"/>
    <x v="0"/>
    <x v="0"/>
    <x v="1"/>
    <x v="1"/>
    <n v="5"/>
    <n v="5"/>
    <n v="0"/>
    <m/>
    <x v="1"/>
    <n v="0.41847766218091148"/>
  </r>
  <r>
    <x v="22"/>
    <x v="1"/>
    <x v="0"/>
    <x v="0"/>
    <x v="0"/>
    <x v="0"/>
    <x v="1"/>
    <x v="0"/>
    <x v="1"/>
    <x v="7"/>
    <n v="13"/>
    <n v="16"/>
    <n v="0"/>
    <n v="12"/>
    <x v="0"/>
    <n v="0.34375302406083241"/>
  </r>
  <r>
    <x v="10"/>
    <x v="0"/>
    <x v="0"/>
    <x v="0"/>
    <x v="0"/>
    <x v="0"/>
    <x v="1"/>
    <x v="1"/>
    <x v="1"/>
    <x v="6"/>
    <n v="6"/>
    <n v="6"/>
    <n v="0"/>
    <m/>
    <x v="1"/>
    <n v="8.5884729479847072E-2"/>
  </r>
  <r>
    <x v="3"/>
    <x v="0"/>
    <x v="0"/>
    <x v="2"/>
    <x v="1"/>
    <x v="1"/>
    <x v="0"/>
    <x v="1"/>
    <x v="1"/>
    <x v="8"/>
    <n v="5"/>
    <n v="6"/>
    <n v="0"/>
    <m/>
    <x v="1"/>
    <n v="0.63309979180828335"/>
  </r>
  <r>
    <x v="1"/>
    <x v="1"/>
    <x v="0"/>
    <x v="1"/>
    <x v="0"/>
    <x v="0"/>
    <x v="0"/>
    <x v="1"/>
    <x v="0"/>
    <x v="4"/>
    <n v="2"/>
    <n v="2"/>
    <n v="0"/>
    <n v="2"/>
    <x v="0"/>
    <n v="6.2358044650831737E-2"/>
  </r>
  <r>
    <x v="5"/>
    <x v="0"/>
    <x v="0"/>
    <x v="0"/>
    <x v="0"/>
    <x v="0"/>
    <x v="0"/>
    <x v="0"/>
    <x v="0"/>
    <x v="0"/>
    <n v="6"/>
    <n v="8"/>
    <n v="1"/>
    <n v="6"/>
    <x v="0"/>
    <n v="0.35670940492060998"/>
  </r>
  <r>
    <x v="17"/>
    <x v="0"/>
    <x v="1"/>
    <x v="0"/>
    <x v="1"/>
    <x v="0"/>
    <x v="0"/>
    <x v="1"/>
    <x v="1"/>
    <x v="4"/>
    <n v="22"/>
    <n v="23"/>
    <n v="1"/>
    <n v="22"/>
    <x v="0"/>
    <n v="0.70541461970246278"/>
  </r>
  <r>
    <x v="2"/>
    <x v="1"/>
    <x v="1"/>
    <x v="0"/>
    <x v="1"/>
    <x v="0"/>
    <x v="0"/>
    <x v="1"/>
    <x v="1"/>
    <x v="0"/>
    <n v="17"/>
    <n v="25"/>
    <n v="0"/>
    <m/>
    <x v="1"/>
    <n v="1.1413619784126963"/>
  </r>
  <r>
    <x v="12"/>
    <x v="1"/>
    <x v="0"/>
    <x v="0"/>
    <x v="0"/>
    <x v="0"/>
    <x v="0"/>
    <x v="0"/>
    <x v="1"/>
    <x v="0"/>
    <n v="28"/>
    <n v="36"/>
    <n v="2"/>
    <m/>
    <x v="1"/>
    <n v="1.5965641243325337"/>
  </r>
  <r>
    <x v="7"/>
    <x v="1"/>
    <x v="0"/>
    <x v="0"/>
    <x v="0"/>
    <x v="1"/>
    <x v="0"/>
    <x v="0"/>
    <x v="1"/>
    <x v="1"/>
    <n v="5"/>
    <n v="8"/>
    <n v="0"/>
    <m/>
    <x v="1"/>
    <n v="0.66956425948945841"/>
  </r>
  <r>
    <x v="6"/>
    <x v="0"/>
    <x v="0"/>
    <x v="2"/>
    <x v="0"/>
    <x v="0"/>
    <x v="0"/>
    <x v="1"/>
    <x v="2"/>
    <x v="8"/>
    <n v="1"/>
    <n v="1"/>
    <n v="0"/>
    <m/>
    <x v="1"/>
    <n v="0.12117165620362885"/>
  </r>
  <r>
    <x v="8"/>
    <x v="0"/>
    <x v="0"/>
    <x v="2"/>
    <x v="0"/>
    <x v="0"/>
    <x v="0"/>
    <x v="0"/>
    <x v="1"/>
    <x v="4"/>
    <n v="6"/>
    <n v="7"/>
    <n v="0"/>
    <m/>
    <x v="1"/>
    <n v="0.27167899656309996"/>
  </r>
  <r>
    <x v="18"/>
    <x v="0"/>
    <x v="1"/>
    <x v="0"/>
    <x v="1"/>
    <x v="0"/>
    <x v="0"/>
    <x v="1"/>
    <x v="1"/>
    <x v="4"/>
    <n v="5"/>
    <n v="6"/>
    <n v="1"/>
    <m/>
    <x v="1"/>
    <n v="0.18402120513977288"/>
  </r>
  <r>
    <x v="16"/>
    <x v="0"/>
    <x v="0"/>
    <x v="1"/>
    <x v="2"/>
    <x v="1"/>
    <x v="0"/>
    <x v="0"/>
    <x v="0"/>
    <x v="0"/>
    <n v="2"/>
    <n v="2"/>
    <n v="0"/>
    <m/>
    <x v="1"/>
    <n v="0.11583488445771037"/>
  </r>
  <r>
    <x v="5"/>
    <x v="0"/>
    <x v="0"/>
    <x v="0"/>
    <x v="0"/>
    <x v="0"/>
    <x v="0"/>
    <x v="0"/>
    <x v="2"/>
    <x v="8"/>
    <n v="12"/>
    <n v="14"/>
    <n v="0"/>
    <n v="12"/>
    <x v="0"/>
    <n v="1.3281288962014703"/>
  </r>
  <r>
    <x v="5"/>
    <x v="0"/>
    <x v="0"/>
    <x v="0"/>
    <x v="1"/>
    <x v="1"/>
    <x v="0"/>
    <x v="1"/>
    <x v="1"/>
    <x v="1"/>
    <n v="25"/>
    <n v="35"/>
    <n v="1"/>
    <n v="24"/>
    <x v="0"/>
    <n v="2.880208078168033"/>
  </r>
  <r>
    <x v="7"/>
    <x v="0"/>
    <x v="0"/>
    <x v="0"/>
    <x v="1"/>
    <x v="0"/>
    <x v="0"/>
    <x v="1"/>
    <x v="0"/>
    <x v="1"/>
    <n v="22"/>
    <n v="36"/>
    <n v="0"/>
    <m/>
    <x v="1"/>
    <n v="2.3322226059550619"/>
  </r>
  <r>
    <x v="11"/>
    <x v="1"/>
    <x v="0"/>
    <x v="2"/>
    <x v="1"/>
    <x v="0"/>
    <x v="0"/>
    <x v="1"/>
    <x v="2"/>
    <x v="9"/>
    <n v="10"/>
    <n v="16"/>
    <n v="0"/>
    <m/>
    <x v="1"/>
    <n v="3.7808672802640708"/>
  </r>
  <r>
    <x v="9"/>
    <x v="1"/>
    <x v="0"/>
    <x v="0"/>
    <x v="1"/>
    <x v="0"/>
    <x v="0"/>
    <x v="1"/>
    <x v="0"/>
    <x v="8"/>
    <n v="19"/>
    <n v="25"/>
    <n v="4"/>
    <n v="19"/>
    <x v="0"/>
    <n v="2.3701208213007821"/>
  </r>
  <r>
    <x v="5"/>
    <x v="0"/>
    <x v="1"/>
    <x v="0"/>
    <x v="1"/>
    <x v="0"/>
    <x v="0"/>
    <x v="1"/>
    <x v="1"/>
    <x v="4"/>
    <n v="16"/>
    <n v="18"/>
    <n v="2"/>
    <n v="14"/>
    <x v="0"/>
    <n v="0.55206361541931859"/>
  </r>
  <r>
    <x v="14"/>
    <x v="1"/>
    <x v="1"/>
    <x v="0"/>
    <x v="2"/>
    <x v="1"/>
    <x v="1"/>
    <x v="1"/>
    <x v="1"/>
    <x v="2"/>
    <n v="1"/>
    <n v="1"/>
    <n v="0"/>
    <m/>
    <x v="1"/>
    <n v="4.2183923792892507E-2"/>
  </r>
  <r>
    <x v="7"/>
    <x v="0"/>
    <x v="0"/>
    <x v="0"/>
    <x v="2"/>
    <x v="1"/>
    <x v="0"/>
    <x v="0"/>
    <x v="1"/>
    <x v="1"/>
    <n v="3"/>
    <n v="4"/>
    <n v="0"/>
    <m/>
    <x v="1"/>
    <n v="0.32572952321934195"/>
  </r>
  <r>
    <x v="7"/>
    <x v="0"/>
    <x v="0"/>
    <x v="2"/>
    <x v="1"/>
    <x v="0"/>
    <x v="0"/>
    <x v="1"/>
    <x v="1"/>
    <x v="0"/>
    <n v="19"/>
    <n v="26"/>
    <n v="0"/>
    <m/>
    <x v="1"/>
    <n v="1.4701626816953444"/>
  </r>
  <r>
    <x v="21"/>
    <x v="0"/>
    <x v="0"/>
    <x v="0"/>
    <x v="0"/>
    <x v="0"/>
    <x v="0"/>
    <x v="1"/>
    <x v="1"/>
    <x v="7"/>
    <n v="20"/>
    <n v="27"/>
    <n v="0"/>
    <m/>
    <x v="1"/>
    <n v="0.80405529586543711"/>
  </r>
  <r>
    <x v="14"/>
    <x v="0"/>
    <x v="0"/>
    <x v="2"/>
    <x v="1"/>
    <x v="0"/>
    <x v="0"/>
    <x v="1"/>
    <x v="0"/>
    <x v="1"/>
    <n v="6"/>
    <n v="11"/>
    <n v="1"/>
    <m/>
    <x v="1"/>
    <n v="0.91869202326235322"/>
  </r>
  <r>
    <x v="17"/>
    <x v="0"/>
    <x v="0"/>
    <x v="2"/>
    <x v="1"/>
    <x v="0"/>
    <x v="0"/>
    <x v="1"/>
    <x v="0"/>
    <x v="1"/>
    <n v="8"/>
    <n v="11"/>
    <n v="0"/>
    <n v="7"/>
    <x v="0"/>
    <n v="0.91869202326235322"/>
  </r>
  <r>
    <x v="4"/>
    <x v="0"/>
    <x v="0"/>
    <x v="0"/>
    <x v="0"/>
    <x v="0"/>
    <x v="1"/>
    <x v="1"/>
    <x v="1"/>
    <x v="6"/>
    <n v="11"/>
    <n v="12"/>
    <n v="0"/>
    <m/>
    <x v="1"/>
    <n v="0.17176945895969414"/>
  </r>
  <r>
    <x v="21"/>
    <x v="0"/>
    <x v="0"/>
    <x v="0"/>
    <x v="1"/>
    <x v="1"/>
    <x v="0"/>
    <x v="1"/>
    <x v="0"/>
    <x v="8"/>
    <n v="6"/>
    <n v="13"/>
    <n v="0"/>
    <m/>
    <x v="1"/>
    <n v="1.5597942431346312"/>
  </r>
  <r>
    <x v="8"/>
    <x v="0"/>
    <x v="0"/>
    <x v="0"/>
    <x v="0"/>
    <x v="0"/>
    <x v="1"/>
    <x v="1"/>
    <x v="2"/>
    <x v="0"/>
    <n v="1"/>
    <n v="2"/>
    <n v="0"/>
    <m/>
    <x v="1"/>
    <n v="9.4489829543465659E-2"/>
  </r>
  <r>
    <x v="19"/>
    <x v="1"/>
    <x v="0"/>
    <x v="2"/>
    <x v="1"/>
    <x v="0"/>
    <x v="0"/>
    <x v="1"/>
    <x v="0"/>
    <x v="8"/>
    <n v="11"/>
    <n v="17"/>
    <n v="0"/>
    <m/>
    <x v="1"/>
    <n v="2.0586211805318717"/>
  </r>
  <r>
    <x v="6"/>
    <x v="0"/>
    <x v="0"/>
    <x v="0"/>
    <x v="1"/>
    <x v="0"/>
    <x v="0"/>
    <x v="0"/>
    <x v="1"/>
    <x v="2"/>
    <n v="1"/>
    <n v="1"/>
    <n v="0"/>
    <m/>
    <x v="1"/>
    <n v="4.357372761838206E-2"/>
  </r>
  <r>
    <x v="5"/>
    <x v="0"/>
    <x v="0"/>
    <x v="1"/>
    <x v="1"/>
    <x v="0"/>
    <x v="0"/>
    <x v="1"/>
    <x v="0"/>
    <x v="4"/>
    <n v="6"/>
    <n v="6"/>
    <n v="0"/>
    <n v="6"/>
    <x v="0"/>
    <n v="0.18375957514838631"/>
  </r>
  <r>
    <x v="4"/>
    <x v="0"/>
    <x v="1"/>
    <x v="0"/>
    <x v="2"/>
    <x v="1"/>
    <x v="0"/>
    <x v="0"/>
    <x v="1"/>
    <x v="0"/>
    <n v="1"/>
    <n v="1"/>
    <n v="0"/>
    <m/>
    <x v="1"/>
    <n v="5.7997578176727585E-2"/>
  </r>
  <r>
    <x v="5"/>
    <x v="0"/>
    <x v="0"/>
    <x v="0"/>
    <x v="3"/>
    <x v="1"/>
    <x v="1"/>
    <x v="1"/>
    <x v="0"/>
    <x v="1"/>
    <n v="2"/>
    <n v="2"/>
    <n v="1"/>
    <n v="1"/>
    <x v="0"/>
    <n v="0.15903844711423848"/>
  </r>
  <r>
    <x v="19"/>
    <x v="0"/>
    <x v="0"/>
    <x v="0"/>
    <x v="3"/>
    <x v="1"/>
    <x v="0"/>
    <x v="1"/>
    <x v="2"/>
    <x v="9"/>
    <n v="6"/>
    <n v="9"/>
    <n v="0"/>
    <m/>
    <x v="1"/>
    <n v="2.6172970518856817"/>
  </r>
  <r>
    <x v="14"/>
    <x v="0"/>
    <x v="0"/>
    <x v="1"/>
    <x v="1"/>
    <x v="0"/>
    <x v="0"/>
    <x v="1"/>
    <x v="2"/>
    <x v="1"/>
    <n v="7"/>
    <n v="8"/>
    <n v="0"/>
    <m/>
    <x v="1"/>
    <n v="0.53002011339443644"/>
  </r>
  <r>
    <x v="21"/>
    <x v="0"/>
    <x v="0"/>
    <x v="0"/>
    <x v="1"/>
    <x v="0"/>
    <x v="0"/>
    <x v="1"/>
    <x v="1"/>
    <x v="2"/>
    <n v="59"/>
    <n v="73"/>
    <n v="0"/>
    <m/>
    <x v="1"/>
    <n v="3.1808821161418908"/>
  </r>
  <r>
    <x v="8"/>
    <x v="0"/>
    <x v="0"/>
    <x v="2"/>
    <x v="1"/>
    <x v="0"/>
    <x v="0"/>
    <x v="1"/>
    <x v="2"/>
    <x v="9"/>
    <n v="7"/>
    <n v="17"/>
    <n v="0"/>
    <m/>
    <x v="1"/>
    <n v="2.8880537270901852"/>
  </r>
  <r>
    <x v="11"/>
    <x v="0"/>
    <x v="1"/>
    <x v="0"/>
    <x v="1"/>
    <x v="0"/>
    <x v="0"/>
    <x v="1"/>
    <x v="0"/>
    <x v="0"/>
    <n v="7"/>
    <n v="11"/>
    <n v="0"/>
    <m/>
    <x v="1"/>
    <n v="0.50490954276646005"/>
  </r>
  <r>
    <x v="5"/>
    <x v="0"/>
    <x v="1"/>
    <x v="0"/>
    <x v="1"/>
    <x v="1"/>
    <x v="0"/>
    <x v="1"/>
    <x v="0"/>
    <x v="8"/>
    <n v="5"/>
    <n v="5"/>
    <n v="1"/>
    <n v="5"/>
    <x v="0"/>
    <n v="0.43249796319760819"/>
  </r>
  <r>
    <x v="7"/>
    <x v="1"/>
    <x v="0"/>
    <x v="0"/>
    <x v="0"/>
    <x v="0"/>
    <x v="1"/>
    <x v="1"/>
    <x v="1"/>
    <x v="7"/>
    <n v="8"/>
    <n v="8"/>
    <n v="0"/>
    <m/>
    <x v="1"/>
    <n v="0.17187651203041621"/>
  </r>
  <r>
    <x v="3"/>
    <x v="0"/>
    <x v="1"/>
    <x v="0"/>
    <x v="0"/>
    <x v="0"/>
    <x v="1"/>
    <x v="0"/>
    <x v="0"/>
    <x v="5"/>
    <n v="3"/>
    <n v="3"/>
    <n v="0"/>
    <m/>
    <x v="1"/>
    <n v="4.5309815360431056E-2"/>
  </r>
  <r>
    <x v="3"/>
    <x v="0"/>
    <x v="0"/>
    <x v="1"/>
    <x v="1"/>
    <x v="0"/>
    <x v="0"/>
    <x v="1"/>
    <x v="1"/>
    <x v="5"/>
    <n v="12"/>
    <n v="12"/>
    <n v="0"/>
    <m/>
    <x v="1"/>
    <n v="0.24427262350237686"/>
  </r>
  <r>
    <x v="10"/>
    <x v="1"/>
    <x v="1"/>
    <x v="0"/>
    <x v="0"/>
    <x v="0"/>
    <x v="0"/>
    <x v="0"/>
    <x v="1"/>
    <x v="4"/>
    <n v="6"/>
    <n v="6"/>
    <n v="0"/>
    <m/>
    <x v="1"/>
    <n v="0.18734033108538034"/>
  </r>
  <r>
    <x v="17"/>
    <x v="1"/>
    <x v="1"/>
    <x v="0"/>
    <x v="2"/>
    <x v="1"/>
    <x v="0"/>
    <x v="0"/>
    <x v="2"/>
    <x v="9"/>
    <n v="1"/>
    <n v="1"/>
    <n v="0"/>
    <n v="1"/>
    <x v="0"/>
    <n v="0.24119501983049757"/>
  </r>
  <r>
    <x v="12"/>
    <x v="1"/>
    <x v="0"/>
    <x v="0"/>
    <x v="2"/>
    <x v="0"/>
    <x v="0"/>
    <x v="1"/>
    <x v="2"/>
    <x v="9"/>
    <n v="9"/>
    <n v="10"/>
    <n v="1"/>
    <m/>
    <x v="1"/>
    <n v="1.8866403843496364"/>
  </r>
  <r>
    <x v="15"/>
    <x v="0"/>
    <x v="1"/>
    <x v="1"/>
    <x v="0"/>
    <x v="0"/>
    <x v="0"/>
    <x v="0"/>
    <x v="1"/>
    <x v="6"/>
    <n v="3"/>
    <n v="3"/>
    <n v="0"/>
    <n v="3"/>
    <x v="0"/>
    <n v="2.8886505489678724E-2"/>
  </r>
  <r>
    <x v="6"/>
    <x v="1"/>
    <x v="1"/>
    <x v="0"/>
    <x v="1"/>
    <x v="1"/>
    <x v="0"/>
    <x v="1"/>
    <x v="1"/>
    <x v="8"/>
    <n v="6"/>
    <n v="8"/>
    <n v="0"/>
    <m/>
    <x v="1"/>
    <n v="0.68843946280258683"/>
  </r>
  <r>
    <x v="7"/>
    <x v="1"/>
    <x v="0"/>
    <x v="0"/>
    <x v="3"/>
    <x v="1"/>
    <x v="1"/>
    <x v="1"/>
    <x v="1"/>
    <x v="1"/>
    <n v="1"/>
    <n v="1"/>
    <n v="0"/>
    <m/>
    <x v="1"/>
    <n v="7.9107339630020743E-2"/>
  </r>
  <r>
    <x v="2"/>
    <x v="0"/>
    <x v="0"/>
    <x v="0"/>
    <x v="0"/>
    <x v="0"/>
    <x v="0"/>
    <x v="1"/>
    <x v="1"/>
    <x v="7"/>
    <n v="21"/>
    <n v="25"/>
    <n v="1"/>
    <m/>
    <x v="1"/>
    <n v="0.74449564431984927"/>
  </r>
  <r>
    <x v="15"/>
    <x v="1"/>
    <x v="1"/>
    <x v="0"/>
    <x v="0"/>
    <x v="0"/>
    <x v="1"/>
    <x v="0"/>
    <x v="1"/>
    <x v="5"/>
    <n v="6"/>
    <n v="7"/>
    <n v="0"/>
    <n v="6"/>
    <x v="0"/>
    <n v="0.10513718208130526"/>
  </r>
  <r>
    <x v="8"/>
    <x v="0"/>
    <x v="0"/>
    <x v="0"/>
    <x v="2"/>
    <x v="0"/>
    <x v="0"/>
    <x v="0"/>
    <x v="0"/>
    <x v="3"/>
    <n v="2"/>
    <n v="2"/>
    <n v="0"/>
    <m/>
    <x v="1"/>
    <n v="0.12818945540862531"/>
  </r>
  <r>
    <x v="14"/>
    <x v="1"/>
    <x v="1"/>
    <x v="0"/>
    <x v="1"/>
    <x v="0"/>
    <x v="0"/>
    <x v="1"/>
    <x v="0"/>
    <x v="1"/>
    <n v="7"/>
    <n v="11"/>
    <n v="0"/>
    <m/>
    <x v="1"/>
    <n v="0.74586322633309232"/>
  </r>
  <r>
    <x v="1"/>
    <x v="0"/>
    <x v="0"/>
    <x v="0"/>
    <x v="0"/>
    <x v="0"/>
    <x v="0"/>
    <x v="0"/>
    <x v="2"/>
    <x v="8"/>
    <n v="9"/>
    <n v="10"/>
    <n v="1"/>
    <n v="9"/>
    <x v="0"/>
    <n v="0.94866349728676458"/>
  </r>
  <r>
    <x v="4"/>
    <x v="1"/>
    <x v="1"/>
    <x v="1"/>
    <x v="2"/>
    <x v="0"/>
    <x v="1"/>
    <x v="1"/>
    <x v="2"/>
    <x v="4"/>
    <n v="1"/>
    <n v="1"/>
    <n v="0"/>
    <m/>
    <x v="1"/>
    <n v="3.3675167837974015E-2"/>
  </r>
  <r>
    <x v="12"/>
    <x v="0"/>
    <x v="1"/>
    <x v="0"/>
    <x v="1"/>
    <x v="1"/>
    <x v="0"/>
    <x v="1"/>
    <x v="1"/>
    <x v="0"/>
    <n v="16"/>
    <n v="20"/>
    <n v="0"/>
    <m/>
    <x v="1"/>
    <n v="1.1725070782795604"/>
  </r>
  <r>
    <x v="2"/>
    <x v="0"/>
    <x v="1"/>
    <x v="0"/>
    <x v="3"/>
    <x v="0"/>
    <x v="1"/>
    <x v="1"/>
    <x v="2"/>
    <x v="3"/>
    <n v="1"/>
    <n v="2"/>
    <n v="0"/>
    <m/>
    <x v="1"/>
    <n v="0.12814145198905752"/>
  </r>
  <r>
    <x v="11"/>
    <x v="0"/>
    <x v="0"/>
    <x v="0"/>
    <x v="1"/>
    <x v="1"/>
    <x v="0"/>
    <x v="1"/>
    <x v="1"/>
    <x v="1"/>
    <n v="22"/>
    <n v="35"/>
    <n v="0"/>
    <m/>
    <x v="1"/>
    <n v="2.880208078168033"/>
  </r>
  <r>
    <x v="0"/>
    <x v="1"/>
    <x v="1"/>
    <x v="1"/>
    <x v="0"/>
    <x v="0"/>
    <x v="1"/>
    <x v="1"/>
    <x v="1"/>
    <x v="6"/>
    <n v="3"/>
    <n v="3"/>
    <n v="0"/>
    <n v="3"/>
    <x v="0"/>
    <n v="2.0720205964955687E-2"/>
  </r>
  <r>
    <x v="5"/>
    <x v="0"/>
    <x v="0"/>
    <x v="1"/>
    <x v="1"/>
    <x v="0"/>
    <x v="0"/>
    <x v="1"/>
    <x v="1"/>
    <x v="5"/>
    <n v="12"/>
    <n v="12"/>
    <n v="0"/>
    <n v="10"/>
    <x v="0"/>
    <n v="0.24427262350237686"/>
  </r>
  <r>
    <x v="17"/>
    <x v="0"/>
    <x v="0"/>
    <x v="0"/>
    <x v="0"/>
    <x v="0"/>
    <x v="0"/>
    <x v="1"/>
    <x v="1"/>
    <x v="7"/>
    <n v="29"/>
    <n v="32"/>
    <n v="4"/>
    <n v="29"/>
    <x v="0"/>
    <n v="0.95295442472940695"/>
  </r>
  <r>
    <x v="16"/>
    <x v="0"/>
    <x v="0"/>
    <x v="2"/>
    <x v="2"/>
    <x v="0"/>
    <x v="0"/>
    <x v="1"/>
    <x v="2"/>
    <x v="9"/>
    <n v="5"/>
    <n v="5"/>
    <n v="0"/>
    <m/>
    <x v="1"/>
    <n v="0.84139654347145354"/>
  </r>
  <r>
    <x v="0"/>
    <x v="0"/>
    <x v="0"/>
    <x v="1"/>
    <x v="0"/>
    <x v="0"/>
    <x v="0"/>
    <x v="0"/>
    <x v="1"/>
    <x v="6"/>
    <n v="6"/>
    <n v="7"/>
    <n v="0"/>
    <n v="6"/>
    <x v="0"/>
    <n v="9.6641651633330924E-2"/>
  </r>
  <r>
    <x v="16"/>
    <x v="0"/>
    <x v="0"/>
    <x v="1"/>
    <x v="0"/>
    <x v="0"/>
    <x v="0"/>
    <x v="0"/>
    <x v="0"/>
    <x v="5"/>
    <n v="5"/>
    <n v="6"/>
    <n v="0"/>
    <m/>
    <x v="1"/>
    <n v="0.12505190057522475"/>
  </r>
  <r>
    <x v="6"/>
    <x v="1"/>
    <x v="0"/>
    <x v="0"/>
    <x v="2"/>
    <x v="1"/>
    <x v="1"/>
    <x v="0"/>
    <x v="2"/>
    <x v="9"/>
    <n v="2"/>
    <n v="2"/>
    <n v="1"/>
    <m/>
    <x v="1"/>
    <n v="0.35599491617289281"/>
  </r>
  <r>
    <x v="21"/>
    <x v="1"/>
    <x v="0"/>
    <x v="0"/>
    <x v="2"/>
    <x v="0"/>
    <x v="1"/>
    <x v="1"/>
    <x v="2"/>
    <x v="8"/>
    <n v="3"/>
    <n v="3"/>
    <n v="0"/>
    <m/>
    <x v="1"/>
    <n v="0.29734048893839099"/>
  </r>
  <r>
    <x v="4"/>
    <x v="1"/>
    <x v="0"/>
    <x v="2"/>
    <x v="0"/>
    <x v="0"/>
    <x v="0"/>
    <x v="1"/>
    <x v="1"/>
    <x v="0"/>
    <n v="5"/>
    <n v="5"/>
    <n v="0"/>
    <m/>
    <x v="1"/>
    <n v="0.28768447152892368"/>
  </r>
  <r>
    <x v="7"/>
    <x v="0"/>
    <x v="0"/>
    <x v="1"/>
    <x v="2"/>
    <x v="1"/>
    <x v="0"/>
    <x v="1"/>
    <x v="1"/>
    <x v="4"/>
    <n v="2"/>
    <n v="3"/>
    <n v="0"/>
    <m/>
    <x v="1"/>
    <n v="0.11658565812476554"/>
  </r>
  <r>
    <x v="1"/>
    <x v="1"/>
    <x v="1"/>
    <x v="2"/>
    <x v="1"/>
    <x v="0"/>
    <x v="0"/>
    <x v="1"/>
    <x v="1"/>
    <x v="3"/>
    <n v="8"/>
    <n v="12"/>
    <n v="0"/>
    <n v="8"/>
    <x v="0"/>
    <n v="0.71047828039239791"/>
  </r>
  <r>
    <x v="3"/>
    <x v="0"/>
    <x v="0"/>
    <x v="0"/>
    <x v="2"/>
    <x v="1"/>
    <x v="1"/>
    <x v="1"/>
    <x v="2"/>
    <x v="9"/>
    <n v="1"/>
    <n v="1"/>
    <n v="0"/>
    <m/>
    <x v="1"/>
    <n v="0.12527880269335515"/>
  </r>
  <r>
    <x v="7"/>
    <x v="0"/>
    <x v="0"/>
    <x v="0"/>
    <x v="2"/>
    <x v="0"/>
    <x v="0"/>
    <x v="0"/>
    <x v="1"/>
    <x v="2"/>
    <n v="5"/>
    <n v="6"/>
    <n v="0"/>
    <m/>
    <x v="1"/>
    <n v="0.25859849621444175"/>
  </r>
  <r>
    <x v="4"/>
    <x v="0"/>
    <x v="0"/>
    <x v="1"/>
    <x v="3"/>
    <x v="1"/>
    <x v="1"/>
    <x v="1"/>
    <x v="2"/>
    <x v="1"/>
    <n v="1"/>
    <n v="1"/>
    <n v="0"/>
    <m/>
    <x v="1"/>
    <n v="8.1292767345553685E-2"/>
  </r>
  <r>
    <x v="1"/>
    <x v="0"/>
    <x v="1"/>
    <x v="1"/>
    <x v="2"/>
    <x v="0"/>
    <x v="0"/>
    <x v="1"/>
    <x v="2"/>
    <x v="0"/>
    <n v="2"/>
    <n v="3"/>
    <n v="0"/>
    <n v="2"/>
    <x v="0"/>
    <n v="0.13936143392360426"/>
  </r>
  <r>
    <x v="1"/>
    <x v="1"/>
    <x v="1"/>
    <x v="0"/>
    <x v="3"/>
    <x v="1"/>
    <x v="0"/>
    <x v="1"/>
    <x v="2"/>
    <x v="9"/>
    <n v="2"/>
    <n v="3"/>
    <n v="1"/>
    <n v="2"/>
    <x v="0"/>
    <n v="0.90294709665342776"/>
  </r>
  <r>
    <x v="19"/>
    <x v="0"/>
    <x v="1"/>
    <x v="0"/>
    <x v="3"/>
    <x v="1"/>
    <x v="0"/>
    <x v="0"/>
    <x v="2"/>
    <x v="9"/>
    <n v="1"/>
    <n v="3"/>
    <n v="0"/>
    <m/>
    <x v="1"/>
    <n v="0.66498267382666365"/>
  </r>
  <r>
    <x v="9"/>
    <x v="1"/>
    <x v="0"/>
    <x v="0"/>
    <x v="0"/>
    <x v="0"/>
    <x v="1"/>
    <x v="0"/>
    <x v="1"/>
    <x v="7"/>
    <n v="11"/>
    <n v="12"/>
    <n v="1"/>
    <n v="11"/>
    <x v="0"/>
    <n v="0.25781476804562431"/>
  </r>
  <r>
    <x v="4"/>
    <x v="0"/>
    <x v="0"/>
    <x v="0"/>
    <x v="2"/>
    <x v="1"/>
    <x v="0"/>
    <x v="1"/>
    <x v="1"/>
    <x v="1"/>
    <n v="7"/>
    <n v="12"/>
    <n v="0"/>
    <m/>
    <x v="1"/>
    <n v="0.97718856965802581"/>
  </r>
  <r>
    <x v="20"/>
    <x v="1"/>
    <x v="0"/>
    <x v="0"/>
    <x v="2"/>
    <x v="0"/>
    <x v="1"/>
    <x v="0"/>
    <x v="0"/>
    <x v="0"/>
    <n v="1"/>
    <n v="1"/>
    <n v="0"/>
    <n v="1"/>
    <x v="0"/>
    <n v="4.6701039199944734E-2"/>
  </r>
  <r>
    <x v="0"/>
    <x v="0"/>
    <x v="0"/>
    <x v="0"/>
    <x v="1"/>
    <x v="0"/>
    <x v="0"/>
    <x v="1"/>
    <x v="2"/>
    <x v="9"/>
    <n v="26"/>
    <n v="36"/>
    <n v="4"/>
    <n v="25"/>
    <x v="0"/>
    <n v="4.8464949066666003"/>
  </r>
  <r>
    <x v="16"/>
    <x v="1"/>
    <x v="1"/>
    <x v="0"/>
    <x v="1"/>
    <x v="1"/>
    <x v="0"/>
    <x v="1"/>
    <x v="1"/>
    <x v="8"/>
    <n v="4"/>
    <n v="6"/>
    <n v="0"/>
    <m/>
    <x v="1"/>
    <n v="0.51632959710194015"/>
  </r>
  <r>
    <x v="8"/>
    <x v="1"/>
    <x v="0"/>
    <x v="2"/>
    <x v="0"/>
    <x v="0"/>
    <x v="0"/>
    <x v="0"/>
    <x v="0"/>
    <x v="8"/>
    <n v="6"/>
    <n v="6"/>
    <n v="0"/>
    <m/>
    <x v="1"/>
    <n v="0.5096418357291469"/>
  </r>
  <r>
    <x v="7"/>
    <x v="0"/>
    <x v="0"/>
    <x v="0"/>
    <x v="2"/>
    <x v="0"/>
    <x v="1"/>
    <x v="1"/>
    <x v="1"/>
    <x v="5"/>
    <n v="2"/>
    <n v="2"/>
    <n v="0"/>
    <m/>
    <x v="1"/>
    <n v="4.1730618848715956E-2"/>
  </r>
  <r>
    <x v="1"/>
    <x v="1"/>
    <x v="1"/>
    <x v="0"/>
    <x v="1"/>
    <x v="0"/>
    <x v="0"/>
    <x v="1"/>
    <x v="2"/>
    <x v="9"/>
    <n v="11"/>
    <n v="16"/>
    <n v="2"/>
    <n v="11"/>
    <x v="0"/>
    <n v="2.2466431315207553"/>
  </r>
  <r>
    <x v="20"/>
    <x v="0"/>
    <x v="1"/>
    <x v="2"/>
    <x v="1"/>
    <x v="0"/>
    <x v="0"/>
    <x v="1"/>
    <x v="0"/>
    <x v="3"/>
    <n v="5"/>
    <n v="6"/>
    <n v="0"/>
    <n v="5"/>
    <x v="0"/>
    <n v="0.35712892794790707"/>
  </r>
  <r>
    <x v="22"/>
    <x v="1"/>
    <x v="0"/>
    <x v="0"/>
    <x v="1"/>
    <x v="0"/>
    <x v="0"/>
    <x v="1"/>
    <x v="0"/>
    <x v="8"/>
    <n v="23"/>
    <n v="26"/>
    <n v="2"/>
    <n v="23"/>
    <x v="0"/>
    <n v="2.4649256541528133"/>
  </r>
  <r>
    <x v="9"/>
    <x v="0"/>
    <x v="1"/>
    <x v="0"/>
    <x v="0"/>
    <x v="0"/>
    <x v="1"/>
    <x v="1"/>
    <x v="1"/>
    <x v="6"/>
    <n v="8"/>
    <n v="8"/>
    <n v="0"/>
    <n v="8"/>
    <x v="0"/>
    <n v="7.987849078987122E-2"/>
  </r>
  <r>
    <x v="12"/>
    <x v="1"/>
    <x v="1"/>
    <x v="0"/>
    <x v="1"/>
    <x v="0"/>
    <x v="0"/>
    <x v="1"/>
    <x v="0"/>
    <x v="1"/>
    <n v="4"/>
    <n v="10"/>
    <n v="0"/>
    <m/>
    <x v="1"/>
    <n v="0.67805747848462927"/>
  </r>
  <r>
    <x v="11"/>
    <x v="0"/>
    <x v="0"/>
    <x v="2"/>
    <x v="2"/>
    <x v="0"/>
    <x v="1"/>
    <x v="1"/>
    <x v="1"/>
    <x v="7"/>
    <n v="1"/>
    <n v="1"/>
    <n v="0"/>
    <m/>
    <x v="1"/>
    <n v="2.7269210474849294E-2"/>
  </r>
  <r>
    <x v="3"/>
    <x v="0"/>
    <x v="0"/>
    <x v="2"/>
    <x v="2"/>
    <x v="0"/>
    <x v="0"/>
    <x v="1"/>
    <x v="2"/>
    <x v="9"/>
    <n v="2"/>
    <n v="5"/>
    <n v="0"/>
    <m/>
    <x v="1"/>
    <n v="0.84139654347145354"/>
  </r>
  <r>
    <x v="12"/>
    <x v="0"/>
    <x v="1"/>
    <x v="0"/>
    <x v="0"/>
    <x v="0"/>
    <x v="1"/>
    <x v="0"/>
    <x v="1"/>
    <x v="6"/>
    <n v="8"/>
    <n v="9"/>
    <n v="0"/>
    <m/>
    <x v="1"/>
    <n v="8.986330213860512E-2"/>
  </r>
  <r>
    <x v="17"/>
    <x v="0"/>
    <x v="1"/>
    <x v="0"/>
    <x v="1"/>
    <x v="1"/>
    <x v="0"/>
    <x v="1"/>
    <x v="0"/>
    <x v="8"/>
    <n v="6"/>
    <n v="6"/>
    <n v="0"/>
    <n v="6"/>
    <x v="0"/>
    <n v="0.51899755583712992"/>
  </r>
  <r>
    <x v="15"/>
    <x v="1"/>
    <x v="1"/>
    <x v="2"/>
    <x v="1"/>
    <x v="1"/>
    <x v="0"/>
    <x v="1"/>
    <x v="0"/>
    <x v="9"/>
    <n v="2"/>
    <n v="2"/>
    <n v="0"/>
    <n v="2"/>
    <x v="0"/>
    <n v="0.31697566320660109"/>
  </r>
  <r>
    <x v="2"/>
    <x v="0"/>
    <x v="0"/>
    <x v="0"/>
    <x v="3"/>
    <x v="0"/>
    <x v="0"/>
    <x v="1"/>
    <x v="1"/>
    <x v="0"/>
    <n v="2"/>
    <n v="3"/>
    <n v="0"/>
    <m/>
    <x v="1"/>
    <n v="0.17251360687803188"/>
  </r>
  <r>
    <x v="22"/>
    <x v="0"/>
    <x v="1"/>
    <x v="0"/>
    <x v="0"/>
    <x v="0"/>
    <x v="1"/>
    <x v="0"/>
    <x v="1"/>
    <x v="6"/>
    <n v="3"/>
    <n v="3"/>
    <n v="0"/>
    <n v="3"/>
    <x v="0"/>
    <n v="2.9954434046201708E-2"/>
  </r>
  <r>
    <x v="16"/>
    <x v="0"/>
    <x v="1"/>
    <x v="1"/>
    <x v="0"/>
    <x v="0"/>
    <x v="0"/>
    <x v="0"/>
    <x v="1"/>
    <x v="6"/>
    <n v="2"/>
    <n v="2"/>
    <n v="0"/>
    <m/>
    <x v="1"/>
    <n v="1.9257670326452481E-2"/>
  </r>
  <r>
    <x v="20"/>
    <x v="1"/>
    <x v="0"/>
    <x v="0"/>
    <x v="0"/>
    <x v="0"/>
    <x v="0"/>
    <x v="1"/>
    <x v="0"/>
    <x v="1"/>
    <n v="7"/>
    <n v="7"/>
    <n v="0"/>
    <n v="6"/>
    <x v="0"/>
    <n v="0.46137426322122427"/>
  </r>
  <r>
    <x v="0"/>
    <x v="0"/>
    <x v="0"/>
    <x v="1"/>
    <x v="0"/>
    <x v="1"/>
    <x v="0"/>
    <x v="1"/>
    <x v="0"/>
    <x v="4"/>
    <n v="2"/>
    <n v="3"/>
    <n v="0"/>
    <n v="2"/>
    <x v="0"/>
    <n v="0.12063168861165202"/>
  </r>
  <r>
    <x v="12"/>
    <x v="1"/>
    <x v="1"/>
    <x v="2"/>
    <x v="1"/>
    <x v="0"/>
    <x v="0"/>
    <x v="1"/>
    <x v="0"/>
    <x v="8"/>
    <n v="2"/>
    <n v="2"/>
    <n v="0"/>
    <m/>
    <x v="1"/>
    <n v="0.17466290492702188"/>
  </r>
  <r>
    <x v="17"/>
    <x v="1"/>
    <x v="0"/>
    <x v="1"/>
    <x v="1"/>
    <x v="1"/>
    <x v="0"/>
    <x v="1"/>
    <x v="2"/>
    <x v="9"/>
    <n v="1"/>
    <n v="1"/>
    <n v="0"/>
    <n v="1"/>
    <x v="0"/>
    <n v="0.17433593735276651"/>
  </r>
  <r>
    <x v="5"/>
    <x v="0"/>
    <x v="0"/>
    <x v="1"/>
    <x v="0"/>
    <x v="0"/>
    <x v="0"/>
    <x v="1"/>
    <x v="2"/>
    <x v="0"/>
    <n v="1"/>
    <n v="1"/>
    <n v="0"/>
    <n v="1"/>
    <x v="0"/>
    <n v="4.5621764642715154E-2"/>
  </r>
  <r>
    <x v="11"/>
    <x v="1"/>
    <x v="0"/>
    <x v="0"/>
    <x v="2"/>
    <x v="0"/>
    <x v="1"/>
    <x v="0"/>
    <x v="0"/>
    <x v="0"/>
    <n v="1"/>
    <n v="1"/>
    <n v="0"/>
    <m/>
    <x v="1"/>
    <n v="4.6701039199944734E-2"/>
  </r>
  <r>
    <x v="21"/>
    <x v="1"/>
    <x v="0"/>
    <x v="0"/>
    <x v="0"/>
    <x v="0"/>
    <x v="0"/>
    <x v="1"/>
    <x v="0"/>
    <x v="1"/>
    <n v="7"/>
    <n v="11"/>
    <n v="0"/>
    <m/>
    <x v="1"/>
    <n v="0.72501669934763813"/>
  </r>
  <r>
    <x v="16"/>
    <x v="0"/>
    <x v="0"/>
    <x v="0"/>
    <x v="0"/>
    <x v="0"/>
    <x v="1"/>
    <x v="0"/>
    <x v="1"/>
    <x v="6"/>
    <n v="8"/>
    <n v="9"/>
    <n v="0"/>
    <m/>
    <x v="1"/>
    <n v="0.12882709421977059"/>
  </r>
  <r>
    <x v="2"/>
    <x v="0"/>
    <x v="0"/>
    <x v="0"/>
    <x v="1"/>
    <x v="0"/>
    <x v="0"/>
    <x v="1"/>
    <x v="2"/>
    <x v="9"/>
    <n v="24"/>
    <n v="45"/>
    <n v="0"/>
    <m/>
    <x v="1"/>
    <n v="6.0581186333332502"/>
  </r>
  <r>
    <x v="11"/>
    <x v="0"/>
    <x v="0"/>
    <x v="1"/>
    <x v="1"/>
    <x v="1"/>
    <x v="0"/>
    <x v="1"/>
    <x v="1"/>
    <x v="4"/>
    <n v="2"/>
    <n v="2"/>
    <n v="0"/>
    <m/>
    <x v="1"/>
    <n v="7.8582346257712016E-2"/>
  </r>
  <r>
    <x v="0"/>
    <x v="0"/>
    <x v="0"/>
    <x v="2"/>
    <x v="1"/>
    <x v="1"/>
    <x v="0"/>
    <x v="1"/>
    <x v="0"/>
    <x v="9"/>
    <n v="3"/>
    <n v="3"/>
    <n v="0"/>
    <n v="3"/>
    <x v="0"/>
    <n v="0.45625225935569513"/>
  </r>
  <r>
    <x v="0"/>
    <x v="1"/>
    <x v="1"/>
    <x v="1"/>
    <x v="1"/>
    <x v="0"/>
    <x v="0"/>
    <x v="1"/>
    <x v="2"/>
    <x v="1"/>
    <n v="1"/>
    <n v="1"/>
    <n v="0"/>
    <n v="1"/>
    <x v="0"/>
    <n v="6.9337721412467759E-2"/>
  </r>
  <r>
    <x v="11"/>
    <x v="1"/>
    <x v="0"/>
    <x v="2"/>
    <x v="0"/>
    <x v="0"/>
    <x v="0"/>
    <x v="1"/>
    <x v="1"/>
    <x v="0"/>
    <n v="6"/>
    <n v="7"/>
    <n v="0"/>
    <m/>
    <x v="1"/>
    <n v="0.40275826014049321"/>
  </r>
  <r>
    <x v="13"/>
    <x v="0"/>
    <x v="0"/>
    <x v="2"/>
    <x v="1"/>
    <x v="0"/>
    <x v="0"/>
    <x v="1"/>
    <x v="1"/>
    <x v="0"/>
    <n v="6"/>
    <n v="7"/>
    <n v="0"/>
    <m/>
    <x v="1"/>
    <n v="0.39581302968720822"/>
  </r>
  <r>
    <x v="12"/>
    <x v="0"/>
    <x v="1"/>
    <x v="1"/>
    <x v="2"/>
    <x v="1"/>
    <x v="0"/>
    <x v="1"/>
    <x v="1"/>
    <x v="7"/>
    <n v="1"/>
    <n v="1"/>
    <n v="0"/>
    <m/>
    <x v="1"/>
    <n v="2.7313833211787753E-2"/>
  </r>
  <r>
    <x v="20"/>
    <x v="1"/>
    <x v="0"/>
    <x v="2"/>
    <x v="1"/>
    <x v="0"/>
    <x v="0"/>
    <x v="1"/>
    <x v="0"/>
    <x v="8"/>
    <n v="11"/>
    <n v="13"/>
    <n v="0"/>
    <n v="11"/>
    <x v="0"/>
    <n v="1.5742397262890782"/>
  </r>
  <r>
    <x v="19"/>
    <x v="0"/>
    <x v="0"/>
    <x v="0"/>
    <x v="3"/>
    <x v="1"/>
    <x v="0"/>
    <x v="1"/>
    <x v="0"/>
    <x v="9"/>
    <n v="2"/>
    <n v="3"/>
    <n v="0"/>
    <m/>
    <x v="1"/>
    <n v="0.46320069517810697"/>
  </r>
  <r>
    <x v="22"/>
    <x v="0"/>
    <x v="0"/>
    <x v="0"/>
    <x v="1"/>
    <x v="0"/>
    <x v="0"/>
    <x v="1"/>
    <x v="0"/>
    <x v="1"/>
    <n v="24"/>
    <n v="27"/>
    <n v="1"/>
    <n v="22"/>
    <x v="0"/>
    <n v="1.7491669544662964"/>
  </r>
  <r>
    <x v="5"/>
    <x v="1"/>
    <x v="1"/>
    <x v="1"/>
    <x v="0"/>
    <x v="0"/>
    <x v="0"/>
    <x v="1"/>
    <x v="1"/>
    <x v="6"/>
    <n v="2"/>
    <n v="2"/>
    <n v="0"/>
    <n v="2"/>
    <x v="0"/>
    <n v="2.8973497616771756E-2"/>
  </r>
  <r>
    <x v="3"/>
    <x v="1"/>
    <x v="0"/>
    <x v="2"/>
    <x v="0"/>
    <x v="0"/>
    <x v="0"/>
    <x v="1"/>
    <x v="2"/>
    <x v="9"/>
    <n v="2"/>
    <n v="2"/>
    <n v="0"/>
    <m/>
    <x v="1"/>
    <n v="0.34500564574730752"/>
  </r>
  <r>
    <x v="17"/>
    <x v="0"/>
    <x v="0"/>
    <x v="2"/>
    <x v="0"/>
    <x v="0"/>
    <x v="0"/>
    <x v="0"/>
    <x v="1"/>
    <x v="4"/>
    <n v="6"/>
    <n v="6"/>
    <n v="0"/>
    <n v="6"/>
    <x v="0"/>
    <n v="0.23286771133979997"/>
  </r>
  <r>
    <x v="18"/>
    <x v="0"/>
    <x v="0"/>
    <x v="0"/>
    <x v="3"/>
    <x v="0"/>
    <x v="0"/>
    <x v="1"/>
    <x v="2"/>
    <x v="9"/>
    <n v="2"/>
    <n v="2"/>
    <n v="0"/>
    <m/>
    <x v="1"/>
    <n v="0.34483527205385262"/>
  </r>
  <r>
    <x v="2"/>
    <x v="1"/>
    <x v="1"/>
    <x v="1"/>
    <x v="0"/>
    <x v="0"/>
    <x v="0"/>
    <x v="0"/>
    <x v="1"/>
    <x v="6"/>
    <n v="4"/>
    <n v="4"/>
    <n v="0"/>
    <m/>
    <x v="1"/>
    <n v="5.7946995233543512E-2"/>
  </r>
  <r>
    <x v="15"/>
    <x v="0"/>
    <x v="0"/>
    <x v="2"/>
    <x v="1"/>
    <x v="1"/>
    <x v="0"/>
    <x v="1"/>
    <x v="1"/>
    <x v="8"/>
    <n v="6"/>
    <n v="8"/>
    <n v="0"/>
    <n v="6"/>
    <x v="0"/>
    <n v="0.84413305574437769"/>
  </r>
  <r>
    <x v="11"/>
    <x v="0"/>
    <x v="0"/>
    <x v="0"/>
    <x v="1"/>
    <x v="1"/>
    <x v="0"/>
    <x v="1"/>
    <x v="2"/>
    <x v="9"/>
    <n v="7"/>
    <n v="14"/>
    <n v="0"/>
    <m/>
    <x v="1"/>
    <n v="3.2818492575500562"/>
  </r>
  <r>
    <x v="7"/>
    <x v="0"/>
    <x v="1"/>
    <x v="2"/>
    <x v="0"/>
    <x v="0"/>
    <x v="0"/>
    <x v="0"/>
    <x v="1"/>
    <x v="7"/>
    <n v="4"/>
    <n v="5"/>
    <n v="0"/>
    <m/>
    <x v="1"/>
    <n v="0.13638921000169593"/>
  </r>
  <r>
    <x v="4"/>
    <x v="1"/>
    <x v="0"/>
    <x v="0"/>
    <x v="3"/>
    <x v="1"/>
    <x v="0"/>
    <x v="0"/>
    <x v="1"/>
    <x v="9"/>
    <n v="1"/>
    <n v="1"/>
    <n v="0"/>
    <m/>
    <x v="1"/>
    <n v="0.15366523766540796"/>
  </r>
  <r>
    <x v="12"/>
    <x v="1"/>
    <x v="0"/>
    <x v="2"/>
    <x v="1"/>
    <x v="0"/>
    <x v="0"/>
    <x v="1"/>
    <x v="2"/>
    <x v="9"/>
    <n v="11"/>
    <n v="13"/>
    <n v="0"/>
    <m/>
    <x v="1"/>
    <n v="3.071954665214558"/>
  </r>
  <r>
    <x v="7"/>
    <x v="1"/>
    <x v="0"/>
    <x v="0"/>
    <x v="0"/>
    <x v="0"/>
    <x v="0"/>
    <x v="1"/>
    <x v="0"/>
    <x v="1"/>
    <n v="5"/>
    <n v="8"/>
    <n v="0"/>
    <m/>
    <x v="1"/>
    <n v="0.52728487225282772"/>
  </r>
  <r>
    <x v="19"/>
    <x v="1"/>
    <x v="0"/>
    <x v="0"/>
    <x v="0"/>
    <x v="0"/>
    <x v="0"/>
    <x v="0"/>
    <x v="0"/>
    <x v="1"/>
    <n v="14"/>
    <n v="21"/>
    <n v="0"/>
    <m/>
    <x v="1"/>
    <n v="1.3841227896636727"/>
  </r>
  <r>
    <x v="8"/>
    <x v="1"/>
    <x v="0"/>
    <x v="2"/>
    <x v="0"/>
    <x v="0"/>
    <x v="1"/>
    <x v="0"/>
    <x v="0"/>
    <x v="2"/>
    <n v="1"/>
    <n v="1"/>
    <n v="0"/>
    <m/>
    <x v="1"/>
    <n v="4.2069997453546046E-2"/>
  </r>
  <r>
    <x v="7"/>
    <x v="0"/>
    <x v="1"/>
    <x v="0"/>
    <x v="3"/>
    <x v="1"/>
    <x v="0"/>
    <x v="1"/>
    <x v="0"/>
    <x v="8"/>
    <n v="2"/>
    <n v="2"/>
    <n v="0"/>
    <m/>
    <x v="1"/>
    <n v="0.22507853204367734"/>
  </r>
  <r>
    <x v="12"/>
    <x v="0"/>
    <x v="0"/>
    <x v="0"/>
    <x v="3"/>
    <x v="1"/>
    <x v="0"/>
    <x v="1"/>
    <x v="2"/>
    <x v="9"/>
    <n v="5"/>
    <n v="9"/>
    <n v="0"/>
    <m/>
    <x v="1"/>
    <n v="2.6172970518856817"/>
  </r>
  <r>
    <x v="19"/>
    <x v="0"/>
    <x v="1"/>
    <x v="0"/>
    <x v="1"/>
    <x v="1"/>
    <x v="0"/>
    <x v="1"/>
    <x v="1"/>
    <x v="0"/>
    <n v="10"/>
    <n v="16"/>
    <n v="0"/>
    <m/>
    <x v="1"/>
    <n v="0.93800566262364826"/>
  </r>
  <r>
    <x v="7"/>
    <x v="1"/>
    <x v="0"/>
    <x v="0"/>
    <x v="0"/>
    <x v="0"/>
    <x v="0"/>
    <x v="0"/>
    <x v="0"/>
    <x v="1"/>
    <n v="12"/>
    <n v="14"/>
    <n v="0"/>
    <m/>
    <x v="1"/>
    <n v="0.92274852644244854"/>
  </r>
  <r>
    <x v="15"/>
    <x v="1"/>
    <x v="0"/>
    <x v="0"/>
    <x v="0"/>
    <x v="0"/>
    <x v="1"/>
    <x v="1"/>
    <x v="0"/>
    <x v="4"/>
    <n v="2"/>
    <n v="2"/>
    <n v="0"/>
    <n v="2"/>
    <x v="0"/>
    <n v="6.4611432767311794E-2"/>
  </r>
  <r>
    <x v="9"/>
    <x v="0"/>
    <x v="0"/>
    <x v="2"/>
    <x v="1"/>
    <x v="0"/>
    <x v="0"/>
    <x v="1"/>
    <x v="0"/>
    <x v="1"/>
    <n v="8"/>
    <n v="10"/>
    <n v="1"/>
    <n v="8"/>
    <x v="0"/>
    <n v="0.8351745666021394"/>
  </r>
  <r>
    <x v="11"/>
    <x v="1"/>
    <x v="1"/>
    <x v="0"/>
    <x v="0"/>
    <x v="0"/>
    <x v="0"/>
    <x v="0"/>
    <x v="1"/>
    <x v="4"/>
    <n v="12"/>
    <n v="13"/>
    <n v="0"/>
    <m/>
    <x v="1"/>
    <n v="0.40590405068499069"/>
  </r>
  <r>
    <x v="10"/>
    <x v="1"/>
    <x v="0"/>
    <x v="0"/>
    <x v="1"/>
    <x v="1"/>
    <x v="0"/>
    <x v="1"/>
    <x v="1"/>
    <x v="8"/>
    <n v="18"/>
    <n v="21"/>
    <n v="0"/>
    <m/>
    <x v="1"/>
    <n v="2.5071874498022568"/>
  </r>
  <r>
    <x v="5"/>
    <x v="1"/>
    <x v="0"/>
    <x v="2"/>
    <x v="0"/>
    <x v="0"/>
    <x v="0"/>
    <x v="1"/>
    <x v="1"/>
    <x v="0"/>
    <n v="12"/>
    <n v="15"/>
    <n v="0"/>
    <n v="12"/>
    <x v="0"/>
    <n v="0.86305341458677109"/>
  </r>
  <r>
    <x v="3"/>
    <x v="0"/>
    <x v="0"/>
    <x v="1"/>
    <x v="0"/>
    <x v="0"/>
    <x v="1"/>
    <x v="1"/>
    <x v="1"/>
    <x v="6"/>
    <n v="2"/>
    <n v="2"/>
    <n v="0"/>
    <m/>
    <x v="1"/>
    <n v="1.315955589013206E-2"/>
  </r>
  <r>
    <x v="11"/>
    <x v="0"/>
    <x v="0"/>
    <x v="0"/>
    <x v="2"/>
    <x v="1"/>
    <x v="0"/>
    <x v="0"/>
    <x v="1"/>
    <x v="1"/>
    <n v="7"/>
    <n v="8"/>
    <n v="0"/>
    <m/>
    <x v="1"/>
    <n v="0.65145904643868391"/>
  </r>
  <r>
    <x v="5"/>
    <x v="1"/>
    <x v="0"/>
    <x v="2"/>
    <x v="1"/>
    <x v="0"/>
    <x v="0"/>
    <x v="1"/>
    <x v="0"/>
    <x v="8"/>
    <n v="11"/>
    <n v="13"/>
    <n v="0"/>
    <n v="10"/>
    <x v="0"/>
    <n v="1.5742397262890782"/>
  </r>
  <r>
    <x v="3"/>
    <x v="1"/>
    <x v="1"/>
    <x v="0"/>
    <x v="1"/>
    <x v="0"/>
    <x v="0"/>
    <x v="1"/>
    <x v="1"/>
    <x v="0"/>
    <n v="12"/>
    <n v="17"/>
    <n v="0"/>
    <m/>
    <x v="1"/>
    <n v="0.77612614532063351"/>
  </r>
  <r>
    <x v="7"/>
    <x v="1"/>
    <x v="1"/>
    <x v="0"/>
    <x v="1"/>
    <x v="0"/>
    <x v="0"/>
    <x v="1"/>
    <x v="2"/>
    <x v="9"/>
    <n v="6"/>
    <n v="8"/>
    <n v="0"/>
    <m/>
    <x v="1"/>
    <n v="1.1233215657603777"/>
  </r>
  <r>
    <x v="6"/>
    <x v="0"/>
    <x v="0"/>
    <x v="0"/>
    <x v="0"/>
    <x v="0"/>
    <x v="1"/>
    <x v="0"/>
    <x v="1"/>
    <x v="6"/>
    <n v="1"/>
    <n v="2"/>
    <n v="0"/>
    <m/>
    <x v="1"/>
    <n v="2.8628243159949024E-2"/>
  </r>
  <r>
    <x v="8"/>
    <x v="0"/>
    <x v="1"/>
    <x v="1"/>
    <x v="2"/>
    <x v="1"/>
    <x v="1"/>
    <x v="1"/>
    <x v="1"/>
    <x v="6"/>
    <n v="3"/>
    <n v="3"/>
    <n v="0"/>
    <m/>
    <x v="1"/>
    <n v="3.9334494449162823E-2"/>
  </r>
  <r>
    <x v="15"/>
    <x v="1"/>
    <x v="0"/>
    <x v="2"/>
    <x v="2"/>
    <x v="0"/>
    <x v="0"/>
    <x v="1"/>
    <x v="2"/>
    <x v="9"/>
    <n v="5"/>
    <n v="6"/>
    <n v="0"/>
    <n v="5"/>
    <x v="0"/>
    <n v="1.4054834358659369"/>
  </r>
  <r>
    <x v="2"/>
    <x v="1"/>
    <x v="1"/>
    <x v="0"/>
    <x v="0"/>
    <x v="0"/>
    <x v="1"/>
    <x v="1"/>
    <x v="0"/>
    <x v="7"/>
    <n v="2"/>
    <n v="3"/>
    <n v="0"/>
    <m/>
    <x v="1"/>
    <n v="6.7979817617321039E-2"/>
  </r>
  <r>
    <x v="1"/>
    <x v="0"/>
    <x v="0"/>
    <x v="1"/>
    <x v="0"/>
    <x v="0"/>
    <x v="1"/>
    <x v="1"/>
    <x v="1"/>
    <x v="6"/>
    <n v="6"/>
    <n v="8"/>
    <n v="0"/>
    <n v="6"/>
    <x v="0"/>
    <n v="5.263822356052824E-2"/>
  </r>
  <r>
    <x v="2"/>
    <x v="0"/>
    <x v="0"/>
    <x v="2"/>
    <x v="2"/>
    <x v="0"/>
    <x v="0"/>
    <x v="0"/>
    <x v="2"/>
    <x v="9"/>
    <n v="3"/>
    <n v="3"/>
    <n v="0"/>
    <m/>
    <x v="1"/>
    <n v="0.50483792608287215"/>
  </r>
  <r>
    <x v="20"/>
    <x v="1"/>
    <x v="0"/>
    <x v="0"/>
    <x v="2"/>
    <x v="0"/>
    <x v="0"/>
    <x v="1"/>
    <x v="1"/>
    <x v="3"/>
    <n v="7"/>
    <n v="7"/>
    <n v="0"/>
    <n v="7"/>
    <x v="0"/>
    <n v="0.44630042680555043"/>
  </r>
  <r>
    <x v="3"/>
    <x v="0"/>
    <x v="1"/>
    <x v="0"/>
    <x v="1"/>
    <x v="1"/>
    <x v="0"/>
    <x v="1"/>
    <x v="1"/>
    <x v="0"/>
    <n v="5"/>
    <n v="8"/>
    <n v="0"/>
    <m/>
    <x v="1"/>
    <n v="0.46900283131182413"/>
  </r>
  <r>
    <x v="9"/>
    <x v="0"/>
    <x v="1"/>
    <x v="1"/>
    <x v="1"/>
    <x v="0"/>
    <x v="0"/>
    <x v="1"/>
    <x v="0"/>
    <x v="5"/>
    <n v="3"/>
    <n v="3"/>
    <n v="0"/>
    <n v="3"/>
    <x v="0"/>
    <n v="6.4413130023151369E-2"/>
  </r>
  <r>
    <x v="20"/>
    <x v="1"/>
    <x v="0"/>
    <x v="2"/>
    <x v="0"/>
    <x v="1"/>
    <x v="0"/>
    <x v="0"/>
    <x v="1"/>
    <x v="8"/>
    <n v="1"/>
    <n v="1"/>
    <n v="0"/>
    <n v="1"/>
    <x v="0"/>
    <n v="0.10727040371594192"/>
  </r>
  <r>
    <x v="21"/>
    <x v="0"/>
    <x v="1"/>
    <x v="0"/>
    <x v="0"/>
    <x v="0"/>
    <x v="1"/>
    <x v="1"/>
    <x v="1"/>
    <x v="6"/>
    <n v="8"/>
    <n v="8"/>
    <n v="0"/>
    <m/>
    <x v="1"/>
    <n v="7.987849078987122E-2"/>
  </r>
  <r>
    <x v="3"/>
    <x v="1"/>
    <x v="0"/>
    <x v="0"/>
    <x v="1"/>
    <x v="0"/>
    <x v="0"/>
    <x v="1"/>
    <x v="0"/>
    <x v="8"/>
    <n v="17"/>
    <n v="27"/>
    <n v="0"/>
    <m/>
    <x v="1"/>
    <n v="2.5597304870048445"/>
  </r>
  <r>
    <x v="11"/>
    <x v="0"/>
    <x v="0"/>
    <x v="0"/>
    <x v="2"/>
    <x v="0"/>
    <x v="1"/>
    <x v="1"/>
    <x v="1"/>
    <x v="5"/>
    <n v="2"/>
    <n v="5"/>
    <n v="0"/>
    <m/>
    <x v="1"/>
    <n v="0.1043265471217899"/>
  </r>
  <r>
    <x v="22"/>
    <x v="0"/>
    <x v="1"/>
    <x v="0"/>
    <x v="0"/>
    <x v="1"/>
    <x v="0"/>
    <x v="0"/>
    <x v="1"/>
    <x v="4"/>
    <n v="2"/>
    <n v="2"/>
    <n v="0"/>
    <n v="2"/>
    <x v="0"/>
    <n v="8.0534492687672668E-2"/>
  </r>
  <r>
    <x v="15"/>
    <x v="0"/>
    <x v="0"/>
    <x v="0"/>
    <x v="2"/>
    <x v="1"/>
    <x v="0"/>
    <x v="1"/>
    <x v="1"/>
    <x v="1"/>
    <n v="12"/>
    <n v="13"/>
    <n v="0"/>
    <n v="12"/>
    <x v="0"/>
    <n v="1.0586209504628612"/>
  </r>
  <r>
    <x v="15"/>
    <x v="0"/>
    <x v="1"/>
    <x v="0"/>
    <x v="1"/>
    <x v="1"/>
    <x v="0"/>
    <x v="1"/>
    <x v="2"/>
    <x v="9"/>
    <n v="4"/>
    <n v="5"/>
    <n v="1"/>
    <n v="4"/>
    <x v="0"/>
    <n v="0.87680743802938443"/>
  </r>
  <r>
    <x v="15"/>
    <x v="1"/>
    <x v="0"/>
    <x v="1"/>
    <x v="0"/>
    <x v="0"/>
    <x v="0"/>
    <x v="0"/>
    <x v="0"/>
    <x v="4"/>
    <n v="1"/>
    <n v="1"/>
    <n v="0"/>
    <n v="1"/>
    <x v="0"/>
    <n v="3.1179022325415869E-2"/>
  </r>
  <r>
    <x v="3"/>
    <x v="0"/>
    <x v="1"/>
    <x v="0"/>
    <x v="1"/>
    <x v="1"/>
    <x v="0"/>
    <x v="1"/>
    <x v="2"/>
    <x v="9"/>
    <n v="1"/>
    <n v="2"/>
    <n v="0"/>
    <m/>
    <x v="1"/>
    <n v="0.35072297521175377"/>
  </r>
  <r>
    <x v="14"/>
    <x v="0"/>
    <x v="0"/>
    <x v="1"/>
    <x v="2"/>
    <x v="1"/>
    <x v="0"/>
    <x v="1"/>
    <x v="1"/>
    <x v="4"/>
    <n v="2"/>
    <n v="2"/>
    <n v="0"/>
    <m/>
    <x v="1"/>
    <n v="7.7723772083177017E-2"/>
  </r>
  <r>
    <x v="16"/>
    <x v="0"/>
    <x v="0"/>
    <x v="0"/>
    <x v="0"/>
    <x v="0"/>
    <x v="1"/>
    <x v="0"/>
    <x v="0"/>
    <x v="7"/>
    <n v="3"/>
    <n v="3"/>
    <n v="0"/>
    <m/>
    <x v="1"/>
    <n v="6.4810394424951609E-2"/>
  </r>
  <r>
    <x v="12"/>
    <x v="1"/>
    <x v="0"/>
    <x v="2"/>
    <x v="1"/>
    <x v="1"/>
    <x v="0"/>
    <x v="1"/>
    <x v="1"/>
    <x v="9"/>
    <n v="6"/>
    <n v="11"/>
    <n v="0"/>
    <m/>
    <x v="1"/>
    <n v="1.6649395889747765"/>
  </r>
  <r>
    <x v="20"/>
    <x v="1"/>
    <x v="0"/>
    <x v="0"/>
    <x v="0"/>
    <x v="1"/>
    <x v="0"/>
    <x v="0"/>
    <x v="1"/>
    <x v="1"/>
    <n v="6"/>
    <n v="6"/>
    <n v="0"/>
    <n v="6"/>
    <x v="0"/>
    <n v="0.50217319461709375"/>
  </r>
  <r>
    <x v="5"/>
    <x v="1"/>
    <x v="0"/>
    <x v="0"/>
    <x v="3"/>
    <x v="0"/>
    <x v="0"/>
    <x v="1"/>
    <x v="0"/>
    <x v="8"/>
    <n v="1"/>
    <n v="2"/>
    <n v="0"/>
    <n v="1"/>
    <x v="0"/>
    <n v="0.24601606933333317"/>
  </r>
  <r>
    <x v="9"/>
    <x v="1"/>
    <x v="0"/>
    <x v="0"/>
    <x v="2"/>
    <x v="0"/>
    <x v="0"/>
    <x v="1"/>
    <x v="2"/>
    <x v="9"/>
    <n v="10"/>
    <n v="13"/>
    <n v="4"/>
    <n v="10"/>
    <x v="0"/>
    <n v="2.452632499654527"/>
  </r>
  <r>
    <x v="12"/>
    <x v="0"/>
    <x v="0"/>
    <x v="2"/>
    <x v="1"/>
    <x v="0"/>
    <x v="0"/>
    <x v="1"/>
    <x v="1"/>
    <x v="0"/>
    <n v="25"/>
    <n v="30"/>
    <n v="2"/>
    <m/>
    <x v="1"/>
    <n v="1.6963415558023207"/>
  </r>
  <r>
    <x v="12"/>
    <x v="1"/>
    <x v="1"/>
    <x v="2"/>
    <x v="0"/>
    <x v="0"/>
    <x v="0"/>
    <x v="0"/>
    <x v="1"/>
    <x v="4"/>
    <n v="4"/>
    <n v="4"/>
    <n v="0"/>
    <m/>
    <x v="1"/>
    <n v="0.16269716010612686"/>
  </r>
  <r>
    <x v="11"/>
    <x v="0"/>
    <x v="0"/>
    <x v="0"/>
    <x v="2"/>
    <x v="0"/>
    <x v="0"/>
    <x v="1"/>
    <x v="1"/>
    <x v="2"/>
    <n v="9"/>
    <n v="10"/>
    <n v="0"/>
    <m/>
    <x v="1"/>
    <n v="0.43099749369073626"/>
  </r>
  <r>
    <x v="7"/>
    <x v="0"/>
    <x v="1"/>
    <x v="0"/>
    <x v="2"/>
    <x v="1"/>
    <x v="0"/>
    <x v="0"/>
    <x v="0"/>
    <x v="8"/>
    <n v="1"/>
    <n v="1"/>
    <n v="0"/>
    <m/>
    <x v="1"/>
    <n v="8.5600473827371765E-2"/>
  </r>
  <r>
    <x v="5"/>
    <x v="1"/>
    <x v="0"/>
    <x v="2"/>
    <x v="1"/>
    <x v="0"/>
    <x v="0"/>
    <x v="1"/>
    <x v="1"/>
    <x v="1"/>
    <n v="31"/>
    <n v="35"/>
    <n v="3"/>
    <n v="30"/>
    <x v="0"/>
    <n v="2.9080356379600789"/>
  </r>
  <r>
    <x v="22"/>
    <x v="0"/>
    <x v="1"/>
    <x v="0"/>
    <x v="0"/>
    <x v="1"/>
    <x v="0"/>
    <x v="0"/>
    <x v="0"/>
    <x v="3"/>
    <n v="1"/>
    <n v="1"/>
    <n v="0"/>
    <n v="1"/>
    <x v="0"/>
    <n v="5.9968911810879433E-2"/>
  </r>
  <r>
    <x v="22"/>
    <x v="1"/>
    <x v="0"/>
    <x v="2"/>
    <x v="0"/>
    <x v="0"/>
    <x v="0"/>
    <x v="1"/>
    <x v="2"/>
    <x v="9"/>
    <n v="1"/>
    <n v="1"/>
    <n v="0"/>
    <n v="1"/>
    <x v="0"/>
    <n v="0.17250282287365376"/>
  </r>
  <r>
    <x v="17"/>
    <x v="1"/>
    <x v="0"/>
    <x v="2"/>
    <x v="2"/>
    <x v="0"/>
    <x v="1"/>
    <x v="0"/>
    <x v="0"/>
    <x v="3"/>
    <n v="1"/>
    <n v="1"/>
    <n v="0"/>
    <n v="1"/>
    <x v="0"/>
    <n v="6.0544035202992515E-2"/>
  </r>
  <r>
    <x v="4"/>
    <x v="1"/>
    <x v="0"/>
    <x v="2"/>
    <x v="3"/>
    <x v="1"/>
    <x v="0"/>
    <x v="1"/>
    <x v="1"/>
    <x v="9"/>
    <n v="1"/>
    <n v="1"/>
    <n v="0"/>
    <m/>
    <x v="1"/>
    <n v="0.19280182250464545"/>
  </r>
  <r>
    <x v="15"/>
    <x v="0"/>
    <x v="0"/>
    <x v="0"/>
    <x v="2"/>
    <x v="0"/>
    <x v="1"/>
    <x v="1"/>
    <x v="2"/>
    <x v="1"/>
    <n v="9"/>
    <n v="12"/>
    <n v="1"/>
    <n v="8"/>
    <x v="0"/>
    <n v="0.81396580721092959"/>
  </r>
  <r>
    <x v="5"/>
    <x v="0"/>
    <x v="1"/>
    <x v="0"/>
    <x v="0"/>
    <x v="0"/>
    <x v="0"/>
    <x v="0"/>
    <x v="0"/>
    <x v="4"/>
    <n v="3"/>
    <n v="5"/>
    <n v="1"/>
    <n v="3"/>
    <x v="0"/>
    <n v="0.15697228561877108"/>
  </r>
  <r>
    <x v="4"/>
    <x v="0"/>
    <x v="0"/>
    <x v="2"/>
    <x v="0"/>
    <x v="0"/>
    <x v="0"/>
    <x v="0"/>
    <x v="1"/>
    <x v="4"/>
    <n v="8"/>
    <n v="9"/>
    <n v="0"/>
    <m/>
    <x v="1"/>
    <n v="0.34930156700969994"/>
  </r>
  <r>
    <x v="19"/>
    <x v="0"/>
    <x v="0"/>
    <x v="2"/>
    <x v="1"/>
    <x v="0"/>
    <x v="0"/>
    <x v="1"/>
    <x v="0"/>
    <x v="1"/>
    <n v="12"/>
    <n v="15"/>
    <n v="0"/>
    <m/>
    <x v="1"/>
    <n v="1.2527618499032089"/>
  </r>
  <r>
    <x v="7"/>
    <x v="0"/>
    <x v="1"/>
    <x v="2"/>
    <x v="1"/>
    <x v="1"/>
    <x v="0"/>
    <x v="1"/>
    <x v="1"/>
    <x v="1"/>
    <n v="1"/>
    <n v="4"/>
    <n v="0"/>
    <m/>
    <x v="1"/>
    <n v="0.30288866365397854"/>
  </r>
  <r>
    <x v="22"/>
    <x v="0"/>
    <x v="0"/>
    <x v="0"/>
    <x v="3"/>
    <x v="1"/>
    <x v="1"/>
    <x v="1"/>
    <x v="0"/>
    <x v="1"/>
    <n v="3"/>
    <n v="3"/>
    <n v="0"/>
    <n v="3"/>
    <x v="0"/>
    <n v="0.23855767067135772"/>
  </r>
  <r>
    <x v="17"/>
    <x v="0"/>
    <x v="0"/>
    <x v="0"/>
    <x v="0"/>
    <x v="0"/>
    <x v="0"/>
    <x v="1"/>
    <x v="2"/>
    <x v="8"/>
    <n v="5"/>
    <n v="5"/>
    <n v="0"/>
    <n v="4"/>
    <x v="0"/>
    <n v="0.47433174864338229"/>
  </r>
  <r>
    <x v="22"/>
    <x v="1"/>
    <x v="1"/>
    <x v="0"/>
    <x v="2"/>
    <x v="0"/>
    <x v="0"/>
    <x v="1"/>
    <x v="1"/>
    <x v="0"/>
    <n v="2"/>
    <n v="2"/>
    <n v="0"/>
    <n v="2"/>
    <x v="0"/>
    <n v="9.0317871897326291E-2"/>
  </r>
  <r>
    <x v="5"/>
    <x v="0"/>
    <x v="0"/>
    <x v="1"/>
    <x v="2"/>
    <x v="0"/>
    <x v="0"/>
    <x v="1"/>
    <x v="1"/>
    <x v="5"/>
    <n v="2"/>
    <n v="2"/>
    <n v="0"/>
    <n v="2"/>
    <x v="0"/>
    <n v="4.0258622658890492E-2"/>
  </r>
  <r>
    <x v="5"/>
    <x v="1"/>
    <x v="0"/>
    <x v="2"/>
    <x v="0"/>
    <x v="0"/>
    <x v="0"/>
    <x v="1"/>
    <x v="0"/>
    <x v="8"/>
    <n v="1"/>
    <n v="2"/>
    <n v="0"/>
    <n v="1"/>
    <x v="0"/>
    <n v="0.1698806119097156"/>
  </r>
  <r>
    <x v="21"/>
    <x v="1"/>
    <x v="0"/>
    <x v="0"/>
    <x v="2"/>
    <x v="1"/>
    <x v="0"/>
    <x v="0"/>
    <x v="1"/>
    <x v="8"/>
    <n v="2"/>
    <n v="3"/>
    <n v="0"/>
    <m/>
    <x v="1"/>
    <n v="0.35457934774799399"/>
  </r>
  <r>
    <x v="14"/>
    <x v="0"/>
    <x v="0"/>
    <x v="1"/>
    <x v="0"/>
    <x v="0"/>
    <x v="1"/>
    <x v="1"/>
    <x v="1"/>
    <x v="6"/>
    <n v="5"/>
    <n v="5"/>
    <n v="0"/>
    <m/>
    <x v="1"/>
    <n v="3.2898889725330151E-2"/>
  </r>
  <r>
    <x v="8"/>
    <x v="0"/>
    <x v="0"/>
    <x v="2"/>
    <x v="2"/>
    <x v="0"/>
    <x v="0"/>
    <x v="1"/>
    <x v="2"/>
    <x v="9"/>
    <n v="1"/>
    <n v="1"/>
    <n v="0"/>
    <m/>
    <x v="1"/>
    <n v="0.1682793086942907"/>
  </r>
  <r>
    <x v="8"/>
    <x v="0"/>
    <x v="0"/>
    <x v="2"/>
    <x v="1"/>
    <x v="0"/>
    <x v="0"/>
    <x v="1"/>
    <x v="0"/>
    <x v="1"/>
    <n v="2"/>
    <n v="7"/>
    <n v="0"/>
    <m/>
    <x v="1"/>
    <n v="0.5846221966214975"/>
  </r>
  <r>
    <x v="19"/>
    <x v="1"/>
    <x v="0"/>
    <x v="1"/>
    <x v="2"/>
    <x v="0"/>
    <x v="1"/>
    <x v="1"/>
    <x v="2"/>
    <x v="0"/>
    <n v="1"/>
    <n v="1"/>
    <n v="0"/>
    <m/>
    <x v="1"/>
    <n v="4.778062262691999E-2"/>
  </r>
  <r>
    <x v="10"/>
    <x v="1"/>
    <x v="0"/>
    <x v="0"/>
    <x v="0"/>
    <x v="0"/>
    <x v="1"/>
    <x v="0"/>
    <x v="0"/>
    <x v="4"/>
    <n v="4"/>
    <n v="5"/>
    <n v="0"/>
    <m/>
    <x v="1"/>
    <n v="0.16152858191827948"/>
  </r>
  <r>
    <x v="2"/>
    <x v="1"/>
    <x v="0"/>
    <x v="0"/>
    <x v="0"/>
    <x v="0"/>
    <x v="1"/>
    <x v="1"/>
    <x v="1"/>
    <x v="7"/>
    <n v="11"/>
    <n v="11"/>
    <n v="0"/>
    <m/>
    <x v="1"/>
    <n v="0.23633020404182231"/>
  </r>
  <r>
    <x v="11"/>
    <x v="1"/>
    <x v="1"/>
    <x v="0"/>
    <x v="0"/>
    <x v="0"/>
    <x v="1"/>
    <x v="1"/>
    <x v="1"/>
    <x v="5"/>
    <n v="3"/>
    <n v="4"/>
    <n v="0"/>
    <m/>
    <x v="1"/>
    <n v="6.0078389760745872E-2"/>
  </r>
  <r>
    <x v="9"/>
    <x v="1"/>
    <x v="1"/>
    <x v="2"/>
    <x v="0"/>
    <x v="0"/>
    <x v="0"/>
    <x v="0"/>
    <x v="1"/>
    <x v="4"/>
    <n v="3"/>
    <n v="5"/>
    <n v="0"/>
    <n v="2"/>
    <x v="0"/>
    <n v="0.20337145013265859"/>
  </r>
  <r>
    <x v="18"/>
    <x v="0"/>
    <x v="0"/>
    <x v="0"/>
    <x v="1"/>
    <x v="0"/>
    <x v="0"/>
    <x v="1"/>
    <x v="0"/>
    <x v="1"/>
    <n v="6"/>
    <n v="8"/>
    <n v="0"/>
    <m/>
    <x v="1"/>
    <n v="0.51827169021223607"/>
  </r>
  <r>
    <x v="20"/>
    <x v="0"/>
    <x v="0"/>
    <x v="1"/>
    <x v="1"/>
    <x v="0"/>
    <x v="0"/>
    <x v="1"/>
    <x v="2"/>
    <x v="1"/>
    <n v="5"/>
    <n v="6"/>
    <n v="0"/>
    <n v="4"/>
    <x v="0"/>
    <n v="0.39751508504582739"/>
  </r>
  <r>
    <x v="11"/>
    <x v="0"/>
    <x v="0"/>
    <x v="0"/>
    <x v="0"/>
    <x v="0"/>
    <x v="0"/>
    <x v="0"/>
    <x v="0"/>
    <x v="0"/>
    <n v="14"/>
    <n v="20"/>
    <n v="0"/>
    <m/>
    <x v="1"/>
    <n v="0.89177351230152491"/>
  </r>
  <r>
    <x v="16"/>
    <x v="0"/>
    <x v="0"/>
    <x v="0"/>
    <x v="2"/>
    <x v="0"/>
    <x v="0"/>
    <x v="1"/>
    <x v="2"/>
    <x v="9"/>
    <n v="11"/>
    <n v="11"/>
    <n v="2"/>
    <m/>
    <x v="1"/>
    <n v="1.4662834694827307"/>
  </r>
  <r>
    <x v="8"/>
    <x v="0"/>
    <x v="1"/>
    <x v="2"/>
    <x v="0"/>
    <x v="0"/>
    <x v="0"/>
    <x v="1"/>
    <x v="1"/>
    <x v="7"/>
    <n v="3"/>
    <n v="3"/>
    <n v="0"/>
    <m/>
    <x v="1"/>
    <n v="8.1833526001017565E-2"/>
  </r>
  <r>
    <x v="4"/>
    <x v="1"/>
    <x v="0"/>
    <x v="2"/>
    <x v="3"/>
    <x v="0"/>
    <x v="1"/>
    <x v="1"/>
    <x v="1"/>
    <x v="0"/>
    <n v="1"/>
    <n v="1"/>
    <n v="0"/>
    <m/>
    <x v="1"/>
    <n v="5.4297743164069615E-2"/>
  </r>
  <r>
    <x v="21"/>
    <x v="1"/>
    <x v="0"/>
    <x v="2"/>
    <x v="1"/>
    <x v="0"/>
    <x v="0"/>
    <x v="1"/>
    <x v="0"/>
    <x v="8"/>
    <n v="16"/>
    <n v="31"/>
    <n v="0"/>
    <m/>
    <x v="1"/>
    <n v="3.7539562703816483"/>
  </r>
  <r>
    <x v="3"/>
    <x v="0"/>
    <x v="1"/>
    <x v="0"/>
    <x v="0"/>
    <x v="0"/>
    <x v="0"/>
    <x v="0"/>
    <x v="1"/>
    <x v="5"/>
    <n v="14"/>
    <n v="16"/>
    <n v="0"/>
    <m/>
    <x v="1"/>
    <n v="0.33395131866537747"/>
  </r>
  <r>
    <x v="1"/>
    <x v="0"/>
    <x v="1"/>
    <x v="2"/>
    <x v="0"/>
    <x v="0"/>
    <x v="0"/>
    <x v="0"/>
    <x v="1"/>
    <x v="7"/>
    <n v="6"/>
    <n v="6"/>
    <n v="0"/>
    <n v="6"/>
    <x v="0"/>
    <n v="0.16366705200203513"/>
  </r>
  <r>
    <x v="12"/>
    <x v="0"/>
    <x v="0"/>
    <x v="1"/>
    <x v="0"/>
    <x v="0"/>
    <x v="0"/>
    <x v="1"/>
    <x v="1"/>
    <x v="6"/>
    <n v="4"/>
    <n v="4"/>
    <n v="0"/>
    <m/>
    <x v="1"/>
    <n v="5.5223800933331964E-2"/>
  </r>
  <r>
    <x v="2"/>
    <x v="1"/>
    <x v="1"/>
    <x v="0"/>
    <x v="0"/>
    <x v="0"/>
    <x v="0"/>
    <x v="0"/>
    <x v="1"/>
    <x v="4"/>
    <n v="13"/>
    <n v="17"/>
    <n v="1"/>
    <m/>
    <x v="1"/>
    <n v="0.53079760474191096"/>
  </r>
  <r>
    <x v="0"/>
    <x v="0"/>
    <x v="0"/>
    <x v="2"/>
    <x v="3"/>
    <x v="0"/>
    <x v="0"/>
    <x v="1"/>
    <x v="0"/>
    <x v="8"/>
    <n v="1"/>
    <n v="1"/>
    <n v="0"/>
    <n v="1"/>
    <x v="0"/>
    <n v="0.10876628283524353"/>
  </r>
  <r>
    <x v="2"/>
    <x v="0"/>
    <x v="0"/>
    <x v="0"/>
    <x v="2"/>
    <x v="0"/>
    <x v="0"/>
    <x v="0"/>
    <x v="1"/>
    <x v="2"/>
    <n v="3"/>
    <n v="3"/>
    <n v="0"/>
    <m/>
    <x v="1"/>
    <n v="0.12929924810722088"/>
  </r>
  <r>
    <x v="15"/>
    <x v="1"/>
    <x v="1"/>
    <x v="1"/>
    <x v="0"/>
    <x v="0"/>
    <x v="1"/>
    <x v="1"/>
    <x v="0"/>
    <x v="6"/>
    <n v="1"/>
    <n v="1"/>
    <n v="0"/>
    <n v="1"/>
    <x v="0"/>
    <n v="1.0463975714453297E-2"/>
  </r>
  <r>
    <x v="3"/>
    <x v="1"/>
    <x v="1"/>
    <x v="0"/>
    <x v="1"/>
    <x v="1"/>
    <x v="0"/>
    <x v="1"/>
    <x v="1"/>
    <x v="8"/>
    <n v="6"/>
    <n v="11"/>
    <n v="0"/>
    <m/>
    <x v="1"/>
    <n v="0.94660426135355691"/>
  </r>
  <r>
    <x v="7"/>
    <x v="0"/>
    <x v="0"/>
    <x v="0"/>
    <x v="0"/>
    <x v="0"/>
    <x v="0"/>
    <x v="0"/>
    <x v="0"/>
    <x v="0"/>
    <n v="12"/>
    <n v="12"/>
    <n v="0"/>
    <m/>
    <x v="1"/>
    <n v="0.53506410738091503"/>
  </r>
  <r>
    <x v="18"/>
    <x v="1"/>
    <x v="0"/>
    <x v="0"/>
    <x v="1"/>
    <x v="0"/>
    <x v="0"/>
    <x v="1"/>
    <x v="2"/>
    <x v="9"/>
    <n v="9"/>
    <n v="13"/>
    <n v="1"/>
    <m/>
    <x v="1"/>
    <n v="2.4754634651118499"/>
  </r>
  <r>
    <x v="21"/>
    <x v="1"/>
    <x v="1"/>
    <x v="0"/>
    <x v="0"/>
    <x v="0"/>
    <x v="0"/>
    <x v="1"/>
    <x v="1"/>
    <x v="4"/>
    <n v="12"/>
    <n v="13"/>
    <n v="0"/>
    <m/>
    <x v="1"/>
    <n v="0.40590405068499069"/>
  </r>
  <r>
    <x v="19"/>
    <x v="0"/>
    <x v="0"/>
    <x v="2"/>
    <x v="0"/>
    <x v="0"/>
    <x v="1"/>
    <x v="0"/>
    <x v="1"/>
    <x v="5"/>
    <n v="1"/>
    <n v="1"/>
    <n v="0"/>
    <m/>
    <x v="1"/>
    <n v="1.874585193217462E-2"/>
  </r>
  <r>
    <x v="0"/>
    <x v="0"/>
    <x v="1"/>
    <x v="2"/>
    <x v="3"/>
    <x v="1"/>
    <x v="0"/>
    <x v="1"/>
    <x v="0"/>
    <x v="9"/>
    <n v="1"/>
    <n v="1"/>
    <n v="0"/>
    <n v="1"/>
    <x v="0"/>
    <n v="0.1429710012122066"/>
  </r>
  <r>
    <x v="20"/>
    <x v="0"/>
    <x v="0"/>
    <x v="0"/>
    <x v="2"/>
    <x v="1"/>
    <x v="0"/>
    <x v="0"/>
    <x v="0"/>
    <x v="8"/>
    <n v="3"/>
    <n v="3"/>
    <n v="0"/>
    <n v="3"/>
    <x v="0"/>
    <n v="0.35634676875446636"/>
  </r>
  <r>
    <x v="17"/>
    <x v="0"/>
    <x v="1"/>
    <x v="2"/>
    <x v="0"/>
    <x v="0"/>
    <x v="0"/>
    <x v="0"/>
    <x v="2"/>
    <x v="8"/>
    <n v="1"/>
    <n v="2"/>
    <n v="0"/>
    <n v="1"/>
    <x v="0"/>
    <n v="0.17477717635732895"/>
  </r>
  <r>
    <x v="1"/>
    <x v="1"/>
    <x v="0"/>
    <x v="2"/>
    <x v="0"/>
    <x v="0"/>
    <x v="0"/>
    <x v="1"/>
    <x v="2"/>
    <x v="9"/>
    <n v="2"/>
    <n v="4"/>
    <n v="0"/>
    <n v="2"/>
    <x v="0"/>
    <n v="0.69001129149461504"/>
  </r>
  <r>
    <x v="8"/>
    <x v="0"/>
    <x v="0"/>
    <x v="0"/>
    <x v="3"/>
    <x v="1"/>
    <x v="1"/>
    <x v="1"/>
    <x v="2"/>
    <x v="9"/>
    <n v="2"/>
    <n v="3"/>
    <n v="0"/>
    <m/>
    <x v="1"/>
    <n v="0.48745689684724464"/>
  </r>
  <r>
    <x v="3"/>
    <x v="1"/>
    <x v="0"/>
    <x v="2"/>
    <x v="0"/>
    <x v="0"/>
    <x v="0"/>
    <x v="1"/>
    <x v="1"/>
    <x v="0"/>
    <n v="5"/>
    <n v="9"/>
    <n v="0"/>
    <m/>
    <x v="1"/>
    <n v="0.51783204875206257"/>
  </r>
  <r>
    <x v="6"/>
    <x v="0"/>
    <x v="0"/>
    <x v="0"/>
    <x v="3"/>
    <x v="1"/>
    <x v="0"/>
    <x v="1"/>
    <x v="1"/>
    <x v="8"/>
    <n v="2"/>
    <n v="3"/>
    <n v="0"/>
    <m/>
    <x v="1"/>
    <n v="0.3216397704159879"/>
  </r>
  <r>
    <x v="5"/>
    <x v="0"/>
    <x v="0"/>
    <x v="0"/>
    <x v="2"/>
    <x v="0"/>
    <x v="0"/>
    <x v="0"/>
    <x v="0"/>
    <x v="3"/>
    <n v="3"/>
    <n v="4"/>
    <n v="0"/>
    <n v="3"/>
    <x v="0"/>
    <n v="0.25637891081725062"/>
  </r>
  <r>
    <x v="9"/>
    <x v="0"/>
    <x v="1"/>
    <x v="1"/>
    <x v="0"/>
    <x v="1"/>
    <x v="0"/>
    <x v="0"/>
    <x v="1"/>
    <x v="5"/>
    <n v="3"/>
    <n v="5"/>
    <n v="0"/>
    <n v="3"/>
    <x v="0"/>
    <n v="9.388398231155258E-2"/>
  </r>
  <r>
    <x v="8"/>
    <x v="1"/>
    <x v="0"/>
    <x v="0"/>
    <x v="0"/>
    <x v="0"/>
    <x v="0"/>
    <x v="1"/>
    <x v="0"/>
    <x v="1"/>
    <n v="5"/>
    <n v="7"/>
    <n v="0"/>
    <m/>
    <x v="1"/>
    <n v="0.46137426322122427"/>
  </r>
  <r>
    <x v="11"/>
    <x v="0"/>
    <x v="1"/>
    <x v="0"/>
    <x v="3"/>
    <x v="1"/>
    <x v="1"/>
    <x v="1"/>
    <x v="2"/>
    <x v="8"/>
    <n v="1"/>
    <n v="1"/>
    <n v="0"/>
    <m/>
    <x v="1"/>
    <n v="0.11874037378146943"/>
  </r>
  <r>
    <x v="12"/>
    <x v="0"/>
    <x v="0"/>
    <x v="0"/>
    <x v="3"/>
    <x v="1"/>
    <x v="0"/>
    <x v="0"/>
    <x v="2"/>
    <x v="9"/>
    <n v="4"/>
    <n v="5"/>
    <n v="0"/>
    <m/>
    <x v="1"/>
    <n v="1.4540539177142675"/>
  </r>
  <r>
    <x v="16"/>
    <x v="0"/>
    <x v="1"/>
    <x v="1"/>
    <x v="0"/>
    <x v="1"/>
    <x v="0"/>
    <x v="0"/>
    <x v="0"/>
    <x v="7"/>
    <n v="1"/>
    <n v="1"/>
    <n v="0"/>
    <m/>
    <x v="1"/>
    <n v="2.8273531547734397E-2"/>
  </r>
  <r>
    <x v="2"/>
    <x v="0"/>
    <x v="1"/>
    <x v="0"/>
    <x v="2"/>
    <x v="1"/>
    <x v="1"/>
    <x v="1"/>
    <x v="1"/>
    <x v="7"/>
    <n v="1"/>
    <n v="1"/>
    <n v="0"/>
    <m/>
    <x v="1"/>
    <n v="2.8304934375149939E-2"/>
  </r>
  <r>
    <x v="15"/>
    <x v="0"/>
    <x v="1"/>
    <x v="2"/>
    <x v="2"/>
    <x v="0"/>
    <x v="1"/>
    <x v="1"/>
    <x v="2"/>
    <x v="3"/>
    <n v="1"/>
    <n v="1"/>
    <n v="0"/>
    <n v="1"/>
    <x v="0"/>
    <n v="6.2337033552238463E-2"/>
  </r>
  <r>
    <x v="2"/>
    <x v="1"/>
    <x v="0"/>
    <x v="0"/>
    <x v="0"/>
    <x v="0"/>
    <x v="1"/>
    <x v="0"/>
    <x v="1"/>
    <x v="7"/>
    <n v="7"/>
    <n v="9"/>
    <n v="0"/>
    <m/>
    <x v="1"/>
    <n v="0.19336107603421826"/>
  </r>
  <r>
    <x v="16"/>
    <x v="1"/>
    <x v="0"/>
    <x v="0"/>
    <x v="0"/>
    <x v="0"/>
    <x v="0"/>
    <x v="0"/>
    <x v="2"/>
    <x v="9"/>
    <n v="6"/>
    <n v="9"/>
    <n v="0"/>
    <m/>
    <x v="1"/>
    <n v="1.2310960256699703"/>
  </r>
  <r>
    <x v="2"/>
    <x v="1"/>
    <x v="0"/>
    <x v="0"/>
    <x v="0"/>
    <x v="0"/>
    <x v="1"/>
    <x v="1"/>
    <x v="2"/>
    <x v="1"/>
    <n v="5"/>
    <n v="5"/>
    <n v="0"/>
    <m/>
    <x v="1"/>
    <n v="0.34872158302214451"/>
  </r>
  <r>
    <x v="3"/>
    <x v="0"/>
    <x v="0"/>
    <x v="0"/>
    <x v="1"/>
    <x v="1"/>
    <x v="0"/>
    <x v="1"/>
    <x v="1"/>
    <x v="1"/>
    <n v="22"/>
    <n v="30"/>
    <n v="0"/>
    <m/>
    <x v="1"/>
    <n v="2.4687497812868853"/>
  </r>
  <r>
    <x v="14"/>
    <x v="1"/>
    <x v="1"/>
    <x v="0"/>
    <x v="2"/>
    <x v="0"/>
    <x v="0"/>
    <x v="1"/>
    <x v="0"/>
    <x v="1"/>
    <n v="2"/>
    <n v="3"/>
    <n v="0"/>
    <m/>
    <x v="1"/>
    <n v="0.20126001532675697"/>
  </r>
  <r>
    <x v="15"/>
    <x v="1"/>
    <x v="0"/>
    <x v="1"/>
    <x v="0"/>
    <x v="0"/>
    <x v="1"/>
    <x v="0"/>
    <x v="1"/>
    <x v="6"/>
    <n v="6"/>
    <n v="6"/>
    <n v="0"/>
    <n v="6"/>
    <x v="0"/>
    <n v="5.9488738734538769E-2"/>
  </r>
  <r>
    <x v="5"/>
    <x v="0"/>
    <x v="1"/>
    <x v="1"/>
    <x v="1"/>
    <x v="0"/>
    <x v="0"/>
    <x v="1"/>
    <x v="1"/>
    <x v="6"/>
    <n v="2"/>
    <n v="3"/>
    <n v="0"/>
    <n v="2"/>
    <x v="0"/>
    <n v="4.2677194526548452E-2"/>
  </r>
  <r>
    <x v="8"/>
    <x v="0"/>
    <x v="0"/>
    <x v="0"/>
    <x v="0"/>
    <x v="0"/>
    <x v="1"/>
    <x v="0"/>
    <x v="1"/>
    <x v="6"/>
    <n v="6"/>
    <n v="6"/>
    <n v="0"/>
    <m/>
    <x v="1"/>
    <n v="8.5884729479847072E-2"/>
  </r>
  <r>
    <x v="0"/>
    <x v="0"/>
    <x v="1"/>
    <x v="0"/>
    <x v="1"/>
    <x v="0"/>
    <x v="0"/>
    <x v="1"/>
    <x v="0"/>
    <x v="0"/>
    <n v="8"/>
    <n v="9"/>
    <n v="1"/>
    <n v="8"/>
    <x v="0"/>
    <n v="0.4131078077180127"/>
  </r>
  <r>
    <x v="10"/>
    <x v="0"/>
    <x v="0"/>
    <x v="0"/>
    <x v="3"/>
    <x v="1"/>
    <x v="0"/>
    <x v="1"/>
    <x v="1"/>
    <x v="8"/>
    <n v="3"/>
    <n v="3"/>
    <n v="0"/>
    <m/>
    <x v="1"/>
    <n v="0.3216397704159879"/>
  </r>
  <r>
    <x v="10"/>
    <x v="0"/>
    <x v="0"/>
    <x v="2"/>
    <x v="2"/>
    <x v="0"/>
    <x v="0"/>
    <x v="1"/>
    <x v="0"/>
    <x v="1"/>
    <n v="3"/>
    <n v="5"/>
    <n v="0"/>
    <m/>
    <x v="1"/>
    <n v="0.41323265588868885"/>
  </r>
  <r>
    <x v="11"/>
    <x v="0"/>
    <x v="0"/>
    <x v="0"/>
    <x v="0"/>
    <x v="0"/>
    <x v="1"/>
    <x v="0"/>
    <x v="2"/>
    <x v="0"/>
    <n v="2"/>
    <n v="2"/>
    <n v="0"/>
    <m/>
    <x v="1"/>
    <n v="9.4489829543465659E-2"/>
  </r>
  <r>
    <x v="14"/>
    <x v="0"/>
    <x v="0"/>
    <x v="0"/>
    <x v="0"/>
    <x v="1"/>
    <x v="0"/>
    <x v="1"/>
    <x v="0"/>
    <x v="1"/>
    <n v="1"/>
    <n v="2"/>
    <n v="0"/>
    <m/>
    <x v="1"/>
    <n v="0.16825824609222664"/>
  </r>
  <r>
    <x v="19"/>
    <x v="0"/>
    <x v="0"/>
    <x v="1"/>
    <x v="0"/>
    <x v="0"/>
    <x v="0"/>
    <x v="0"/>
    <x v="1"/>
    <x v="6"/>
    <n v="6"/>
    <n v="6"/>
    <n v="0"/>
    <m/>
    <x v="1"/>
    <n v="8.2835701399997935E-2"/>
  </r>
  <r>
    <x v="21"/>
    <x v="1"/>
    <x v="1"/>
    <x v="1"/>
    <x v="0"/>
    <x v="0"/>
    <x v="0"/>
    <x v="0"/>
    <x v="1"/>
    <x v="6"/>
    <n v="1"/>
    <n v="1"/>
    <n v="0"/>
    <m/>
    <x v="1"/>
    <n v="1.4486748808385878E-2"/>
  </r>
  <r>
    <x v="13"/>
    <x v="0"/>
    <x v="0"/>
    <x v="2"/>
    <x v="0"/>
    <x v="0"/>
    <x v="1"/>
    <x v="0"/>
    <x v="0"/>
    <x v="7"/>
    <n v="1"/>
    <n v="1"/>
    <n v="0"/>
    <m/>
    <x v="1"/>
    <n v="2.8227386446598338E-2"/>
  </r>
  <r>
    <x v="9"/>
    <x v="0"/>
    <x v="1"/>
    <x v="0"/>
    <x v="3"/>
    <x v="0"/>
    <x v="0"/>
    <x v="1"/>
    <x v="0"/>
    <x v="3"/>
    <n v="1"/>
    <n v="1"/>
    <n v="0"/>
    <n v="1"/>
    <x v="0"/>
    <n v="6.0528592439100186E-2"/>
  </r>
  <r>
    <x v="11"/>
    <x v="0"/>
    <x v="0"/>
    <x v="0"/>
    <x v="2"/>
    <x v="0"/>
    <x v="1"/>
    <x v="0"/>
    <x v="0"/>
    <x v="4"/>
    <n v="1"/>
    <n v="1"/>
    <n v="0"/>
    <m/>
    <x v="1"/>
    <n v="3.1384565006669626E-2"/>
  </r>
  <r>
    <x v="15"/>
    <x v="0"/>
    <x v="1"/>
    <x v="2"/>
    <x v="0"/>
    <x v="0"/>
    <x v="0"/>
    <x v="0"/>
    <x v="1"/>
    <x v="7"/>
    <n v="5"/>
    <n v="5"/>
    <n v="1"/>
    <n v="5"/>
    <x v="0"/>
    <n v="0.13638921000169593"/>
  </r>
  <r>
    <x v="2"/>
    <x v="0"/>
    <x v="0"/>
    <x v="2"/>
    <x v="2"/>
    <x v="0"/>
    <x v="0"/>
    <x v="1"/>
    <x v="2"/>
    <x v="9"/>
    <n v="3"/>
    <n v="5"/>
    <n v="0"/>
    <m/>
    <x v="1"/>
    <n v="0.84139654347145354"/>
  </r>
  <r>
    <x v="10"/>
    <x v="0"/>
    <x v="1"/>
    <x v="0"/>
    <x v="1"/>
    <x v="0"/>
    <x v="0"/>
    <x v="1"/>
    <x v="0"/>
    <x v="0"/>
    <n v="7"/>
    <n v="11"/>
    <n v="0"/>
    <m/>
    <x v="1"/>
    <n v="0.50490954276646005"/>
  </r>
  <r>
    <x v="1"/>
    <x v="0"/>
    <x v="0"/>
    <x v="2"/>
    <x v="0"/>
    <x v="0"/>
    <x v="0"/>
    <x v="0"/>
    <x v="2"/>
    <x v="8"/>
    <n v="5"/>
    <n v="6"/>
    <n v="0"/>
    <n v="4"/>
    <x v="0"/>
    <n v="0.72702993722177311"/>
  </r>
  <r>
    <x v="5"/>
    <x v="1"/>
    <x v="0"/>
    <x v="2"/>
    <x v="2"/>
    <x v="0"/>
    <x v="1"/>
    <x v="1"/>
    <x v="0"/>
    <x v="3"/>
    <n v="2"/>
    <n v="2"/>
    <n v="0"/>
    <n v="2"/>
    <x v="0"/>
    <n v="0.12108807040598503"/>
  </r>
  <r>
    <x v="19"/>
    <x v="0"/>
    <x v="0"/>
    <x v="1"/>
    <x v="0"/>
    <x v="0"/>
    <x v="0"/>
    <x v="1"/>
    <x v="1"/>
    <x v="6"/>
    <n v="4"/>
    <n v="4"/>
    <n v="0"/>
    <m/>
    <x v="1"/>
    <n v="5.5223800933331964E-2"/>
  </r>
  <r>
    <x v="5"/>
    <x v="1"/>
    <x v="0"/>
    <x v="1"/>
    <x v="2"/>
    <x v="1"/>
    <x v="0"/>
    <x v="1"/>
    <x v="1"/>
    <x v="0"/>
    <n v="1"/>
    <n v="1"/>
    <n v="0"/>
    <n v="1"/>
    <x v="0"/>
    <n v="5.7610445646867868E-2"/>
  </r>
  <r>
    <x v="17"/>
    <x v="0"/>
    <x v="1"/>
    <x v="1"/>
    <x v="0"/>
    <x v="0"/>
    <x v="1"/>
    <x v="1"/>
    <x v="1"/>
    <x v="6"/>
    <n v="3"/>
    <n v="3"/>
    <n v="0"/>
    <n v="3"/>
    <x v="0"/>
    <n v="1.3736566616060271E-2"/>
  </r>
  <r>
    <x v="7"/>
    <x v="0"/>
    <x v="1"/>
    <x v="0"/>
    <x v="2"/>
    <x v="0"/>
    <x v="0"/>
    <x v="1"/>
    <x v="1"/>
    <x v="7"/>
    <n v="2"/>
    <n v="3"/>
    <n v="0"/>
    <m/>
    <x v="1"/>
    <n v="9.0996392519581665E-2"/>
  </r>
  <r>
    <x v="2"/>
    <x v="0"/>
    <x v="0"/>
    <x v="2"/>
    <x v="3"/>
    <x v="0"/>
    <x v="0"/>
    <x v="1"/>
    <x v="2"/>
    <x v="9"/>
    <n v="1"/>
    <n v="1"/>
    <n v="0"/>
    <m/>
    <x v="1"/>
    <n v="0.21511628420770765"/>
  </r>
  <r>
    <x v="9"/>
    <x v="0"/>
    <x v="0"/>
    <x v="0"/>
    <x v="2"/>
    <x v="0"/>
    <x v="0"/>
    <x v="0"/>
    <x v="0"/>
    <x v="3"/>
    <n v="8"/>
    <n v="10"/>
    <n v="0"/>
    <n v="8"/>
    <x v="0"/>
    <n v="0.64094727704312648"/>
  </r>
  <r>
    <x v="12"/>
    <x v="0"/>
    <x v="0"/>
    <x v="1"/>
    <x v="0"/>
    <x v="0"/>
    <x v="1"/>
    <x v="1"/>
    <x v="1"/>
    <x v="6"/>
    <n v="2"/>
    <n v="3"/>
    <n v="0"/>
    <m/>
    <x v="1"/>
    <n v="1.9739333835198093E-2"/>
  </r>
  <r>
    <x v="5"/>
    <x v="1"/>
    <x v="0"/>
    <x v="0"/>
    <x v="0"/>
    <x v="0"/>
    <x v="1"/>
    <x v="1"/>
    <x v="1"/>
    <x v="7"/>
    <n v="13"/>
    <n v="13"/>
    <n v="0"/>
    <n v="9"/>
    <x v="0"/>
    <n v="0.27929933204942631"/>
  </r>
  <r>
    <x v="14"/>
    <x v="0"/>
    <x v="1"/>
    <x v="1"/>
    <x v="2"/>
    <x v="0"/>
    <x v="0"/>
    <x v="1"/>
    <x v="2"/>
    <x v="0"/>
    <n v="1"/>
    <n v="1"/>
    <n v="0"/>
    <m/>
    <x v="1"/>
    <n v="4.6453811307868083E-2"/>
  </r>
  <r>
    <x v="7"/>
    <x v="1"/>
    <x v="0"/>
    <x v="1"/>
    <x v="0"/>
    <x v="0"/>
    <x v="0"/>
    <x v="1"/>
    <x v="1"/>
    <x v="5"/>
    <n v="2"/>
    <n v="2"/>
    <n v="0"/>
    <m/>
    <x v="1"/>
    <n v="4.1454369734826219E-2"/>
  </r>
  <r>
    <x v="4"/>
    <x v="1"/>
    <x v="0"/>
    <x v="1"/>
    <x v="1"/>
    <x v="0"/>
    <x v="0"/>
    <x v="1"/>
    <x v="1"/>
    <x v="4"/>
    <n v="4"/>
    <n v="4"/>
    <n v="0"/>
    <m/>
    <x v="1"/>
    <n v="0.12183831901464526"/>
  </r>
  <r>
    <x v="7"/>
    <x v="1"/>
    <x v="0"/>
    <x v="2"/>
    <x v="2"/>
    <x v="1"/>
    <x v="0"/>
    <x v="1"/>
    <x v="1"/>
    <x v="9"/>
    <n v="1"/>
    <n v="2"/>
    <n v="0"/>
    <m/>
    <x v="1"/>
    <n v="0.29979095700764463"/>
  </r>
  <r>
    <x v="17"/>
    <x v="0"/>
    <x v="0"/>
    <x v="2"/>
    <x v="3"/>
    <x v="1"/>
    <x v="0"/>
    <x v="1"/>
    <x v="1"/>
    <x v="9"/>
    <n v="1"/>
    <n v="1"/>
    <n v="0"/>
    <n v="1"/>
    <x v="0"/>
    <n v="0.13642618392543343"/>
  </r>
  <r>
    <x v="13"/>
    <x v="1"/>
    <x v="0"/>
    <x v="0"/>
    <x v="0"/>
    <x v="0"/>
    <x v="1"/>
    <x v="0"/>
    <x v="1"/>
    <x v="7"/>
    <n v="3"/>
    <n v="4"/>
    <n v="0"/>
    <m/>
    <x v="1"/>
    <n v="8.5938256015208103E-2"/>
  </r>
  <r>
    <x v="2"/>
    <x v="1"/>
    <x v="0"/>
    <x v="2"/>
    <x v="0"/>
    <x v="0"/>
    <x v="1"/>
    <x v="0"/>
    <x v="1"/>
    <x v="7"/>
    <n v="1"/>
    <n v="1"/>
    <n v="0"/>
    <m/>
    <x v="1"/>
    <n v="2.8073075056070349E-2"/>
  </r>
  <r>
    <x v="13"/>
    <x v="0"/>
    <x v="0"/>
    <x v="2"/>
    <x v="1"/>
    <x v="1"/>
    <x v="0"/>
    <x v="1"/>
    <x v="1"/>
    <x v="8"/>
    <n v="1"/>
    <n v="1"/>
    <n v="0"/>
    <m/>
    <x v="1"/>
    <n v="0.10551663196804721"/>
  </r>
  <r>
    <x v="22"/>
    <x v="1"/>
    <x v="1"/>
    <x v="0"/>
    <x v="0"/>
    <x v="1"/>
    <x v="1"/>
    <x v="1"/>
    <x v="1"/>
    <x v="7"/>
    <n v="1"/>
    <n v="1"/>
    <n v="0"/>
    <n v="1"/>
    <x v="0"/>
    <n v="2.9138416298841268E-2"/>
  </r>
  <r>
    <x v="13"/>
    <x v="1"/>
    <x v="0"/>
    <x v="2"/>
    <x v="0"/>
    <x v="0"/>
    <x v="0"/>
    <x v="0"/>
    <x v="2"/>
    <x v="9"/>
    <n v="1"/>
    <n v="1"/>
    <n v="0"/>
    <m/>
    <x v="1"/>
    <n v="0.17250282287365376"/>
  </r>
  <r>
    <x v="20"/>
    <x v="1"/>
    <x v="0"/>
    <x v="2"/>
    <x v="2"/>
    <x v="1"/>
    <x v="0"/>
    <x v="1"/>
    <x v="1"/>
    <x v="9"/>
    <n v="2"/>
    <n v="2"/>
    <n v="0"/>
    <n v="2"/>
    <x v="0"/>
    <n v="0.29979095700764463"/>
  </r>
  <r>
    <x v="15"/>
    <x v="0"/>
    <x v="0"/>
    <x v="0"/>
    <x v="3"/>
    <x v="1"/>
    <x v="0"/>
    <x v="1"/>
    <x v="0"/>
    <x v="9"/>
    <n v="3"/>
    <n v="5"/>
    <n v="1"/>
    <n v="2"/>
    <x v="0"/>
    <n v="0.77200115863017826"/>
  </r>
  <r>
    <x v="17"/>
    <x v="0"/>
    <x v="1"/>
    <x v="0"/>
    <x v="3"/>
    <x v="1"/>
    <x v="0"/>
    <x v="1"/>
    <x v="2"/>
    <x v="9"/>
    <n v="1"/>
    <n v="2"/>
    <n v="0"/>
    <n v="1"/>
    <x v="0"/>
    <n v="0.44332178255110904"/>
  </r>
  <r>
    <x v="16"/>
    <x v="1"/>
    <x v="0"/>
    <x v="0"/>
    <x v="0"/>
    <x v="0"/>
    <x v="1"/>
    <x v="0"/>
    <x v="1"/>
    <x v="7"/>
    <n v="7"/>
    <n v="8"/>
    <n v="0"/>
    <m/>
    <x v="1"/>
    <n v="0.17187651203041621"/>
  </r>
  <r>
    <x v="1"/>
    <x v="1"/>
    <x v="0"/>
    <x v="2"/>
    <x v="0"/>
    <x v="0"/>
    <x v="1"/>
    <x v="0"/>
    <x v="1"/>
    <x v="7"/>
    <n v="5"/>
    <n v="7"/>
    <n v="0"/>
    <n v="4"/>
    <x v="0"/>
    <n v="0.19651152539249242"/>
  </r>
  <r>
    <x v="11"/>
    <x v="1"/>
    <x v="0"/>
    <x v="1"/>
    <x v="0"/>
    <x v="0"/>
    <x v="0"/>
    <x v="0"/>
    <x v="1"/>
    <x v="5"/>
    <n v="2"/>
    <n v="4"/>
    <n v="0"/>
    <m/>
    <x v="1"/>
    <n v="8.2908739469652437E-2"/>
  </r>
  <r>
    <x v="17"/>
    <x v="1"/>
    <x v="0"/>
    <x v="2"/>
    <x v="2"/>
    <x v="0"/>
    <x v="0"/>
    <x v="0"/>
    <x v="1"/>
    <x v="1"/>
    <n v="2"/>
    <n v="3"/>
    <n v="0"/>
    <n v="2"/>
    <x v="0"/>
    <n v="0.24665968708787422"/>
  </r>
  <r>
    <x v="22"/>
    <x v="0"/>
    <x v="0"/>
    <x v="0"/>
    <x v="3"/>
    <x v="0"/>
    <x v="0"/>
    <x v="1"/>
    <x v="1"/>
    <x v="0"/>
    <n v="2"/>
    <n v="2"/>
    <n v="0"/>
    <n v="2"/>
    <x v="0"/>
    <n v="0.11500907125202124"/>
  </r>
  <r>
    <x v="12"/>
    <x v="1"/>
    <x v="1"/>
    <x v="2"/>
    <x v="2"/>
    <x v="0"/>
    <x v="0"/>
    <x v="0"/>
    <x v="0"/>
    <x v="8"/>
    <n v="1"/>
    <n v="1"/>
    <n v="0"/>
    <m/>
    <x v="1"/>
    <n v="8.6424504948779526E-2"/>
  </r>
  <r>
    <x v="11"/>
    <x v="0"/>
    <x v="1"/>
    <x v="0"/>
    <x v="2"/>
    <x v="1"/>
    <x v="0"/>
    <x v="0"/>
    <x v="1"/>
    <x v="0"/>
    <n v="2"/>
    <n v="4"/>
    <n v="0"/>
    <m/>
    <x v="1"/>
    <n v="0.23199031270691034"/>
  </r>
  <r>
    <x v="21"/>
    <x v="1"/>
    <x v="0"/>
    <x v="2"/>
    <x v="2"/>
    <x v="0"/>
    <x v="0"/>
    <x v="1"/>
    <x v="1"/>
    <x v="1"/>
    <n v="2"/>
    <n v="3"/>
    <n v="0"/>
    <m/>
    <x v="1"/>
    <n v="0.24665968708787422"/>
  </r>
  <r>
    <x v="13"/>
    <x v="0"/>
    <x v="0"/>
    <x v="0"/>
    <x v="2"/>
    <x v="0"/>
    <x v="0"/>
    <x v="1"/>
    <x v="2"/>
    <x v="9"/>
    <n v="2"/>
    <n v="3"/>
    <n v="0"/>
    <m/>
    <x v="1"/>
    <n v="0.39989549167710842"/>
  </r>
  <r>
    <x v="16"/>
    <x v="0"/>
    <x v="1"/>
    <x v="0"/>
    <x v="0"/>
    <x v="0"/>
    <x v="1"/>
    <x v="1"/>
    <x v="0"/>
    <x v="5"/>
    <n v="1"/>
    <n v="1"/>
    <n v="0"/>
    <m/>
    <x v="1"/>
    <n v="1.5103271786810353E-2"/>
  </r>
  <r>
    <x v="12"/>
    <x v="1"/>
    <x v="1"/>
    <x v="0"/>
    <x v="0"/>
    <x v="0"/>
    <x v="0"/>
    <x v="1"/>
    <x v="1"/>
    <x v="4"/>
    <n v="11"/>
    <n v="11"/>
    <n v="0"/>
    <m/>
    <x v="1"/>
    <n v="0.34345727365653062"/>
  </r>
  <r>
    <x v="21"/>
    <x v="0"/>
    <x v="0"/>
    <x v="2"/>
    <x v="0"/>
    <x v="0"/>
    <x v="1"/>
    <x v="0"/>
    <x v="1"/>
    <x v="5"/>
    <n v="1"/>
    <n v="1"/>
    <n v="0"/>
    <m/>
    <x v="1"/>
    <n v="1.874585193217462E-2"/>
  </r>
  <r>
    <x v="8"/>
    <x v="0"/>
    <x v="0"/>
    <x v="1"/>
    <x v="2"/>
    <x v="0"/>
    <x v="0"/>
    <x v="1"/>
    <x v="1"/>
    <x v="5"/>
    <n v="1"/>
    <n v="1"/>
    <n v="0"/>
    <m/>
    <x v="1"/>
    <n v="2.0129311329445246E-2"/>
  </r>
  <r>
    <x v="16"/>
    <x v="1"/>
    <x v="1"/>
    <x v="1"/>
    <x v="1"/>
    <x v="0"/>
    <x v="0"/>
    <x v="1"/>
    <x v="1"/>
    <x v="5"/>
    <n v="2"/>
    <n v="2"/>
    <n v="0"/>
    <m/>
    <x v="1"/>
    <n v="4.270571089939363E-2"/>
  </r>
  <r>
    <x v="12"/>
    <x v="0"/>
    <x v="1"/>
    <x v="1"/>
    <x v="1"/>
    <x v="0"/>
    <x v="0"/>
    <x v="1"/>
    <x v="0"/>
    <x v="5"/>
    <n v="3"/>
    <n v="3"/>
    <n v="0"/>
    <m/>
    <x v="1"/>
    <n v="6.4413130023151369E-2"/>
  </r>
  <r>
    <x v="14"/>
    <x v="0"/>
    <x v="0"/>
    <x v="0"/>
    <x v="3"/>
    <x v="1"/>
    <x v="0"/>
    <x v="0"/>
    <x v="1"/>
    <x v="8"/>
    <n v="1"/>
    <n v="2"/>
    <n v="0"/>
    <m/>
    <x v="1"/>
    <n v="0.21442651361065859"/>
  </r>
  <r>
    <x v="5"/>
    <x v="0"/>
    <x v="0"/>
    <x v="0"/>
    <x v="0"/>
    <x v="0"/>
    <x v="1"/>
    <x v="1"/>
    <x v="0"/>
    <x v="7"/>
    <n v="4"/>
    <n v="5"/>
    <n v="0"/>
    <n v="4"/>
    <x v="0"/>
    <n v="0.10801732404158602"/>
  </r>
  <r>
    <x v="18"/>
    <x v="0"/>
    <x v="1"/>
    <x v="0"/>
    <x v="2"/>
    <x v="1"/>
    <x v="0"/>
    <x v="1"/>
    <x v="1"/>
    <x v="0"/>
    <n v="1"/>
    <n v="2"/>
    <n v="0"/>
    <m/>
    <x v="1"/>
    <n v="0.11599515635345517"/>
  </r>
  <r>
    <x v="2"/>
    <x v="1"/>
    <x v="0"/>
    <x v="0"/>
    <x v="2"/>
    <x v="0"/>
    <x v="1"/>
    <x v="1"/>
    <x v="1"/>
    <x v="4"/>
    <n v="1"/>
    <n v="1"/>
    <n v="0"/>
    <m/>
    <x v="1"/>
    <n v="3.1213548562346576E-2"/>
  </r>
  <r>
    <x v="3"/>
    <x v="1"/>
    <x v="0"/>
    <x v="0"/>
    <x v="3"/>
    <x v="0"/>
    <x v="1"/>
    <x v="1"/>
    <x v="0"/>
    <x v="3"/>
    <n v="1"/>
    <n v="1"/>
    <n v="0"/>
    <m/>
    <x v="1"/>
    <n v="6.2231171033494175E-2"/>
  </r>
  <r>
    <x v="10"/>
    <x v="1"/>
    <x v="1"/>
    <x v="0"/>
    <x v="0"/>
    <x v="0"/>
    <x v="0"/>
    <x v="0"/>
    <x v="0"/>
    <x v="0"/>
    <n v="4"/>
    <n v="4"/>
    <n v="0"/>
    <m/>
    <x v="1"/>
    <n v="0.18686210437130313"/>
  </r>
  <r>
    <x v="18"/>
    <x v="0"/>
    <x v="1"/>
    <x v="1"/>
    <x v="0"/>
    <x v="0"/>
    <x v="1"/>
    <x v="0"/>
    <x v="1"/>
    <x v="6"/>
    <n v="2"/>
    <n v="2"/>
    <n v="0"/>
    <m/>
    <x v="1"/>
    <n v="9.1577110773735128E-3"/>
  </r>
  <r>
    <x v="12"/>
    <x v="1"/>
    <x v="1"/>
    <x v="0"/>
    <x v="0"/>
    <x v="1"/>
    <x v="1"/>
    <x v="0"/>
    <x v="1"/>
    <x v="7"/>
    <n v="1"/>
    <n v="1"/>
    <n v="0"/>
    <m/>
    <x v="1"/>
    <n v="2.9138416298841268E-2"/>
  </r>
  <r>
    <x v="3"/>
    <x v="0"/>
    <x v="1"/>
    <x v="0"/>
    <x v="0"/>
    <x v="0"/>
    <x v="1"/>
    <x v="0"/>
    <x v="1"/>
    <x v="6"/>
    <n v="3"/>
    <n v="3"/>
    <n v="0"/>
    <m/>
    <x v="1"/>
    <n v="2.9954434046201708E-2"/>
  </r>
  <r>
    <x v="16"/>
    <x v="1"/>
    <x v="0"/>
    <x v="2"/>
    <x v="3"/>
    <x v="0"/>
    <x v="0"/>
    <x v="1"/>
    <x v="0"/>
    <x v="9"/>
    <n v="1"/>
    <n v="1"/>
    <n v="0"/>
    <m/>
    <x v="1"/>
    <n v="0.15577373535327643"/>
  </r>
  <r>
    <x v="16"/>
    <x v="0"/>
    <x v="0"/>
    <x v="2"/>
    <x v="2"/>
    <x v="1"/>
    <x v="1"/>
    <x v="1"/>
    <x v="1"/>
    <x v="0"/>
    <n v="1"/>
    <n v="2"/>
    <n v="0"/>
    <m/>
    <x v="1"/>
    <n v="0.10458334262896614"/>
  </r>
  <r>
    <x v="5"/>
    <x v="1"/>
    <x v="1"/>
    <x v="1"/>
    <x v="0"/>
    <x v="0"/>
    <x v="0"/>
    <x v="0"/>
    <x v="1"/>
    <x v="6"/>
    <n v="2"/>
    <n v="3"/>
    <n v="0"/>
    <n v="2"/>
    <x v="0"/>
    <n v="4.3460246425157632E-2"/>
  </r>
  <r>
    <x v="11"/>
    <x v="0"/>
    <x v="0"/>
    <x v="0"/>
    <x v="2"/>
    <x v="0"/>
    <x v="0"/>
    <x v="1"/>
    <x v="2"/>
    <x v="9"/>
    <n v="5"/>
    <n v="8"/>
    <n v="0"/>
    <m/>
    <x v="1"/>
    <n v="1.0663879778056222"/>
  </r>
  <r>
    <x v="22"/>
    <x v="1"/>
    <x v="1"/>
    <x v="2"/>
    <x v="1"/>
    <x v="0"/>
    <x v="0"/>
    <x v="1"/>
    <x v="2"/>
    <x v="9"/>
    <n v="3"/>
    <n v="3"/>
    <n v="1"/>
    <n v="3"/>
    <x v="0"/>
    <n v="0.53064735639543148"/>
  </r>
  <r>
    <x v="12"/>
    <x v="0"/>
    <x v="0"/>
    <x v="1"/>
    <x v="0"/>
    <x v="1"/>
    <x v="1"/>
    <x v="0"/>
    <x v="1"/>
    <x v="6"/>
    <n v="1"/>
    <n v="1"/>
    <n v="0"/>
    <m/>
    <x v="1"/>
    <n v="1.2868595029812536E-2"/>
  </r>
  <r>
    <x v="2"/>
    <x v="0"/>
    <x v="0"/>
    <x v="0"/>
    <x v="1"/>
    <x v="1"/>
    <x v="0"/>
    <x v="1"/>
    <x v="2"/>
    <x v="9"/>
    <n v="5"/>
    <n v="20"/>
    <n v="0"/>
    <m/>
    <x v="1"/>
    <n v="4.6883560822143666"/>
  </r>
  <r>
    <x v="20"/>
    <x v="0"/>
    <x v="0"/>
    <x v="0"/>
    <x v="3"/>
    <x v="1"/>
    <x v="1"/>
    <x v="1"/>
    <x v="1"/>
    <x v="0"/>
    <n v="2"/>
    <n v="2"/>
    <n v="0"/>
    <n v="2"/>
    <x v="0"/>
    <n v="0.10752400926505153"/>
  </r>
  <r>
    <x v="17"/>
    <x v="1"/>
    <x v="0"/>
    <x v="1"/>
    <x v="0"/>
    <x v="0"/>
    <x v="0"/>
    <x v="0"/>
    <x v="0"/>
    <x v="4"/>
    <n v="1"/>
    <n v="1"/>
    <n v="0"/>
    <n v="1"/>
    <x v="0"/>
    <n v="3.1179022325415869E-2"/>
  </r>
  <r>
    <x v="20"/>
    <x v="0"/>
    <x v="1"/>
    <x v="2"/>
    <x v="1"/>
    <x v="1"/>
    <x v="0"/>
    <x v="1"/>
    <x v="2"/>
    <x v="9"/>
    <n v="1"/>
    <n v="1"/>
    <n v="0"/>
    <n v="1"/>
    <x v="0"/>
    <n v="0.21859660432790401"/>
  </r>
  <r>
    <x v="19"/>
    <x v="1"/>
    <x v="0"/>
    <x v="1"/>
    <x v="0"/>
    <x v="0"/>
    <x v="1"/>
    <x v="1"/>
    <x v="0"/>
    <x v="5"/>
    <n v="3"/>
    <n v="3"/>
    <n v="0"/>
    <m/>
    <x v="1"/>
    <n v="4.499369767593267E-2"/>
  </r>
  <r>
    <x v="22"/>
    <x v="1"/>
    <x v="1"/>
    <x v="0"/>
    <x v="1"/>
    <x v="1"/>
    <x v="0"/>
    <x v="1"/>
    <x v="1"/>
    <x v="8"/>
    <n v="3"/>
    <n v="3"/>
    <n v="0"/>
    <n v="3"/>
    <x v="0"/>
    <n v="0.25816479855097008"/>
  </r>
  <r>
    <x v="16"/>
    <x v="1"/>
    <x v="0"/>
    <x v="0"/>
    <x v="2"/>
    <x v="1"/>
    <x v="0"/>
    <x v="0"/>
    <x v="1"/>
    <x v="8"/>
    <n v="4"/>
    <n v="7"/>
    <n v="0"/>
    <m/>
    <x v="1"/>
    <n v="0.82735181141198599"/>
  </r>
  <r>
    <x v="8"/>
    <x v="1"/>
    <x v="0"/>
    <x v="0"/>
    <x v="0"/>
    <x v="0"/>
    <x v="1"/>
    <x v="0"/>
    <x v="2"/>
    <x v="1"/>
    <n v="2"/>
    <n v="3"/>
    <n v="0"/>
    <m/>
    <x v="1"/>
    <n v="0.20923294981328672"/>
  </r>
  <r>
    <x v="16"/>
    <x v="1"/>
    <x v="1"/>
    <x v="0"/>
    <x v="1"/>
    <x v="0"/>
    <x v="0"/>
    <x v="1"/>
    <x v="0"/>
    <x v="1"/>
    <n v="6"/>
    <n v="7"/>
    <n v="1"/>
    <m/>
    <x v="1"/>
    <n v="0.47464023493924051"/>
  </r>
  <r>
    <x v="19"/>
    <x v="1"/>
    <x v="0"/>
    <x v="0"/>
    <x v="3"/>
    <x v="0"/>
    <x v="1"/>
    <x v="1"/>
    <x v="2"/>
    <x v="9"/>
    <n v="1"/>
    <n v="2"/>
    <n v="0"/>
    <m/>
    <x v="1"/>
    <n v="0.25940336775922235"/>
  </r>
  <r>
    <x v="1"/>
    <x v="0"/>
    <x v="0"/>
    <x v="0"/>
    <x v="3"/>
    <x v="1"/>
    <x v="0"/>
    <x v="1"/>
    <x v="1"/>
    <x v="8"/>
    <n v="4"/>
    <n v="4"/>
    <n v="0"/>
    <n v="4"/>
    <x v="0"/>
    <n v="0.42885302722131718"/>
  </r>
  <r>
    <x v="5"/>
    <x v="0"/>
    <x v="0"/>
    <x v="2"/>
    <x v="2"/>
    <x v="0"/>
    <x v="0"/>
    <x v="1"/>
    <x v="2"/>
    <x v="9"/>
    <n v="2"/>
    <n v="2"/>
    <n v="1"/>
    <n v="2"/>
    <x v="0"/>
    <n v="0.33655861738858139"/>
  </r>
  <r>
    <x v="5"/>
    <x v="1"/>
    <x v="1"/>
    <x v="0"/>
    <x v="0"/>
    <x v="0"/>
    <x v="0"/>
    <x v="0"/>
    <x v="2"/>
    <x v="8"/>
    <n v="1"/>
    <n v="4"/>
    <n v="0"/>
    <n v="1"/>
    <x v="0"/>
    <n v="0.39657020369244811"/>
  </r>
  <r>
    <x v="21"/>
    <x v="0"/>
    <x v="1"/>
    <x v="2"/>
    <x v="1"/>
    <x v="0"/>
    <x v="0"/>
    <x v="1"/>
    <x v="1"/>
    <x v="4"/>
    <n v="5"/>
    <n v="8"/>
    <n v="0"/>
    <m/>
    <x v="1"/>
    <n v="0.31968453298545912"/>
  </r>
  <r>
    <x v="21"/>
    <x v="1"/>
    <x v="0"/>
    <x v="2"/>
    <x v="0"/>
    <x v="0"/>
    <x v="0"/>
    <x v="1"/>
    <x v="1"/>
    <x v="0"/>
    <n v="9"/>
    <n v="15"/>
    <n v="0"/>
    <m/>
    <x v="1"/>
    <n v="0.86305341458677109"/>
  </r>
  <r>
    <x v="16"/>
    <x v="0"/>
    <x v="0"/>
    <x v="0"/>
    <x v="2"/>
    <x v="1"/>
    <x v="0"/>
    <x v="0"/>
    <x v="1"/>
    <x v="1"/>
    <n v="4"/>
    <n v="5"/>
    <n v="0"/>
    <m/>
    <x v="1"/>
    <n v="0.40716190402417746"/>
  </r>
  <r>
    <x v="17"/>
    <x v="1"/>
    <x v="1"/>
    <x v="0"/>
    <x v="1"/>
    <x v="1"/>
    <x v="0"/>
    <x v="1"/>
    <x v="2"/>
    <x v="9"/>
    <n v="2"/>
    <n v="2"/>
    <n v="1"/>
    <n v="2"/>
    <x v="0"/>
    <n v="0.48658722264038706"/>
  </r>
  <r>
    <x v="8"/>
    <x v="1"/>
    <x v="1"/>
    <x v="1"/>
    <x v="0"/>
    <x v="0"/>
    <x v="1"/>
    <x v="0"/>
    <x v="0"/>
    <x v="6"/>
    <n v="1"/>
    <n v="2"/>
    <n v="0"/>
    <m/>
    <x v="1"/>
    <n v="2.0927951428906594E-2"/>
  </r>
  <r>
    <x v="15"/>
    <x v="0"/>
    <x v="1"/>
    <x v="0"/>
    <x v="0"/>
    <x v="0"/>
    <x v="1"/>
    <x v="1"/>
    <x v="0"/>
    <x v="5"/>
    <n v="1"/>
    <n v="3"/>
    <n v="0"/>
    <n v="1"/>
    <x v="0"/>
    <n v="4.5309815360431056E-2"/>
  </r>
  <r>
    <x v="22"/>
    <x v="1"/>
    <x v="1"/>
    <x v="0"/>
    <x v="0"/>
    <x v="1"/>
    <x v="0"/>
    <x v="1"/>
    <x v="1"/>
    <x v="3"/>
    <n v="1"/>
    <n v="1"/>
    <n v="0"/>
    <n v="1"/>
    <x v="0"/>
    <n v="5.9651729761640827E-2"/>
  </r>
  <r>
    <x v="7"/>
    <x v="0"/>
    <x v="1"/>
    <x v="0"/>
    <x v="0"/>
    <x v="0"/>
    <x v="1"/>
    <x v="1"/>
    <x v="2"/>
    <x v="4"/>
    <n v="1"/>
    <n v="1"/>
    <n v="0"/>
    <m/>
    <x v="1"/>
    <n v="3.3292078574409821E-2"/>
  </r>
  <r>
    <x v="16"/>
    <x v="1"/>
    <x v="0"/>
    <x v="0"/>
    <x v="2"/>
    <x v="0"/>
    <x v="0"/>
    <x v="1"/>
    <x v="1"/>
    <x v="3"/>
    <n v="4"/>
    <n v="6"/>
    <n v="0"/>
    <m/>
    <x v="1"/>
    <n v="0.38254322297618609"/>
  </r>
  <r>
    <x v="14"/>
    <x v="0"/>
    <x v="0"/>
    <x v="0"/>
    <x v="3"/>
    <x v="0"/>
    <x v="0"/>
    <x v="1"/>
    <x v="2"/>
    <x v="9"/>
    <n v="3"/>
    <n v="5"/>
    <n v="0"/>
    <m/>
    <x v="1"/>
    <n v="0.86208818013463151"/>
  </r>
  <r>
    <x v="2"/>
    <x v="0"/>
    <x v="0"/>
    <x v="2"/>
    <x v="0"/>
    <x v="0"/>
    <x v="0"/>
    <x v="1"/>
    <x v="0"/>
    <x v="0"/>
    <n v="2"/>
    <n v="2"/>
    <n v="0"/>
    <m/>
    <x v="1"/>
    <n v="0.11568704600419652"/>
  </r>
  <r>
    <x v="12"/>
    <x v="0"/>
    <x v="1"/>
    <x v="0"/>
    <x v="0"/>
    <x v="1"/>
    <x v="0"/>
    <x v="0"/>
    <x v="1"/>
    <x v="4"/>
    <n v="6"/>
    <n v="6"/>
    <n v="0"/>
    <m/>
    <x v="1"/>
    <n v="0.24160347806301802"/>
  </r>
  <r>
    <x v="8"/>
    <x v="0"/>
    <x v="1"/>
    <x v="2"/>
    <x v="0"/>
    <x v="0"/>
    <x v="1"/>
    <x v="0"/>
    <x v="2"/>
    <x v="2"/>
    <n v="1"/>
    <n v="1"/>
    <n v="0"/>
    <m/>
    <x v="1"/>
    <n v="4.3341131498994233E-2"/>
  </r>
  <r>
    <x v="16"/>
    <x v="1"/>
    <x v="0"/>
    <x v="0"/>
    <x v="2"/>
    <x v="1"/>
    <x v="1"/>
    <x v="0"/>
    <x v="0"/>
    <x v="8"/>
    <n v="1"/>
    <n v="1"/>
    <n v="0"/>
    <m/>
    <x v="1"/>
    <n v="8.7942271111143028E-2"/>
  </r>
  <r>
    <x v="17"/>
    <x v="1"/>
    <x v="1"/>
    <x v="2"/>
    <x v="0"/>
    <x v="0"/>
    <x v="0"/>
    <x v="0"/>
    <x v="1"/>
    <x v="4"/>
    <n v="5"/>
    <n v="5"/>
    <n v="0"/>
    <n v="5"/>
    <x v="0"/>
    <n v="0.20337145013265859"/>
  </r>
  <r>
    <x v="7"/>
    <x v="1"/>
    <x v="0"/>
    <x v="2"/>
    <x v="0"/>
    <x v="0"/>
    <x v="1"/>
    <x v="0"/>
    <x v="0"/>
    <x v="2"/>
    <n v="2"/>
    <n v="2"/>
    <n v="0"/>
    <m/>
    <x v="1"/>
    <n v="8.4139994907092092E-2"/>
  </r>
  <r>
    <x v="6"/>
    <x v="1"/>
    <x v="0"/>
    <x v="0"/>
    <x v="3"/>
    <x v="1"/>
    <x v="0"/>
    <x v="1"/>
    <x v="0"/>
    <x v="9"/>
    <n v="1"/>
    <n v="1"/>
    <n v="0"/>
    <m/>
    <x v="1"/>
    <n v="0.21634259353047053"/>
  </r>
  <r>
    <x v="12"/>
    <x v="1"/>
    <x v="1"/>
    <x v="2"/>
    <x v="3"/>
    <x v="0"/>
    <x v="0"/>
    <x v="1"/>
    <x v="2"/>
    <x v="9"/>
    <n v="1"/>
    <n v="1"/>
    <n v="0"/>
    <m/>
    <x v="1"/>
    <n v="0.22347460084418283"/>
  </r>
  <r>
    <x v="12"/>
    <x v="0"/>
    <x v="0"/>
    <x v="0"/>
    <x v="3"/>
    <x v="1"/>
    <x v="0"/>
    <x v="1"/>
    <x v="1"/>
    <x v="8"/>
    <n v="4"/>
    <n v="4"/>
    <n v="0"/>
    <m/>
    <x v="1"/>
    <n v="0.42885302722131718"/>
  </r>
  <r>
    <x v="8"/>
    <x v="0"/>
    <x v="0"/>
    <x v="0"/>
    <x v="1"/>
    <x v="1"/>
    <x v="0"/>
    <x v="1"/>
    <x v="0"/>
    <x v="8"/>
    <n v="5"/>
    <n v="6"/>
    <n v="0"/>
    <m/>
    <x v="1"/>
    <n v="0.71990503529290673"/>
  </r>
  <r>
    <x v="2"/>
    <x v="1"/>
    <x v="0"/>
    <x v="2"/>
    <x v="2"/>
    <x v="0"/>
    <x v="1"/>
    <x v="1"/>
    <x v="1"/>
    <x v="4"/>
    <n v="1"/>
    <n v="1"/>
    <n v="0"/>
    <m/>
    <x v="1"/>
    <n v="4.066159666363986E-2"/>
  </r>
  <r>
    <x v="2"/>
    <x v="1"/>
    <x v="0"/>
    <x v="1"/>
    <x v="0"/>
    <x v="1"/>
    <x v="0"/>
    <x v="0"/>
    <x v="1"/>
    <x v="4"/>
    <n v="1"/>
    <n v="1"/>
    <n v="0"/>
    <m/>
    <x v="1"/>
    <n v="3.9993438758136914E-2"/>
  </r>
  <r>
    <x v="21"/>
    <x v="0"/>
    <x v="1"/>
    <x v="0"/>
    <x v="0"/>
    <x v="1"/>
    <x v="1"/>
    <x v="1"/>
    <x v="0"/>
    <x v="7"/>
    <n v="1"/>
    <n v="1"/>
    <n v="0"/>
    <m/>
    <x v="1"/>
    <n v="2.9298407105615491E-2"/>
  </r>
  <r>
    <x v="20"/>
    <x v="1"/>
    <x v="0"/>
    <x v="2"/>
    <x v="0"/>
    <x v="0"/>
    <x v="0"/>
    <x v="0"/>
    <x v="0"/>
    <x v="8"/>
    <n v="5"/>
    <n v="6"/>
    <n v="0"/>
    <n v="5"/>
    <x v="0"/>
    <n v="0.5096418357291469"/>
  </r>
  <r>
    <x v="20"/>
    <x v="0"/>
    <x v="1"/>
    <x v="2"/>
    <x v="2"/>
    <x v="1"/>
    <x v="0"/>
    <x v="0"/>
    <x v="2"/>
    <x v="9"/>
    <n v="2"/>
    <n v="3"/>
    <n v="0"/>
    <n v="2"/>
    <x v="0"/>
    <n v="0.64995015361252351"/>
  </r>
  <r>
    <x v="16"/>
    <x v="1"/>
    <x v="0"/>
    <x v="0"/>
    <x v="2"/>
    <x v="0"/>
    <x v="0"/>
    <x v="0"/>
    <x v="1"/>
    <x v="3"/>
    <n v="4"/>
    <n v="5"/>
    <n v="0"/>
    <m/>
    <x v="1"/>
    <n v="0.3187860191468217"/>
  </r>
  <r>
    <x v="1"/>
    <x v="1"/>
    <x v="0"/>
    <x v="0"/>
    <x v="0"/>
    <x v="1"/>
    <x v="0"/>
    <x v="0"/>
    <x v="2"/>
    <x v="9"/>
    <n v="1"/>
    <n v="1"/>
    <n v="0"/>
    <n v="1"/>
    <x v="0"/>
    <n v="0.23774457836402732"/>
  </r>
  <r>
    <x v="6"/>
    <x v="1"/>
    <x v="0"/>
    <x v="1"/>
    <x v="1"/>
    <x v="0"/>
    <x v="0"/>
    <x v="1"/>
    <x v="1"/>
    <x v="4"/>
    <n v="6"/>
    <n v="7"/>
    <n v="0"/>
    <m/>
    <x v="1"/>
    <n v="0.2132170582756292"/>
  </r>
  <r>
    <x v="15"/>
    <x v="1"/>
    <x v="0"/>
    <x v="2"/>
    <x v="2"/>
    <x v="0"/>
    <x v="0"/>
    <x v="1"/>
    <x v="1"/>
    <x v="1"/>
    <n v="1"/>
    <n v="1"/>
    <n v="0"/>
    <n v="1"/>
    <x v="0"/>
    <n v="8.221989569595807E-2"/>
  </r>
  <r>
    <x v="6"/>
    <x v="0"/>
    <x v="0"/>
    <x v="0"/>
    <x v="2"/>
    <x v="1"/>
    <x v="0"/>
    <x v="0"/>
    <x v="0"/>
    <x v="8"/>
    <n v="1"/>
    <n v="1"/>
    <n v="0"/>
    <m/>
    <x v="1"/>
    <n v="0.11878225625148879"/>
  </r>
  <r>
    <x v="17"/>
    <x v="0"/>
    <x v="0"/>
    <x v="0"/>
    <x v="2"/>
    <x v="1"/>
    <x v="0"/>
    <x v="0"/>
    <x v="2"/>
    <x v="9"/>
    <n v="2"/>
    <n v="2"/>
    <n v="0"/>
    <n v="2"/>
    <x v="0"/>
    <n v="0.4647445253393937"/>
  </r>
  <r>
    <x v="9"/>
    <x v="0"/>
    <x v="0"/>
    <x v="1"/>
    <x v="0"/>
    <x v="0"/>
    <x v="0"/>
    <x v="1"/>
    <x v="1"/>
    <x v="6"/>
    <n v="10"/>
    <n v="12"/>
    <n v="0"/>
    <n v="8"/>
    <x v="0"/>
    <n v="0.16567140279999587"/>
  </r>
  <r>
    <x v="19"/>
    <x v="1"/>
    <x v="0"/>
    <x v="2"/>
    <x v="3"/>
    <x v="0"/>
    <x v="1"/>
    <x v="1"/>
    <x v="0"/>
    <x v="1"/>
    <n v="1"/>
    <n v="1"/>
    <n v="0"/>
    <m/>
    <x v="1"/>
    <n v="8.028985391245845E-2"/>
  </r>
  <r>
    <x v="16"/>
    <x v="1"/>
    <x v="1"/>
    <x v="2"/>
    <x v="0"/>
    <x v="0"/>
    <x v="0"/>
    <x v="0"/>
    <x v="2"/>
    <x v="9"/>
    <n v="1"/>
    <n v="1"/>
    <n v="0"/>
    <m/>
    <x v="1"/>
    <n v="0.12646792194996428"/>
  </r>
  <r>
    <x v="6"/>
    <x v="0"/>
    <x v="0"/>
    <x v="0"/>
    <x v="1"/>
    <x v="1"/>
    <x v="0"/>
    <x v="1"/>
    <x v="2"/>
    <x v="9"/>
    <n v="4"/>
    <n v="6"/>
    <n v="0"/>
    <m/>
    <x v="1"/>
    <n v="1.4065068246643098"/>
  </r>
  <r>
    <x v="8"/>
    <x v="1"/>
    <x v="0"/>
    <x v="2"/>
    <x v="2"/>
    <x v="0"/>
    <x v="1"/>
    <x v="1"/>
    <x v="1"/>
    <x v="4"/>
    <n v="2"/>
    <n v="2"/>
    <n v="0"/>
    <m/>
    <x v="1"/>
    <n v="8.1323193327279719E-2"/>
  </r>
  <r>
    <x v="2"/>
    <x v="0"/>
    <x v="1"/>
    <x v="0"/>
    <x v="2"/>
    <x v="0"/>
    <x v="1"/>
    <x v="0"/>
    <x v="1"/>
    <x v="5"/>
    <n v="1"/>
    <n v="1"/>
    <n v="0"/>
    <m/>
    <x v="1"/>
    <n v="1.458390684269004E-2"/>
  </r>
  <r>
    <x v="0"/>
    <x v="1"/>
    <x v="0"/>
    <x v="0"/>
    <x v="2"/>
    <x v="0"/>
    <x v="1"/>
    <x v="1"/>
    <x v="2"/>
    <x v="8"/>
    <n v="3"/>
    <n v="4"/>
    <n v="0"/>
    <n v="3"/>
    <x v="0"/>
    <n v="0.39645398525118791"/>
  </r>
  <r>
    <x v="0"/>
    <x v="0"/>
    <x v="1"/>
    <x v="0"/>
    <x v="0"/>
    <x v="1"/>
    <x v="1"/>
    <x v="0"/>
    <x v="0"/>
    <x v="7"/>
    <n v="1"/>
    <n v="1"/>
    <n v="0"/>
    <n v="1"/>
    <x v="0"/>
    <n v="2.9298407105615491E-2"/>
  </r>
  <r>
    <x v="10"/>
    <x v="0"/>
    <x v="0"/>
    <x v="0"/>
    <x v="1"/>
    <x v="1"/>
    <x v="0"/>
    <x v="1"/>
    <x v="2"/>
    <x v="9"/>
    <n v="11"/>
    <n v="18"/>
    <n v="0"/>
    <m/>
    <x v="1"/>
    <n v="4.2195204739929295"/>
  </r>
  <r>
    <x v="9"/>
    <x v="0"/>
    <x v="0"/>
    <x v="2"/>
    <x v="2"/>
    <x v="0"/>
    <x v="0"/>
    <x v="1"/>
    <x v="1"/>
    <x v="0"/>
    <n v="2"/>
    <n v="2"/>
    <n v="0"/>
    <n v="2"/>
    <x v="0"/>
    <n v="0.11187579774158009"/>
  </r>
  <r>
    <x v="12"/>
    <x v="0"/>
    <x v="0"/>
    <x v="1"/>
    <x v="1"/>
    <x v="0"/>
    <x v="0"/>
    <x v="1"/>
    <x v="2"/>
    <x v="1"/>
    <n v="3"/>
    <n v="4"/>
    <n v="0"/>
    <m/>
    <x v="1"/>
    <n v="0.26501005669721822"/>
  </r>
  <r>
    <x v="4"/>
    <x v="0"/>
    <x v="1"/>
    <x v="0"/>
    <x v="0"/>
    <x v="1"/>
    <x v="0"/>
    <x v="0"/>
    <x v="1"/>
    <x v="4"/>
    <n v="1"/>
    <n v="1"/>
    <n v="0"/>
    <m/>
    <x v="1"/>
    <n v="4.0267246343836334E-2"/>
  </r>
  <r>
    <x v="18"/>
    <x v="1"/>
    <x v="0"/>
    <x v="0"/>
    <x v="0"/>
    <x v="0"/>
    <x v="1"/>
    <x v="1"/>
    <x v="1"/>
    <x v="7"/>
    <n v="5"/>
    <n v="6"/>
    <n v="0"/>
    <m/>
    <x v="1"/>
    <n v="0.12890738402281215"/>
  </r>
  <r>
    <x v="15"/>
    <x v="0"/>
    <x v="0"/>
    <x v="2"/>
    <x v="1"/>
    <x v="1"/>
    <x v="0"/>
    <x v="1"/>
    <x v="0"/>
    <x v="9"/>
    <n v="3"/>
    <n v="4"/>
    <n v="0"/>
    <n v="3"/>
    <x v="0"/>
    <n v="0.60833634580759355"/>
  </r>
  <r>
    <x v="14"/>
    <x v="0"/>
    <x v="0"/>
    <x v="1"/>
    <x v="3"/>
    <x v="1"/>
    <x v="0"/>
    <x v="1"/>
    <x v="2"/>
    <x v="9"/>
    <n v="1"/>
    <n v="1"/>
    <n v="0"/>
    <m/>
    <x v="1"/>
    <n v="0.15755800253898447"/>
  </r>
  <r>
    <x v="2"/>
    <x v="1"/>
    <x v="0"/>
    <x v="1"/>
    <x v="2"/>
    <x v="0"/>
    <x v="0"/>
    <x v="1"/>
    <x v="2"/>
    <x v="8"/>
    <n v="2"/>
    <n v="2"/>
    <n v="0"/>
    <m/>
    <x v="1"/>
    <n v="0.19177538021530008"/>
  </r>
  <r>
    <x v="2"/>
    <x v="0"/>
    <x v="0"/>
    <x v="0"/>
    <x v="2"/>
    <x v="1"/>
    <x v="0"/>
    <x v="1"/>
    <x v="1"/>
    <x v="1"/>
    <n v="9"/>
    <n v="11"/>
    <n v="1"/>
    <m/>
    <x v="1"/>
    <n v="0.8957561888531903"/>
  </r>
  <r>
    <x v="20"/>
    <x v="0"/>
    <x v="0"/>
    <x v="1"/>
    <x v="0"/>
    <x v="1"/>
    <x v="0"/>
    <x v="0"/>
    <x v="1"/>
    <x v="7"/>
    <n v="4"/>
    <n v="4"/>
    <n v="0"/>
    <n v="3"/>
    <x v="0"/>
    <n v="0.10725986896463567"/>
  </r>
  <r>
    <x v="10"/>
    <x v="1"/>
    <x v="1"/>
    <x v="2"/>
    <x v="1"/>
    <x v="0"/>
    <x v="0"/>
    <x v="1"/>
    <x v="1"/>
    <x v="3"/>
    <n v="4"/>
    <n v="12"/>
    <n v="0"/>
    <m/>
    <x v="1"/>
    <n v="0.71047828039239791"/>
  </r>
  <r>
    <x v="19"/>
    <x v="0"/>
    <x v="1"/>
    <x v="0"/>
    <x v="1"/>
    <x v="1"/>
    <x v="0"/>
    <x v="1"/>
    <x v="2"/>
    <x v="9"/>
    <n v="3"/>
    <n v="4"/>
    <n v="0"/>
    <m/>
    <x v="1"/>
    <n v="0.70144595042350755"/>
  </r>
  <r>
    <x v="14"/>
    <x v="1"/>
    <x v="0"/>
    <x v="0"/>
    <x v="0"/>
    <x v="1"/>
    <x v="0"/>
    <x v="1"/>
    <x v="1"/>
    <x v="1"/>
    <n v="2"/>
    <n v="2"/>
    <n v="0"/>
    <m/>
    <x v="1"/>
    <n v="0.1673910648723646"/>
  </r>
  <r>
    <x v="22"/>
    <x v="1"/>
    <x v="0"/>
    <x v="0"/>
    <x v="2"/>
    <x v="1"/>
    <x v="0"/>
    <x v="0"/>
    <x v="2"/>
    <x v="9"/>
    <n v="1"/>
    <n v="1"/>
    <n v="0"/>
    <n v="1"/>
    <x v="0"/>
    <n v="0.31398055376811668"/>
  </r>
  <r>
    <x v="13"/>
    <x v="1"/>
    <x v="0"/>
    <x v="1"/>
    <x v="2"/>
    <x v="0"/>
    <x v="1"/>
    <x v="1"/>
    <x v="2"/>
    <x v="0"/>
    <n v="1"/>
    <n v="1"/>
    <n v="0"/>
    <m/>
    <x v="1"/>
    <n v="4.778062262691999E-2"/>
  </r>
  <r>
    <x v="3"/>
    <x v="0"/>
    <x v="1"/>
    <x v="1"/>
    <x v="2"/>
    <x v="1"/>
    <x v="0"/>
    <x v="0"/>
    <x v="0"/>
    <x v="4"/>
    <n v="1"/>
    <n v="1"/>
    <n v="0"/>
    <m/>
    <x v="1"/>
    <n v="4.0948154717703626E-2"/>
  </r>
  <r>
    <x v="22"/>
    <x v="1"/>
    <x v="0"/>
    <x v="0"/>
    <x v="2"/>
    <x v="0"/>
    <x v="0"/>
    <x v="0"/>
    <x v="1"/>
    <x v="3"/>
    <n v="1"/>
    <n v="1"/>
    <n v="0"/>
    <n v="1"/>
    <x v="0"/>
    <n v="6.3757203829364353E-2"/>
  </r>
  <r>
    <x v="17"/>
    <x v="0"/>
    <x v="1"/>
    <x v="1"/>
    <x v="0"/>
    <x v="1"/>
    <x v="0"/>
    <x v="0"/>
    <x v="0"/>
    <x v="7"/>
    <n v="1"/>
    <n v="1"/>
    <n v="0"/>
    <n v="1"/>
    <x v="0"/>
    <n v="2.8273531547734397E-2"/>
  </r>
  <r>
    <x v="9"/>
    <x v="0"/>
    <x v="0"/>
    <x v="2"/>
    <x v="2"/>
    <x v="1"/>
    <x v="0"/>
    <x v="1"/>
    <x v="1"/>
    <x v="8"/>
    <n v="4"/>
    <n v="4"/>
    <n v="0"/>
    <n v="4"/>
    <x v="0"/>
    <n v="0.41776976441899105"/>
  </r>
  <r>
    <x v="7"/>
    <x v="1"/>
    <x v="1"/>
    <x v="1"/>
    <x v="1"/>
    <x v="1"/>
    <x v="0"/>
    <x v="1"/>
    <x v="2"/>
    <x v="9"/>
    <n v="1"/>
    <n v="1"/>
    <n v="0"/>
    <m/>
    <x v="1"/>
    <n v="0.12788744653864437"/>
  </r>
  <r>
    <x v="15"/>
    <x v="0"/>
    <x v="0"/>
    <x v="2"/>
    <x v="2"/>
    <x v="1"/>
    <x v="0"/>
    <x v="1"/>
    <x v="1"/>
    <x v="8"/>
    <n v="4"/>
    <n v="5"/>
    <n v="0"/>
    <n v="4"/>
    <x v="0"/>
    <n v="0.52221220552373881"/>
  </r>
  <r>
    <x v="0"/>
    <x v="1"/>
    <x v="1"/>
    <x v="0"/>
    <x v="1"/>
    <x v="1"/>
    <x v="0"/>
    <x v="1"/>
    <x v="1"/>
    <x v="8"/>
    <n v="8"/>
    <n v="9"/>
    <n v="0"/>
    <n v="8"/>
    <x v="0"/>
    <n v="0.77449439565291023"/>
  </r>
  <r>
    <x v="8"/>
    <x v="0"/>
    <x v="0"/>
    <x v="0"/>
    <x v="3"/>
    <x v="0"/>
    <x v="0"/>
    <x v="1"/>
    <x v="0"/>
    <x v="8"/>
    <n v="2"/>
    <n v="4"/>
    <n v="0"/>
    <m/>
    <x v="1"/>
    <n v="0.33957569543596611"/>
  </r>
  <r>
    <x v="20"/>
    <x v="1"/>
    <x v="0"/>
    <x v="0"/>
    <x v="3"/>
    <x v="1"/>
    <x v="0"/>
    <x v="0"/>
    <x v="0"/>
    <x v="9"/>
    <n v="2"/>
    <n v="2"/>
    <n v="1"/>
    <n v="2"/>
    <x v="0"/>
    <n v="0.43268518706094106"/>
  </r>
  <r>
    <x v="21"/>
    <x v="0"/>
    <x v="0"/>
    <x v="0"/>
    <x v="2"/>
    <x v="0"/>
    <x v="0"/>
    <x v="0"/>
    <x v="1"/>
    <x v="2"/>
    <n v="5"/>
    <n v="5"/>
    <n v="1"/>
    <m/>
    <x v="1"/>
    <n v="0.21549874684536813"/>
  </r>
  <r>
    <x v="10"/>
    <x v="1"/>
    <x v="1"/>
    <x v="1"/>
    <x v="1"/>
    <x v="0"/>
    <x v="0"/>
    <x v="1"/>
    <x v="1"/>
    <x v="5"/>
    <n v="1"/>
    <n v="1"/>
    <n v="0"/>
    <m/>
    <x v="1"/>
    <n v="2.1352855449696815E-2"/>
  </r>
  <r>
    <x v="1"/>
    <x v="0"/>
    <x v="0"/>
    <x v="0"/>
    <x v="0"/>
    <x v="1"/>
    <x v="1"/>
    <x v="0"/>
    <x v="1"/>
    <x v="7"/>
    <n v="1"/>
    <n v="1"/>
    <n v="0"/>
    <n v="1"/>
    <x v="0"/>
    <n v="2.7788483854578296E-2"/>
  </r>
  <r>
    <x v="0"/>
    <x v="1"/>
    <x v="1"/>
    <x v="0"/>
    <x v="2"/>
    <x v="1"/>
    <x v="0"/>
    <x v="1"/>
    <x v="2"/>
    <x v="9"/>
    <n v="1"/>
    <n v="2"/>
    <n v="0"/>
    <n v="1"/>
    <x v="0"/>
    <n v="0.48239003966099514"/>
  </r>
  <r>
    <x v="21"/>
    <x v="1"/>
    <x v="0"/>
    <x v="0"/>
    <x v="2"/>
    <x v="0"/>
    <x v="0"/>
    <x v="1"/>
    <x v="2"/>
    <x v="9"/>
    <n v="6"/>
    <n v="8"/>
    <n v="0"/>
    <m/>
    <x v="1"/>
    <n v="1.5093123074797092"/>
  </r>
  <r>
    <x v="20"/>
    <x v="1"/>
    <x v="0"/>
    <x v="0"/>
    <x v="3"/>
    <x v="0"/>
    <x v="0"/>
    <x v="1"/>
    <x v="2"/>
    <x v="9"/>
    <n v="3"/>
    <n v="3"/>
    <n v="0"/>
    <n v="3"/>
    <x v="0"/>
    <n v="0.71862186968754671"/>
  </r>
  <r>
    <x v="3"/>
    <x v="0"/>
    <x v="0"/>
    <x v="0"/>
    <x v="0"/>
    <x v="0"/>
    <x v="1"/>
    <x v="0"/>
    <x v="1"/>
    <x v="6"/>
    <n v="5"/>
    <n v="6"/>
    <n v="0"/>
    <m/>
    <x v="1"/>
    <n v="8.5884729479847072E-2"/>
  </r>
  <r>
    <x v="22"/>
    <x v="1"/>
    <x v="0"/>
    <x v="0"/>
    <x v="2"/>
    <x v="0"/>
    <x v="0"/>
    <x v="1"/>
    <x v="0"/>
    <x v="8"/>
    <n v="4"/>
    <n v="5"/>
    <n v="0"/>
    <n v="4"/>
    <x v="0"/>
    <n v="0.46914126202672529"/>
  </r>
  <r>
    <x v="10"/>
    <x v="0"/>
    <x v="0"/>
    <x v="0"/>
    <x v="0"/>
    <x v="0"/>
    <x v="0"/>
    <x v="1"/>
    <x v="0"/>
    <x v="0"/>
    <n v="4"/>
    <n v="4"/>
    <n v="0"/>
    <m/>
    <x v="1"/>
    <n v="0.17835470246030499"/>
  </r>
  <r>
    <x v="1"/>
    <x v="0"/>
    <x v="0"/>
    <x v="1"/>
    <x v="0"/>
    <x v="1"/>
    <x v="0"/>
    <x v="1"/>
    <x v="1"/>
    <x v="7"/>
    <n v="1"/>
    <n v="1"/>
    <n v="0"/>
    <n v="1"/>
    <x v="0"/>
    <n v="2.6814967241158918E-2"/>
  </r>
  <r>
    <x v="7"/>
    <x v="0"/>
    <x v="0"/>
    <x v="0"/>
    <x v="2"/>
    <x v="0"/>
    <x v="0"/>
    <x v="0"/>
    <x v="2"/>
    <x v="9"/>
    <n v="3"/>
    <n v="6"/>
    <n v="0"/>
    <m/>
    <x v="1"/>
    <n v="0.79979098335421683"/>
  </r>
  <r>
    <x v="22"/>
    <x v="1"/>
    <x v="0"/>
    <x v="2"/>
    <x v="0"/>
    <x v="0"/>
    <x v="1"/>
    <x v="1"/>
    <x v="1"/>
    <x v="7"/>
    <n v="4"/>
    <n v="5"/>
    <n v="0"/>
    <n v="4"/>
    <x v="0"/>
    <n v="0.14036537528035173"/>
  </r>
  <r>
    <x v="22"/>
    <x v="1"/>
    <x v="0"/>
    <x v="0"/>
    <x v="2"/>
    <x v="0"/>
    <x v="0"/>
    <x v="0"/>
    <x v="0"/>
    <x v="8"/>
    <n v="2"/>
    <n v="2"/>
    <n v="1"/>
    <n v="2"/>
    <x v="0"/>
    <n v="0.18765650481069013"/>
  </r>
  <r>
    <x v="9"/>
    <x v="0"/>
    <x v="1"/>
    <x v="2"/>
    <x v="2"/>
    <x v="0"/>
    <x v="0"/>
    <x v="0"/>
    <x v="1"/>
    <x v="4"/>
    <n v="1"/>
    <n v="1"/>
    <n v="0"/>
    <n v="1"/>
    <x v="0"/>
    <n v="3.9524266772527843E-2"/>
  </r>
  <r>
    <x v="15"/>
    <x v="1"/>
    <x v="1"/>
    <x v="2"/>
    <x v="0"/>
    <x v="0"/>
    <x v="0"/>
    <x v="0"/>
    <x v="0"/>
    <x v="3"/>
    <n v="1"/>
    <n v="1"/>
    <n v="0"/>
    <n v="1"/>
    <x v="0"/>
    <n v="6.0562543455648175E-2"/>
  </r>
  <r>
    <x v="20"/>
    <x v="1"/>
    <x v="1"/>
    <x v="0"/>
    <x v="3"/>
    <x v="1"/>
    <x v="1"/>
    <x v="1"/>
    <x v="2"/>
    <x v="9"/>
    <n v="2"/>
    <n v="2"/>
    <n v="1"/>
    <n v="2"/>
    <x v="0"/>
    <n v="0.3384798675801558"/>
  </r>
  <r>
    <x v="9"/>
    <x v="1"/>
    <x v="1"/>
    <x v="1"/>
    <x v="1"/>
    <x v="0"/>
    <x v="0"/>
    <x v="1"/>
    <x v="1"/>
    <x v="5"/>
    <n v="1"/>
    <n v="1"/>
    <n v="0"/>
    <n v="1"/>
    <x v="0"/>
    <n v="2.1352855449696815E-2"/>
  </r>
  <r>
    <x v="21"/>
    <x v="0"/>
    <x v="1"/>
    <x v="2"/>
    <x v="1"/>
    <x v="0"/>
    <x v="0"/>
    <x v="1"/>
    <x v="0"/>
    <x v="3"/>
    <n v="1"/>
    <n v="2"/>
    <n v="0"/>
    <m/>
    <x v="1"/>
    <n v="0.11904297598263569"/>
  </r>
  <r>
    <x v="3"/>
    <x v="1"/>
    <x v="0"/>
    <x v="1"/>
    <x v="2"/>
    <x v="1"/>
    <x v="1"/>
    <x v="1"/>
    <x v="1"/>
    <x v="7"/>
    <n v="1"/>
    <n v="1"/>
    <n v="0"/>
    <m/>
    <x v="1"/>
    <n v="2.811008520036597E-2"/>
  </r>
  <r>
    <x v="16"/>
    <x v="0"/>
    <x v="1"/>
    <x v="0"/>
    <x v="3"/>
    <x v="1"/>
    <x v="0"/>
    <x v="1"/>
    <x v="0"/>
    <x v="8"/>
    <n v="1"/>
    <n v="1"/>
    <n v="0"/>
    <m/>
    <x v="1"/>
    <n v="0.11253926602183867"/>
  </r>
  <r>
    <x v="1"/>
    <x v="0"/>
    <x v="0"/>
    <x v="1"/>
    <x v="0"/>
    <x v="0"/>
    <x v="0"/>
    <x v="1"/>
    <x v="1"/>
    <x v="6"/>
    <n v="4"/>
    <n v="4"/>
    <n v="0"/>
    <n v="4"/>
    <x v="0"/>
    <n v="5.5223800933331964E-2"/>
  </r>
  <r>
    <x v="17"/>
    <x v="0"/>
    <x v="0"/>
    <x v="2"/>
    <x v="2"/>
    <x v="0"/>
    <x v="0"/>
    <x v="1"/>
    <x v="0"/>
    <x v="1"/>
    <n v="4"/>
    <n v="5"/>
    <n v="1"/>
    <n v="4"/>
    <x v="0"/>
    <n v="0.41323265588868885"/>
  </r>
  <r>
    <x v="11"/>
    <x v="0"/>
    <x v="0"/>
    <x v="1"/>
    <x v="0"/>
    <x v="0"/>
    <x v="1"/>
    <x v="1"/>
    <x v="1"/>
    <x v="6"/>
    <n v="4"/>
    <n v="4"/>
    <n v="0"/>
    <m/>
    <x v="1"/>
    <n v="2.631911178026412E-2"/>
  </r>
  <r>
    <x v="20"/>
    <x v="1"/>
    <x v="1"/>
    <x v="1"/>
    <x v="2"/>
    <x v="0"/>
    <x v="0"/>
    <x v="1"/>
    <x v="1"/>
    <x v="5"/>
    <n v="1"/>
    <n v="1"/>
    <n v="0"/>
    <n v="1"/>
    <x v="0"/>
    <n v="2.111525100948302E-2"/>
  </r>
  <r>
    <x v="8"/>
    <x v="0"/>
    <x v="0"/>
    <x v="0"/>
    <x v="0"/>
    <x v="0"/>
    <x v="0"/>
    <x v="1"/>
    <x v="2"/>
    <x v="8"/>
    <n v="2"/>
    <n v="3"/>
    <n v="0"/>
    <m/>
    <x v="1"/>
    <n v="0.28459904918602935"/>
  </r>
  <r>
    <x v="12"/>
    <x v="1"/>
    <x v="0"/>
    <x v="0"/>
    <x v="3"/>
    <x v="1"/>
    <x v="0"/>
    <x v="1"/>
    <x v="2"/>
    <x v="9"/>
    <n v="2"/>
    <n v="2"/>
    <n v="1"/>
    <m/>
    <x v="1"/>
    <n v="0.76542055614954618"/>
  </r>
  <r>
    <x v="9"/>
    <x v="1"/>
    <x v="0"/>
    <x v="2"/>
    <x v="0"/>
    <x v="0"/>
    <x v="0"/>
    <x v="0"/>
    <x v="2"/>
    <x v="9"/>
    <n v="4"/>
    <n v="4"/>
    <n v="1"/>
    <n v="3"/>
    <x v="0"/>
    <n v="0.69001129149461504"/>
  </r>
  <r>
    <x v="20"/>
    <x v="0"/>
    <x v="1"/>
    <x v="0"/>
    <x v="2"/>
    <x v="0"/>
    <x v="0"/>
    <x v="1"/>
    <x v="2"/>
    <x v="8"/>
    <n v="5"/>
    <n v="9"/>
    <n v="1"/>
    <n v="5"/>
    <x v="0"/>
    <n v="0.86855129051065794"/>
  </r>
  <r>
    <x v="6"/>
    <x v="0"/>
    <x v="1"/>
    <x v="0"/>
    <x v="1"/>
    <x v="1"/>
    <x v="0"/>
    <x v="1"/>
    <x v="1"/>
    <x v="0"/>
    <n v="8"/>
    <n v="9"/>
    <n v="0"/>
    <m/>
    <x v="1"/>
    <n v="0.52762818522580224"/>
  </r>
  <r>
    <x v="2"/>
    <x v="1"/>
    <x v="1"/>
    <x v="0"/>
    <x v="2"/>
    <x v="0"/>
    <x v="0"/>
    <x v="1"/>
    <x v="1"/>
    <x v="0"/>
    <n v="1"/>
    <n v="1"/>
    <n v="0"/>
    <m/>
    <x v="1"/>
    <n v="4.5158935948663145E-2"/>
  </r>
  <r>
    <x v="9"/>
    <x v="0"/>
    <x v="0"/>
    <x v="0"/>
    <x v="3"/>
    <x v="1"/>
    <x v="0"/>
    <x v="1"/>
    <x v="0"/>
    <x v="9"/>
    <n v="5"/>
    <n v="7"/>
    <n v="0"/>
    <n v="5"/>
    <x v="0"/>
    <n v="1.0808016220822496"/>
  </r>
  <r>
    <x v="19"/>
    <x v="0"/>
    <x v="1"/>
    <x v="0"/>
    <x v="2"/>
    <x v="1"/>
    <x v="1"/>
    <x v="1"/>
    <x v="0"/>
    <x v="2"/>
    <n v="1"/>
    <n v="1"/>
    <n v="0"/>
    <m/>
    <x v="1"/>
    <n v="4.2412414648078343E-2"/>
  </r>
  <r>
    <x v="9"/>
    <x v="0"/>
    <x v="1"/>
    <x v="1"/>
    <x v="0"/>
    <x v="0"/>
    <x v="0"/>
    <x v="1"/>
    <x v="2"/>
    <x v="4"/>
    <n v="1"/>
    <n v="1"/>
    <n v="0"/>
    <n v="1"/>
    <x v="0"/>
    <n v="3.2132126409987367E-2"/>
  </r>
  <r>
    <x v="11"/>
    <x v="1"/>
    <x v="0"/>
    <x v="1"/>
    <x v="1"/>
    <x v="0"/>
    <x v="0"/>
    <x v="1"/>
    <x v="0"/>
    <x v="0"/>
    <n v="1"/>
    <n v="1"/>
    <n v="0"/>
    <m/>
    <x v="1"/>
    <n v="4.5590572395740707E-2"/>
  </r>
  <r>
    <x v="19"/>
    <x v="0"/>
    <x v="0"/>
    <x v="0"/>
    <x v="0"/>
    <x v="0"/>
    <x v="1"/>
    <x v="1"/>
    <x v="0"/>
    <x v="7"/>
    <n v="4"/>
    <n v="5"/>
    <n v="0"/>
    <m/>
    <x v="1"/>
    <n v="0.10801732404158602"/>
  </r>
  <r>
    <x v="5"/>
    <x v="1"/>
    <x v="0"/>
    <x v="0"/>
    <x v="3"/>
    <x v="1"/>
    <x v="0"/>
    <x v="1"/>
    <x v="1"/>
    <x v="9"/>
    <n v="1"/>
    <n v="1"/>
    <n v="0"/>
    <n v="1"/>
    <x v="0"/>
    <n v="0.15366523766540796"/>
  </r>
  <r>
    <x v="13"/>
    <x v="0"/>
    <x v="0"/>
    <x v="2"/>
    <x v="1"/>
    <x v="0"/>
    <x v="0"/>
    <x v="1"/>
    <x v="0"/>
    <x v="1"/>
    <n v="1"/>
    <n v="2"/>
    <n v="0"/>
    <m/>
    <x v="1"/>
    <n v="0.16703491332042786"/>
  </r>
  <r>
    <x v="6"/>
    <x v="0"/>
    <x v="1"/>
    <x v="1"/>
    <x v="0"/>
    <x v="0"/>
    <x v="1"/>
    <x v="1"/>
    <x v="1"/>
    <x v="6"/>
    <n v="1"/>
    <n v="1"/>
    <n v="0"/>
    <m/>
    <x v="1"/>
    <n v="4.5788555386867564E-3"/>
  </r>
  <r>
    <x v="19"/>
    <x v="1"/>
    <x v="0"/>
    <x v="0"/>
    <x v="0"/>
    <x v="0"/>
    <x v="0"/>
    <x v="0"/>
    <x v="2"/>
    <x v="9"/>
    <n v="7"/>
    <n v="11"/>
    <n v="0"/>
    <m/>
    <x v="1"/>
    <n v="1.5046729202632971"/>
  </r>
  <r>
    <x v="17"/>
    <x v="0"/>
    <x v="0"/>
    <x v="2"/>
    <x v="0"/>
    <x v="0"/>
    <x v="1"/>
    <x v="1"/>
    <x v="0"/>
    <x v="7"/>
    <n v="1"/>
    <n v="1"/>
    <n v="0"/>
    <n v="1"/>
    <x v="0"/>
    <n v="2.8227386446598338E-2"/>
  </r>
  <r>
    <x v="1"/>
    <x v="1"/>
    <x v="1"/>
    <x v="1"/>
    <x v="0"/>
    <x v="0"/>
    <x v="1"/>
    <x v="1"/>
    <x v="1"/>
    <x v="6"/>
    <n v="2"/>
    <n v="2"/>
    <n v="0"/>
    <n v="2"/>
    <x v="0"/>
    <n v="1.3813470643303788E-2"/>
  </r>
  <r>
    <x v="15"/>
    <x v="1"/>
    <x v="1"/>
    <x v="2"/>
    <x v="1"/>
    <x v="1"/>
    <x v="0"/>
    <x v="1"/>
    <x v="1"/>
    <x v="8"/>
    <n v="4"/>
    <n v="4"/>
    <n v="0"/>
    <n v="3"/>
    <x v="0"/>
    <n v="0.44085779762072891"/>
  </r>
  <r>
    <x v="1"/>
    <x v="1"/>
    <x v="0"/>
    <x v="2"/>
    <x v="1"/>
    <x v="1"/>
    <x v="0"/>
    <x v="1"/>
    <x v="2"/>
    <x v="9"/>
    <n v="4"/>
    <n v="4"/>
    <n v="0"/>
    <n v="4"/>
    <x v="0"/>
    <n v="1.5140091514087373"/>
  </r>
  <r>
    <x v="9"/>
    <x v="0"/>
    <x v="1"/>
    <x v="0"/>
    <x v="0"/>
    <x v="0"/>
    <x v="1"/>
    <x v="1"/>
    <x v="2"/>
    <x v="4"/>
    <n v="1"/>
    <n v="1"/>
    <n v="0"/>
    <n v="1"/>
    <x v="0"/>
    <n v="3.3292078574409821E-2"/>
  </r>
  <r>
    <x v="3"/>
    <x v="0"/>
    <x v="0"/>
    <x v="0"/>
    <x v="2"/>
    <x v="1"/>
    <x v="0"/>
    <x v="1"/>
    <x v="0"/>
    <x v="8"/>
    <n v="3"/>
    <n v="3"/>
    <n v="0"/>
    <m/>
    <x v="1"/>
    <n v="0.35634676875446636"/>
  </r>
  <r>
    <x v="5"/>
    <x v="1"/>
    <x v="0"/>
    <x v="2"/>
    <x v="2"/>
    <x v="0"/>
    <x v="0"/>
    <x v="0"/>
    <x v="2"/>
    <x v="9"/>
    <n v="1"/>
    <n v="1"/>
    <n v="0"/>
    <n v="1"/>
    <x v="0"/>
    <n v="0.23424723931098945"/>
  </r>
  <r>
    <x v="17"/>
    <x v="0"/>
    <x v="1"/>
    <x v="2"/>
    <x v="0"/>
    <x v="1"/>
    <x v="0"/>
    <x v="0"/>
    <x v="1"/>
    <x v="0"/>
    <n v="1"/>
    <n v="1"/>
    <n v="0"/>
    <n v="1"/>
    <x v="0"/>
    <n v="5.2307797290685736E-2"/>
  </r>
  <r>
    <x v="6"/>
    <x v="0"/>
    <x v="0"/>
    <x v="0"/>
    <x v="3"/>
    <x v="1"/>
    <x v="0"/>
    <x v="1"/>
    <x v="2"/>
    <x v="9"/>
    <n v="2"/>
    <n v="3"/>
    <n v="0"/>
    <m/>
    <x v="1"/>
    <n v="0.87243235062856062"/>
  </r>
  <r>
    <x v="5"/>
    <x v="1"/>
    <x v="0"/>
    <x v="0"/>
    <x v="3"/>
    <x v="1"/>
    <x v="1"/>
    <x v="1"/>
    <x v="2"/>
    <x v="9"/>
    <n v="1"/>
    <n v="1"/>
    <n v="0"/>
    <n v="1"/>
    <x v="0"/>
    <n v="0.22680169202414502"/>
  </r>
  <r>
    <x v="12"/>
    <x v="1"/>
    <x v="0"/>
    <x v="0"/>
    <x v="2"/>
    <x v="1"/>
    <x v="1"/>
    <x v="1"/>
    <x v="1"/>
    <x v="3"/>
    <n v="4"/>
    <n v="5"/>
    <n v="0"/>
    <m/>
    <x v="1"/>
    <n v="0.2981674109485275"/>
  </r>
  <r>
    <x v="7"/>
    <x v="0"/>
    <x v="0"/>
    <x v="2"/>
    <x v="2"/>
    <x v="0"/>
    <x v="0"/>
    <x v="1"/>
    <x v="0"/>
    <x v="1"/>
    <n v="2"/>
    <n v="2"/>
    <n v="0"/>
    <m/>
    <x v="1"/>
    <n v="0.16529306235547556"/>
  </r>
  <r>
    <x v="11"/>
    <x v="1"/>
    <x v="0"/>
    <x v="1"/>
    <x v="0"/>
    <x v="0"/>
    <x v="0"/>
    <x v="0"/>
    <x v="0"/>
    <x v="4"/>
    <n v="1"/>
    <n v="1"/>
    <n v="0"/>
    <m/>
    <x v="1"/>
    <n v="3.1179022325415869E-2"/>
  </r>
  <r>
    <x v="22"/>
    <x v="0"/>
    <x v="1"/>
    <x v="2"/>
    <x v="1"/>
    <x v="0"/>
    <x v="0"/>
    <x v="1"/>
    <x v="1"/>
    <x v="4"/>
    <n v="2"/>
    <n v="2"/>
    <n v="1"/>
    <n v="2"/>
    <x v="0"/>
    <n v="7.9921133246364781E-2"/>
  </r>
  <r>
    <x v="9"/>
    <x v="1"/>
    <x v="0"/>
    <x v="2"/>
    <x v="2"/>
    <x v="0"/>
    <x v="0"/>
    <x v="0"/>
    <x v="2"/>
    <x v="9"/>
    <n v="2"/>
    <n v="2"/>
    <n v="1"/>
    <n v="2"/>
    <x v="0"/>
    <n v="0.4684944786219789"/>
  </r>
  <r>
    <x v="19"/>
    <x v="1"/>
    <x v="0"/>
    <x v="0"/>
    <x v="2"/>
    <x v="0"/>
    <x v="1"/>
    <x v="1"/>
    <x v="2"/>
    <x v="8"/>
    <n v="2"/>
    <n v="4"/>
    <n v="0"/>
    <m/>
    <x v="1"/>
    <n v="0.39645398525118791"/>
  </r>
  <r>
    <x v="3"/>
    <x v="0"/>
    <x v="0"/>
    <x v="0"/>
    <x v="2"/>
    <x v="0"/>
    <x v="1"/>
    <x v="0"/>
    <x v="0"/>
    <x v="4"/>
    <n v="1"/>
    <n v="2"/>
    <n v="0"/>
    <m/>
    <x v="1"/>
    <n v="6.2769130013339253E-2"/>
  </r>
  <r>
    <x v="17"/>
    <x v="1"/>
    <x v="0"/>
    <x v="0"/>
    <x v="2"/>
    <x v="0"/>
    <x v="1"/>
    <x v="0"/>
    <x v="0"/>
    <x v="0"/>
    <n v="2"/>
    <n v="2"/>
    <n v="0"/>
    <n v="2"/>
    <x v="0"/>
    <n v="9.3402078399889468E-2"/>
  </r>
  <r>
    <x v="4"/>
    <x v="1"/>
    <x v="0"/>
    <x v="1"/>
    <x v="2"/>
    <x v="1"/>
    <x v="1"/>
    <x v="0"/>
    <x v="1"/>
    <x v="7"/>
    <n v="1"/>
    <n v="1"/>
    <n v="0"/>
    <m/>
    <x v="1"/>
    <n v="2.811008520036597E-2"/>
  </r>
  <r>
    <x v="12"/>
    <x v="1"/>
    <x v="0"/>
    <x v="2"/>
    <x v="2"/>
    <x v="0"/>
    <x v="0"/>
    <x v="0"/>
    <x v="2"/>
    <x v="9"/>
    <n v="2"/>
    <n v="2"/>
    <n v="0"/>
    <m/>
    <x v="1"/>
    <n v="0.4684944786219789"/>
  </r>
  <r>
    <x v="10"/>
    <x v="0"/>
    <x v="1"/>
    <x v="1"/>
    <x v="2"/>
    <x v="1"/>
    <x v="0"/>
    <x v="0"/>
    <x v="0"/>
    <x v="4"/>
    <n v="1"/>
    <n v="1"/>
    <n v="0"/>
    <m/>
    <x v="1"/>
    <n v="4.0948154717703626E-2"/>
  </r>
  <r>
    <x v="10"/>
    <x v="0"/>
    <x v="1"/>
    <x v="2"/>
    <x v="1"/>
    <x v="0"/>
    <x v="0"/>
    <x v="1"/>
    <x v="2"/>
    <x v="8"/>
    <n v="2"/>
    <n v="3"/>
    <n v="0"/>
    <m/>
    <x v="1"/>
    <n v="0.37333212001678878"/>
  </r>
  <r>
    <x v="8"/>
    <x v="0"/>
    <x v="1"/>
    <x v="2"/>
    <x v="2"/>
    <x v="0"/>
    <x v="1"/>
    <x v="1"/>
    <x v="1"/>
    <x v="5"/>
    <n v="1"/>
    <n v="1"/>
    <n v="0"/>
    <m/>
    <x v="1"/>
    <n v="1.9097545862700165E-2"/>
  </r>
  <r>
    <x v="19"/>
    <x v="1"/>
    <x v="1"/>
    <x v="0"/>
    <x v="0"/>
    <x v="0"/>
    <x v="0"/>
    <x v="0"/>
    <x v="0"/>
    <x v="0"/>
    <n v="3"/>
    <n v="3"/>
    <n v="0"/>
    <m/>
    <x v="1"/>
    <n v="0.14014657827847735"/>
  </r>
  <r>
    <x v="2"/>
    <x v="1"/>
    <x v="1"/>
    <x v="0"/>
    <x v="1"/>
    <x v="0"/>
    <x v="0"/>
    <x v="1"/>
    <x v="2"/>
    <x v="9"/>
    <n v="3"/>
    <n v="5"/>
    <n v="0"/>
    <m/>
    <x v="1"/>
    <n v="0.70207597860023607"/>
  </r>
  <r>
    <x v="14"/>
    <x v="0"/>
    <x v="0"/>
    <x v="0"/>
    <x v="0"/>
    <x v="1"/>
    <x v="0"/>
    <x v="1"/>
    <x v="1"/>
    <x v="0"/>
    <n v="1"/>
    <n v="1"/>
    <n v="0"/>
    <m/>
    <x v="1"/>
    <n v="5.6971121420815236E-2"/>
  </r>
  <r>
    <x v="2"/>
    <x v="1"/>
    <x v="1"/>
    <x v="0"/>
    <x v="0"/>
    <x v="0"/>
    <x v="0"/>
    <x v="1"/>
    <x v="0"/>
    <x v="0"/>
    <n v="2"/>
    <n v="2"/>
    <n v="0"/>
    <m/>
    <x v="1"/>
    <n v="9.3431052185651564E-2"/>
  </r>
  <r>
    <x v="0"/>
    <x v="0"/>
    <x v="0"/>
    <x v="0"/>
    <x v="2"/>
    <x v="1"/>
    <x v="0"/>
    <x v="0"/>
    <x v="1"/>
    <x v="1"/>
    <n v="6"/>
    <n v="6"/>
    <n v="0"/>
    <n v="6"/>
    <x v="0"/>
    <n v="0.4885942848290129"/>
  </r>
  <r>
    <x v="5"/>
    <x v="1"/>
    <x v="1"/>
    <x v="0"/>
    <x v="3"/>
    <x v="0"/>
    <x v="0"/>
    <x v="1"/>
    <x v="1"/>
    <x v="3"/>
    <n v="1"/>
    <n v="1"/>
    <n v="1"/>
    <n v="1"/>
    <x v="0"/>
    <n v="6.0208639779017012E-2"/>
  </r>
  <r>
    <x v="9"/>
    <x v="1"/>
    <x v="0"/>
    <x v="2"/>
    <x v="2"/>
    <x v="0"/>
    <x v="0"/>
    <x v="1"/>
    <x v="0"/>
    <x v="8"/>
    <n v="1"/>
    <n v="2"/>
    <n v="0"/>
    <n v="1"/>
    <x v="0"/>
    <n v="0.23976766504814812"/>
  </r>
  <r>
    <x v="3"/>
    <x v="0"/>
    <x v="1"/>
    <x v="2"/>
    <x v="2"/>
    <x v="0"/>
    <x v="0"/>
    <x v="1"/>
    <x v="1"/>
    <x v="4"/>
    <n v="1"/>
    <n v="1"/>
    <n v="0"/>
    <m/>
    <x v="1"/>
    <n v="3.9524266772527843E-2"/>
  </r>
  <r>
    <x v="14"/>
    <x v="0"/>
    <x v="1"/>
    <x v="1"/>
    <x v="0"/>
    <x v="0"/>
    <x v="0"/>
    <x v="0"/>
    <x v="1"/>
    <x v="6"/>
    <n v="3"/>
    <n v="3"/>
    <n v="0"/>
    <m/>
    <x v="1"/>
    <n v="2.8886505489678724E-2"/>
  </r>
  <r>
    <x v="11"/>
    <x v="0"/>
    <x v="1"/>
    <x v="0"/>
    <x v="0"/>
    <x v="0"/>
    <x v="1"/>
    <x v="1"/>
    <x v="0"/>
    <x v="5"/>
    <n v="1"/>
    <n v="1"/>
    <n v="0"/>
    <m/>
    <x v="1"/>
    <n v="1.5103271786810353E-2"/>
  </r>
  <r>
    <x v="16"/>
    <x v="0"/>
    <x v="0"/>
    <x v="1"/>
    <x v="1"/>
    <x v="0"/>
    <x v="0"/>
    <x v="1"/>
    <x v="1"/>
    <x v="5"/>
    <n v="5"/>
    <n v="7"/>
    <n v="0"/>
    <m/>
    <x v="1"/>
    <n v="0.14249236370971982"/>
  </r>
  <r>
    <x v="8"/>
    <x v="0"/>
    <x v="0"/>
    <x v="2"/>
    <x v="0"/>
    <x v="0"/>
    <x v="1"/>
    <x v="1"/>
    <x v="2"/>
    <x v="3"/>
    <n v="1"/>
    <n v="1"/>
    <n v="0"/>
    <m/>
    <x v="1"/>
    <n v="6.1238768703886295E-2"/>
  </r>
  <r>
    <x v="1"/>
    <x v="1"/>
    <x v="0"/>
    <x v="0"/>
    <x v="2"/>
    <x v="1"/>
    <x v="0"/>
    <x v="1"/>
    <x v="0"/>
    <x v="9"/>
    <n v="1"/>
    <n v="1"/>
    <n v="0"/>
    <n v="1"/>
    <x v="0"/>
    <n v="0.1692962067399281"/>
  </r>
  <r>
    <x v="7"/>
    <x v="1"/>
    <x v="0"/>
    <x v="0"/>
    <x v="3"/>
    <x v="0"/>
    <x v="0"/>
    <x v="1"/>
    <x v="0"/>
    <x v="8"/>
    <n v="1"/>
    <n v="3"/>
    <n v="0"/>
    <m/>
    <x v="1"/>
    <n v="0.3690241039999998"/>
  </r>
  <r>
    <x v="20"/>
    <x v="0"/>
    <x v="1"/>
    <x v="2"/>
    <x v="2"/>
    <x v="0"/>
    <x v="1"/>
    <x v="1"/>
    <x v="1"/>
    <x v="5"/>
    <n v="2"/>
    <n v="2"/>
    <n v="0"/>
    <n v="2"/>
    <x v="0"/>
    <n v="3.8195091725400331E-2"/>
  </r>
  <r>
    <x v="1"/>
    <x v="0"/>
    <x v="1"/>
    <x v="0"/>
    <x v="0"/>
    <x v="0"/>
    <x v="1"/>
    <x v="0"/>
    <x v="0"/>
    <x v="5"/>
    <n v="2"/>
    <n v="2"/>
    <n v="0"/>
    <n v="2"/>
    <x v="0"/>
    <n v="3.0206543573620705E-2"/>
  </r>
  <r>
    <x v="5"/>
    <x v="0"/>
    <x v="1"/>
    <x v="0"/>
    <x v="1"/>
    <x v="1"/>
    <x v="0"/>
    <x v="1"/>
    <x v="2"/>
    <x v="9"/>
    <n v="2"/>
    <n v="4"/>
    <n v="0"/>
    <n v="2"/>
    <x v="0"/>
    <n v="0.70144595042350755"/>
  </r>
  <r>
    <x v="5"/>
    <x v="0"/>
    <x v="1"/>
    <x v="0"/>
    <x v="2"/>
    <x v="0"/>
    <x v="0"/>
    <x v="1"/>
    <x v="2"/>
    <x v="8"/>
    <n v="3"/>
    <n v="3"/>
    <n v="0"/>
    <n v="3"/>
    <x v="0"/>
    <n v="0.28951709683688598"/>
  </r>
  <r>
    <x v="1"/>
    <x v="0"/>
    <x v="1"/>
    <x v="0"/>
    <x v="2"/>
    <x v="1"/>
    <x v="1"/>
    <x v="1"/>
    <x v="1"/>
    <x v="7"/>
    <n v="1"/>
    <n v="1"/>
    <n v="0"/>
    <n v="1"/>
    <x v="0"/>
    <n v="2.8304934375149939E-2"/>
  </r>
  <r>
    <x v="12"/>
    <x v="0"/>
    <x v="0"/>
    <x v="2"/>
    <x v="2"/>
    <x v="1"/>
    <x v="0"/>
    <x v="1"/>
    <x v="1"/>
    <x v="8"/>
    <n v="2"/>
    <n v="4"/>
    <n v="0"/>
    <m/>
    <x v="1"/>
    <n v="0.41776976441899105"/>
  </r>
  <r>
    <x v="17"/>
    <x v="1"/>
    <x v="0"/>
    <x v="1"/>
    <x v="0"/>
    <x v="0"/>
    <x v="0"/>
    <x v="1"/>
    <x v="0"/>
    <x v="4"/>
    <n v="1"/>
    <n v="1"/>
    <n v="0"/>
    <n v="1"/>
    <x v="0"/>
    <n v="3.1179022325415869E-2"/>
  </r>
  <r>
    <x v="7"/>
    <x v="0"/>
    <x v="1"/>
    <x v="0"/>
    <x v="3"/>
    <x v="0"/>
    <x v="0"/>
    <x v="1"/>
    <x v="0"/>
    <x v="3"/>
    <n v="1"/>
    <n v="2"/>
    <n v="0"/>
    <m/>
    <x v="1"/>
    <n v="0.12105718487820037"/>
  </r>
  <r>
    <x v="11"/>
    <x v="1"/>
    <x v="1"/>
    <x v="0"/>
    <x v="2"/>
    <x v="1"/>
    <x v="0"/>
    <x v="1"/>
    <x v="2"/>
    <x v="9"/>
    <n v="1"/>
    <n v="1"/>
    <n v="0"/>
    <m/>
    <x v="1"/>
    <n v="0.24119501983049757"/>
  </r>
  <r>
    <x v="10"/>
    <x v="0"/>
    <x v="0"/>
    <x v="2"/>
    <x v="1"/>
    <x v="0"/>
    <x v="0"/>
    <x v="1"/>
    <x v="2"/>
    <x v="9"/>
    <n v="4"/>
    <n v="8"/>
    <n v="0"/>
    <m/>
    <x v="1"/>
    <n v="1.3590841068659696"/>
  </r>
  <r>
    <x v="17"/>
    <x v="0"/>
    <x v="0"/>
    <x v="2"/>
    <x v="1"/>
    <x v="1"/>
    <x v="0"/>
    <x v="1"/>
    <x v="0"/>
    <x v="9"/>
    <n v="1"/>
    <n v="1"/>
    <n v="0"/>
    <n v="1"/>
    <x v="0"/>
    <n v="0.15208408645189839"/>
  </r>
  <r>
    <x v="11"/>
    <x v="0"/>
    <x v="1"/>
    <x v="1"/>
    <x v="1"/>
    <x v="0"/>
    <x v="0"/>
    <x v="1"/>
    <x v="1"/>
    <x v="6"/>
    <n v="4"/>
    <n v="4"/>
    <n v="0"/>
    <m/>
    <x v="1"/>
    <n v="5.6902926035397941E-2"/>
  </r>
  <r>
    <x v="2"/>
    <x v="0"/>
    <x v="1"/>
    <x v="1"/>
    <x v="0"/>
    <x v="1"/>
    <x v="1"/>
    <x v="0"/>
    <x v="1"/>
    <x v="6"/>
    <n v="2"/>
    <n v="2"/>
    <n v="0"/>
    <m/>
    <x v="1"/>
    <n v="1.794500995729581E-2"/>
  </r>
  <r>
    <x v="8"/>
    <x v="0"/>
    <x v="1"/>
    <x v="0"/>
    <x v="0"/>
    <x v="0"/>
    <x v="1"/>
    <x v="1"/>
    <x v="1"/>
    <x v="6"/>
    <n v="5"/>
    <n v="5"/>
    <n v="0"/>
    <m/>
    <x v="1"/>
    <n v="4.9924056743669509E-2"/>
  </r>
  <r>
    <x v="0"/>
    <x v="1"/>
    <x v="1"/>
    <x v="2"/>
    <x v="2"/>
    <x v="0"/>
    <x v="0"/>
    <x v="1"/>
    <x v="0"/>
    <x v="8"/>
    <n v="1"/>
    <n v="1"/>
    <n v="0"/>
    <n v="1"/>
    <x v="0"/>
    <n v="8.6424504948779526E-2"/>
  </r>
  <r>
    <x v="17"/>
    <x v="0"/>
    <x v="0"/>
    <x v="2"/>
    <x v="3"/>
    <x v="1"/>
    <x v="0"/>
    <x v="0"/>
    <x v="1"/>
    <x v="9"/>
    <n v="1"/>
    <n v="1"/>
    <n v="1"/>
    <n v="1"/>
    <x v="0"/>
    <n v="0.13642618392543343"/>
  </r>
  <r>
    <x v="21"/>
    <x v="0"/>
    <x v="1"/>
    <x v="0"/>
    <x v="2"/>
    <x v="1"/>
    <x v="0"/>
    <x v="1"/>
    <x v="2"/>
    <x v="9"/>
    <n v="1"/>
    <n v="1"/>
    <n v="0"/>
    <m/>
    <x v="1"/>
    <n v="0.17371434400069519"/>
  </r>
  <r>
    <x v="14"/>
    <x v="1"/>
    <x v="0"/>
    <x v="0"/>
    <x v="0"/>
    <x v="0"/>
    <x v="1"/>
    <x v="1"/>
    <x v="2"/>
    <x v="1"/>
    <n v="4"/>
    <n v="4"/>
    <n v="0"/>
    <m/>
    <x v="1"/>
    <n v="0.27897726641771564"/>
  </r>
  <r>
    <x v="15"/>
    <x v="1"/>
    <x v="0"/>
    <x v="0"/>
    <x v="2"/>
    <x v="0"/>
    <x v="0"/>
    <x v="0"/>
    <x v="2"/>
    <x v="9"/>
    <n v="2"/>
    <n v="4"/>
    <n v="0"/>
    <n v="2"/>
    <x v="0"/>
    <n v="0.75465615373985462"/>
  </r>
  <r>
    <x v="22"/>
    <x v="1"/>
    <x v="0"/>
    <x v="2"/>
    <x v="3"/>
    <x v="1"/>
    <x v="0"/>
    <x v="1"/>
    <x v="1"/>
    <x v="9"/>
    <n v="1"/>
    <n v="1"/>
    <n v="0"/>
    <n v="1"/>
    <x v="0"/>
    <n v="0.19280182250464545"/>
  </r>
  <r>
    <x v="20"/>
    <x v="0"/>
    <x v="0"/>
    <x v="0"/>
    <x v="0"/>
    <x v="1"/>
    <x v="0"/>
    <x v="0"/>
    <x v="2"/>
    <x v="9"/>
    <n v="1"/>
    <n v="1"/>
    <n v="0"/>
    <n v="1"/>
    <x v="0"/>
    <n v="0.1710116934768498"/>
  </r>
  <r>
    <x v="14"/>
    <x v="1"/>
    <x v="0"/>
    <x v="0"/>
    <x v="2"/>
    <x v="1"/>
    <x v="0"/>
    <x v="1"/>
    <x v="1"/>
    <x v="8"/>
    <n v="3"/>
    <n v="5"/>
    <n v="0"/>
    <m/>
    <x v="1"/>
    <n v="0.59096557957999007"/>
  </r>
  <r>
    <x v="12"/>
    <x v="0"/>
    <x v="0"/>
    <x v="0"/>
    <x v="2"/>
    <x v="0"/>
    <x v="1"/>
    <x v="0"/>
    <x v="1"/>
    <x v="5"/>
    <n v="2"/>
    <n v="2"/>
    <n v="0"/>
    <m/>
    <x v="1"/>
    <n v="4.1730618848715956E-2"/>
  </r>
  <r>
    <x v="3"/>
    <x v="0"/>
    <x v="0"/>
    <x v="1"/>
    <x v="1"/>
    <x v="0"/>
    <x v="0"/>
    <x v="1"/>
    <x v="0"/>
    <x v="4"/>
    <n v="2"/>
    <n v="3"/>
    <n v="0"/>
    <m/>
    <x v="1"/>
    <n v="9.1879787574193156E-2"/>
  </r>
  <r>
    <x v="15"/>
    <x v="1"/>
    <x v="0"/>
    <x v="0"/>
    <x v="2"/>
    <x v="1"/>
    <x v="0"/>
    <x v="0"/>
    <x v="1"/>
    <x v="8"/>
    <n v="3"/>
    <n v="3"/>
    <n v="1"/>
    <n v="3"/>
    <x v="0"/>
    <n v="0.35457934774799399"/>
  </r>
  <r>
    <x v="18"/>
    <x v="0"/>
    <x v="0"/>
    <x v="0"/>
    <x v="0"/>
    <x v="0"/>
    <x v="0"/>
    <x v="0"/>
    <x v="1"/>
    <x v="7"/>
    <n v="6"/>
    <n v="7"/>
    <n v="0"/>
    <m/>
    <x v="1"/>
    <n v="0.20845878040955779"/>
  </r>
  <r>
    <x v="9"/>
    <x v="0"/>
    <x v="1"/>
    <x v="2"/>
    <x v="0"/>
    <x v="0"/>
    <x v="1"/>
    <x v="0"/>
    <x v="1"/>
    <x v="6"/>
    <n v="4"/>
    <n v="4"/>
    <n v="0"/>
    <n v="4"/>
    <x v="0"/>
    <n v="5.2375877247450145E-2"/>
  </r>
  <r>
    <x v="1"/>
    <x v="0"/>
    <x v="1"/>
    <x v="0"/>
    <x v="3"/>
    <x v="0"/>
    <x v="0"/>
    <x v="1"/>
    <x v="2"/>
    <x v="9"/>
    <n v="2"/>
    <n v="2"/>
    <n v="1"/>
    <n v="2"/>
    <x v="0"/>
    <n v="0.25280399177886359"/>
  </r>
  <r>
    <x v="0"/>
    <x v="0"/>
    <x v="0"/>
    <x v="2"/>
    <x v="2"/>
    <x v="0"/>
    <x v="0"/>
    <x v="1"/>
    <x v="1"/>
    <x v="0"/>
    <n v="1"/>
    <n v="1"/>
    <n v="0"/>
    <n v="1"/>
    <x v="0"/>
    <n v="5.5937898870790044E-2"/>
  </r>
  <r>
    <x v="15"/>
    <x v="1"/>
    <x v="1"/>
    <x v="0"/>
    <x v="3"/>
    <x v="1"/>
    <x v="0"/>
    <x v="0"/>
    <x v="0"/>
    <x v="9"/>
    <n v="1"/>
    <n v="1"/>
    <n v="0"/>
    <n v="1"/>
    <x v="0"/>
    <n v="0.16088299756810187"/>
  </r>
  <r>
    <x v="22"/>
    <x v="1"/>
    <x v="1"/>
    <x v="0"/>
    <x v="3"/>
    <x v="0"/>
    <x v="1"/>
    <x v="1"/>
    <x v="1"/>
    <x v="7"/>
    <n v="1"/>
    <n v="1"/>
    <n v="0"/>
    <n v="1"/>
    <x v="0"/>
    <n v="2.9419365696574228E-2"/>
  </r>
  <r>
    <x v="7"/>
    <x v="1"/>
    <x v="0"/>
    <x v="1"/>
    <x v="2"/>
    <x v="0"/>
    <x v="0"/>
    <x v="0"/>
    <x v="0"/>
    <x v="0"/>
    <n v="1"/>
    <n v="1"/>
    <n v="0"/>
    <m/>
    <x v="1"/>
    <n v="4.5095690087541995E-2"/>
  </r>
  <r>
    <x v="20"/>
    <x v="0"/>
    <x v="0"/>
    <x v="2"/>
    <x v="0"/>
    <x v="0"/>
    <x v="0"/>
    <x v="0"/>
    <x v="0"/>
    <x v="0"/>
    <n v="1"/>
    <n v="1"/>
    <n v="0"/>
    <n v="1"/>
    <x v="0"/>
    <n v="5.784352300209826E-2"/>
  </r>
  <r>
    <x v="8"/>
    <x v="0"/>
    <x v="0"/>
    <x v="1"/>
    <x v="0"/>
    <x v="0"/>
    <x v="1"/>
    <x v="1"/>
    <x v="2"/>
    <x v="7"/>
    <n v="1"/>
    <n v="1"/>
    <n v="0"/>
    <m/>
    <x v="1"/>
    <n v="2.2116330033594731E-2"/>
  </r>
  <r>
    <x v="7"/>
    <x v="0"/>
    <x v="1"/>
    <x v="0"/>
    <x v="0"/>
    <x v="1"/>
    <x v="0"/>
    <x v="0"/>
    <x v="0"/>
    <x v="3"/>
    <n v="1"/>
    <n v="1"/>
    <n v="0"/>
    <m/>
    <x v="1"/>
    <n v="5.9968911810879433E-2"/>
  </r>
  <r>
    <x v="15"/>
    <x v="1"/>
    <x v="0"/>
    <x v="2"/>
    <x v="2"/>
    <x v="1"/>
    <x v="0"/>
    <x v="0"/>
    <x v="1"/>
    <x v="9"/>
    <n v="3"/>
    <n v="3"/>
    <n v="0"/>
    <n v="3"/>
    <x v="0"/>
    <n v="0.44968643551146698"/>
  </r>
  <r>
    <x v="20"/>
    <x v="1"/>
    <x v="0"/>
    <x v="2"/>
    <x v="2"/>
    <x v="0"/>
    <x v="1"/>
    <x v="0"/>
    <x v="0"/>
    <x v="3"/>
    <n v="1"/>
    <n v="1"/>
    <n v="0"/>
    <n v="1"/>
    <x v="0"/>
    <n v="6.0544035202992515E-2"/>
  </r>
  <r>
    <x v="18"/>
    <x v="1"/>
    <x v="1"/>
    <x v="1"/>
    <x v="1"/>
    <x v="1"/>
    <x v="0"/>
    <x v="1"/>
    <x v="1"/>
    <x v="4"/>
    <n v="1"/>
    <n v="1"/>
    <n v="0"/>
    <m/>
    <x v="1"/>
    <n v="4.1176226521704343E-2"/>
  </r>
  <r>
    <x v="0"/>
    <x v="1"/>
    <x v="1"/>
    <x v="1"/>
    <x v="1"/>
    <x v="1"/>
    <x v="0"/>
    <x v="1"/>
    <x v="1"/>
    <x v="4"/>
    <n v="2"/>
    <n v="3"/>
    <n v="0"/>
    <n v="1"/>
    <x v="0"/>
    <n v="0.12352867956511301"/>
  </r>
  <r>
    <x v="5"/>
    <x v="0"/>
    <x v="0"/>
    <x v="2"/>
    <x v="2"/>
    <x v="1"/>
    <x v="1"/>
    <x v="1"/>
    <x v="2"/>
    <x v="9"/>
    <n v="1"/>
    <n v="2"/>
    <n v="0"/>
    <n v="1"/>
    <x v="0"/>
    <n v="0.31708004600961165"/>
  </r>
  <r>
    <x v="16"/>
    <x v="1"/>
    <x v="1"/>
    <x v="0"/>
    <x v="0"/>
    <x v="0"/>
    <x v="1"/>
    <x v="0"/>
    <x v="1"/>
    <x v="5"/>
    <n v="2"/>
    <n v="2"/>
    <n v="0"/>
    <m/>
    <x v="1"/>
    <n v="3.0039194880372936E-2"/>
  </r>
  <r>
    <x v="3"/>
    <x v="0"/>
    <x v="1"/>
    <x v="0"/>
    <x v="0"/>
    <x v="0"/>
    <x v="1"/>
    <x v="1"/>
    <x v="0"/>
    <x v="5"/>
    <n v="2"/>
    <n v="2"/>
    <n v="0"/>
    <m/>
    <x v="1"/>
    <n v="3.0206543573620705E-2"/>
  </r>
  <r>
    <x v="9"/>
    <x v="1"/>
    <x v="0"/>
    <x v="1"/>
    <x v="1"/>
    <x v="1"/>
    <x v="0"/>
    <x v="1"/>
    <x v="1"/>
    <x v="0"/>
    <n v="1"/>
    <n v="3"/>
    <n v="0"/>
    <n v="0"/>
    <x v="0"/>
    <n v="0.17470287013110697"/>
  </r>
  <r>
    <x v="11"/>
    <x v="1"/>
    <x v="1"/>
    <x v="2"/>
    <x v="0"/>
    <x v="0"/>
    <x v="0"/>
    <x v="1"/>
    <x v="2"/>
    <x v="9"/>
    <n v="1"/>
    <n v="1"/>
    <n v="0"/>
    <m/>
    <x v="1"/>
    <n v="0.12646792194996428"/>
  </r>
  <r>
    <x v="6"/>
    <x v="1"/>
    <x v="0"/>
    <x v="1"/>
    <x v="0"/>
    <x v="0"/>
    <x v="1"/>
    <x v="1"/>
    <x v="0"/>
    <x v="5"/>
    <n v="1"/>
    <n v="2"/>
    <n v="0"/>
    <m/>
    <x v="1"/>
    <n v="2.9995798450621777E-2"/>
  </r>
  <r>
    <x v="8"/>
    <x v="0"/>
    <x v="1"/>
    <x v="0"/>
    <x v="0"/>
    <x v="1"/>
    <x v="0"/>
    <x v="1"/>
    <x v="0"/>
    <x v="3"/>
    <n v="1"/>
    <n v="1"/>
    <n v="0"/>
    <m/>
    <x v="1"/>
    <n v="5.9968911810879433E-2"/>
  </r>
  <r>
    <x v="20"/>
    <x v="0"/>
    <x v="0"/>
    <x v="2"/>
    <x v="0"/>
    <x v="0"/>
    <x v="0"/>
    <x v="1"/>
    <x v="2"/>
    <x v="8"/>
    <n v="1"/>
    <n v="2"/>
    <n v="0"/>
    <n v="1"/>
    <x v="0"/>
    <n v="0.2423433124072577"/>
  </r>
  <r>
    <x v="3"/>
    <x v="0"/>
    <x v="0"/>
    <x v="1"/>
    <x v="2"/>
    <x v="1"/>
    <x v="1"/>
    <x v="1"/>
    <x v="0"/>
    <x v="7"/>
    <n v="2"/>
    <n v="2"/>
    <n v="0"/>
    <m/>
    <x v="1"/>
    <n v="5.6529188222429375E-2"/>
  </r>
  <r>
    <x v="1"/>
    <x v="1"/>
    <x v="0"/>
    <x v="1"/>
    <x v="3"/>
    <x v="1"/>
    <x v="1"/>
    <x v="1"/>
    <x v="0"/>
    <x v="0"/>
    <n v="1"/>
    <n v="1"/>
    <n v="0"/>
    <n v="1"/>
    <x v="0"/>
    <n v="5.6222700958497802E-2"/>
  </r>
  <r>
    <x v="15"/>
    <x v="1"/>
    <x v="1"/>
    <x v="0"/>
    <x v="2"/>
    <x v="0"/>
    <x v="1"/>
    <x v="1"/>
    <x v="1"/>
    <x v="7"/>
    <n v="2"/>
    <n v="3"/>
    <n v="0"/>
    <n v="2"/>
    <x v="0"/>
    <n v="6.5659479922773337E-2"/>
  </r>
  <r>
    <x v="20"/>
    <x v="0"/>
    <x v="1"/>
    <x v="0"/>
    <x v="3"/>
    <x v="0"/>
    <x v="0"/>
    <x v="0"/>
    <x v="0"/>
    <x v="3"/>
    <n v="1"/>
    <n v="1"/>
    <n v="0"/>
    <n v="1"/>
    <x v="0"/>
    <n v="6.0528592439100186E-2"/>
  </r>
  <r>
    <x v="4"/>
    <x v="1"/>
    <x v="1"/>
    <x v="1"/>
    <x v="0"/>
    <x v="0"/>
    <x v="1"/>
    <x v="0"/>
    <x v="1"/>
    <x v="6"/>
    <n v="2"/>
    <n v="2"/>
    <n v="0"/>
    <m/>
    <x v="1"/>
    <n v="1.3813470643303788E-2"/>
  </r>
  <r>
    <x v="15"/>
    <x v="1"/>
    <x v="1"/>
    <x v="2"/>
    <x v="3"/>
    <x v="1"/>
    <x v="1"/>
    <x v="1"/>
    <x v="2"/>
    <x v="9"/>
    <n v="1"/>
    <n v="1"/>
    <n v="0"/>
    <n v="1"/>
    <x v="0"/>
    <n v="0.21135260968507869"/>
  </r>
  <r>
    <x v="6"/>
    <x v="1"/>
    <x v="1"/>
    <x v="0"/>
    <x v="0"/>
    <x v="0"/>
    <x v="1"/>
    <x v="0"/>
    <x v="1"/>
    <x v="5"/>
    <n v="5"/>
    <n v="5"/>
    <n v="0"/>
    <m/>
    <x v="1"/>
    <n v="7.5097987200932345E-2"/>
  </r>
  <r>
    <x v="6"/>
    <x v="0"/>
    <x v="1"/>
    <x v="2"/>
    <x v="0"/>
    <x v="0"/>
    <x v="0"/>
    <x v="0"/>
    <x v="1"/>
    <x v="7"/>
    <n v="2"/>
    <n v="3"/>
    <n v="0"/>
    <m/>
    <x v="1"/>
    <n v="8.1833526001017565E-2"/>
  </r>
  <r>
    <x v="2"/>
    <x v="0"/>
    <x v="0"/>
    <x v="2"/>
    <x v="2"/>
    <x v="1"/>
    <x v="0"/>
    <x v="1"/>
    <x v="1"/>
    <x v="8"/>
    <n v="1"/>
    <n v="2"/>
    <n v="0"/>
    <m/>
    <x v="1"/>
    <n v="0.20888488220949553"/>
  </r>
  <r>
    <x v="20"/>
    <x v="1"/>
    <x v="1"/>
    <x v="2"/>
    <x v="1"/>
    <x v="0"/>
    <x v="0"/>
    <x v="1"/>
    <x v="0"/>
    <x v="8"/>
    <n v="1"/>
    <n v="1"/>
    <n v="0"/>
    <n v="1"/>
    <x v="0"/>
    <n v="8.7331452463510942E-2"/>
  </r>
  <r>
    <x v="20"/>
    <x v="0"/>
    <x v="1"/>
    <x v="0"/>
    <x v="3"/>
    <x v="1"/>
    <x v="1"/>
    <x v="1"/>
    <x v="2"/>
    <x v="8"/>
    <n v="1"/>
    <n v="1"/>
    <n v="0"/>
    <n v="1"/>
    <x v="0"/>
    <n v="0.11874037378146943"/>
  </r>
  <r>
    <x v="10"/>
    <x v="1"/>
    <x v="1"/>
    <x v="0"/>
    <x v="3"/>
    <x v="1"/>
    <x v="0"/>
    <x v="0"/>
    <x v="1"/>
    <x v="8"/>
    <n v="1"/>
    <n v="1"/>
    <n v="0"/>
    <m/>
    <x v="1"/>
    <n v="0.11197715523543472"/>
  </r>
  <r>
    <x v="5"/>
    <x v="0"/>
    <x v="0"/>
    <x v="0"/>
    <x v="2"/>
    <x v="0"/>
    <x v="0"/>
    <x v="0"/>
    <x v="1"/>
    <x v="2"/>
    <n v="2"/>
    <n v="3"/>
    <n v="0"/>
    <n v="2"/>
    <x v="0"/>
    <n v="0.12929924810722088"/>
  </r>
  <r>
    <x v="12"/>
    <x v="1"/>
    <x v="0"/>
    <x v="0"/>
    <x v="2"/>
    <x v="0"/>
    <x v="0"/>
    <x v="0"/>
    <x v="2"/>
    <x v="9"/>
    <n v="2"/>
    <n v="3"/>
    <n v="1"/>
    <m/>
    <x v="1"/>
    <n v="0.56599211530489102"/>
  </r>
  <r>
    <x v="3"/>
    <x v="1"/>
    <x v="0"/>
    <x v="1"/>
    <x v="2"/>
    <x v="0"/>
    <x v="0"/>
    <x v="1"/>
    <x v="0"/>
    <x v="0"/>
    <n v="1"/>
    <n v="1"/>
    <n v="0"/>
    <m/>
    <x v="1"/>
    <n v="4.5095690087541995E-2"/>
  </r>
  <r>
    <x v="7"/>
    <x v="1"/>
    <x v="1"/>
    <x v="0"/>
    <x v="0"/>
    <x v="0"/>
    <x v="1"/>
    <x v="0"/>
    <x v="2"/>
    <x v="0"/>
    <n v="2"/>
    <n v="2"/>
    <n v="0"/>
    <m/>
    <x v="1"/>
    <n v="9.8983805585351997E-2"/>
  </r>
  <r>
    <x v="17"/>
    <x v="0"/>
    <x v="0"/>
    <x v="0"/>
    <x v="0"/>
    <x v="1"/>
    <x v="0"/>
    <x v="1"/>
    <x v="0"/>
    <x v="1"/>
    <n v="2"/>
    <n v="2"/>
    <n v="0"/>
    <n v="2"/>
    <x v="0"/>
    <n v="0.16825824609222664"/>
  </r>
  <r>
    <x v="22"/>
    <x v="1"/>
    <x v="0"/>
    <x v="0"/>
    <x v="3"/>
    <x v="0"/>
    <x v="0"/>
    <x v="1"/>
    <x v="1"/>
    <x v="8"/>
    <n v="1"/>
    <n v="2"/>
    <n v="0"/>
    <n v="1"/>
    <x v="0"/>
    <n v="0.16891351009180391"/>
  </r>
  <r>
    <x v="3"/>
    <x v="0"/>
    <x v="0"/>
    <x v="0"/>
    <x v="0"/>
    <x v="0"/>
    <x v="0"/>
    <x v="0"/>
    <x v="2"/>
    <x v="8"/>
    <n v="7"/>
    <n v="11"/>
    <n v="0"/>
    <m/>
    <x v="1"/>
    <n v="1.043529847015441"/>
  </r>
  <r>
    <x v="1"/>
    <x v="0"/>
    <x v="0"/>
    <x v="2"/>
    <x v="0"/>
    <x v="1"/>
    <x v="1"/>
    <x v="0"/>
    <x v="0"/>
    <x v="0"/>
    <n v="1"/>
    <n v="1"/>
    <n v="0"/>
    <n v="1"/>
    <x v="0"/>
    <n v="5.4080195828257752E-2"/>
  </r>
  <r>
    <x v="7"/>
    <x v="1"/>
    <x v="1"/>
    <x v="2"/>
    <x v="0"/>
    <x v="0"/>
    <x v="0"/>
    <x v="1"/>
    <x v="0"/>
    <x v="3"/>
    <n v="1"/>
    <n v="4"/>
    <n v="0"/>
    <m/>
    <x v="1"/>
    <n v="0.2422501738225927"/>
  </r>
  <r>
    <x v="4"/>
    <x v="0"/>
    <x v="1"/>
    <x v="0"/>
    <x v="3"/>
    <x v="1"/>
    <x v="1"/>
    <x v="1"/>
    <x v="1"/>
    <x v="4"/>
    <n v="1"/>
    <n v="1"/>
    <n v="0"/>
    <m/>
    <x v="1"/>
    <n v="3.796116348571927E-2"/>
  </r>
  <r>
    <x v="14"/>
    <x v="1"/>
    <x v="1"/>
    <x v="1"/>
    <x v="0"/>
    <x v="0"/>
    <x v="1"/>
    <x v="1"/>
    <x v="2"/>
    <x v="7"/>
    <n v="1"/>
    <n v="1"/>
    <n v="0"/>
    <m/>
    <x v="1"/>
    <n v="2.3197290433253883E-2"/>
  </r>
  <r>
    <x v="4"/>
    <x v="1"/>
    <x v="0"/>
    <x v="0"/>
    <x v="2"/>
    <x v="1"/>
    <x v="0"/>
    <x v="0"/>
    <x v="0"/>
    <x v="9"/>
    <n v="1"/>
    <n v="1"/>
    <n v="0"/>
    <m/>
    <x v="1"/>
    <n v="0.1692962067399281"/>
  </r>
  <r>
    <x v="15"/>
    <x v="0"/>
    <x v="0"/>
    <x v="1"/>
    <x v="2"/>
    <x v="1"/>
    <x v="1"/>
    <x v="0"/>
    <x v="0"/>
    <x v="7"/>
    <n v="1"/>
    <n v="1"/>
    <n v="0"/>
    <n v="1"/>
    <x v="0"/>
    <n v="2.8264594111214687E-2"/>
  </r>
  <r>
    <x v="15"/>
    <x v="0"/>
    <x v="0"/>
    <x v="0"/>
    <x v="1"/>
    <x v="1"/>
    <x v="0"/>
    <x v="1"/>
    <x v="2"/>
    <x v="9"/>
    <n v="5"/>
    <n v="8"/>
    <n v="0"/>
    <n v="4"/>
    <x v="0"/>
    <n v="1.8753424328857464"/>
  </r>
  <r>
    <x v="21"/>
    <x v="1"/>
    <x v="0"/>
    <x v="2"/>
    <x v="0"/>
    <x v="0"/>
    <x v="0"/>
    <x v="1"/>
    <x v="0"/>
    <x v="8"/>
    <n v="1"/>
    <n v="2"/>
    <n v="0"/>
    <m/>
    <x v="1"/>
    <n v="0.1698806119097156"/>
  </r>
  <r>
    <x v="0"/>
    <x v="0"/>
    <x v="1"/>
    <x v="2"/>
    <x v="0"/>
    <x v="1"/>
    <x v="0"/>
    <x v="0"/>
    <x v="1"/>
    <x v="0"/>
    <n v="2"/>
    <n v="2"/>
    <n v="0"/>
    <n v="2"/>
    <x v="0"/>
    <n v="0.10461559458137147"/>
  </r>
  <r>
    <x v="1"/>
    <x v="1"/>
    <x v="0"/>
    <x v="2"/>
    <x v="0"/>
    <x v="0"/>
    <x v="0"/>
    <x v="1"/>
    <x v="0"/>
    <x v="8"/>
    <n v="2"/>
    <n v="2"/>
    <n v="0"/>
    <n v="2"/>
    <x v="0"/>
    <n v="0.1698806119097156"/>
  </r>
  <r>
    <x v="11"/>
    <x v="0"/>
    <x v="0"/>
    <x v="1"/>
    <x v="1"/>
    <x v="0"/>
    <x v="0"/>
    <x v="1"/>
    <x v="0"/>
    <x v="4"/>
    <n v="2"/>
    <n v="4"/>
    <n v="0"/>
    <m/>
    <x v="1"/>
    <n v="0.12250638343225755"/>
  </r>
  <r>
    <x v="6"/>
    <x v="1"/>
    <x v="0"/>
    <x v="0"/>
    <x v="2"/>
    <x v="0"/>
    <x v="1"/>
    <x v="1"/>
    <x v="1"/>
    <x v="4"/>
    <n v="4"/>
    <n v="4"/>
    <n v="0"/>
    <m/>
    <x v="1"/>
    <n v="0.1248541942493863"/>
  </r>
  <r>
    <x v="14"/>
    <x v="0"/>
    <x v="1"/>
    <x v="0"/>
    <x v="2"/>
    <x v="0"/>
    <x v="0"/>
    <x v="1"/>
    <x v="0"/>
    <x v="0"/>
    <n v="1"/>
    <n v="4"/>
    <n v="0"/>
    <m/>
    <x v="1"/>
    <n v="0.18161110886938464"/>
  </r>
  <r>
    <x v="22"/>
    <x v="1"/>
    <x v="0"/>
    <x v="1"/>
    <x v="0"/>
    <x v="0"/>
    <x v="1"/>
    <x v="1"/>
    <x v="1"/>
    <x v="6"/>
    <n v="4"/>
    <n v="4"/>
    <n v="0"/>
    <n v="4"/>
    <x v="0"/>
    <n v="3.9659159156359182E-2"/>
  </r>
  <r>
    <x v="12"/>
    <x v="0"/>
    <x v="1"/>
    <x v="0"/>
    <x v="3"/>
    <x v="1"/>
    <x v="0"/>
    <x v="1"/>
    <x v="2"/>
    <x v="9"/>
    <n v="1"/>
    <n v="1"/>
    <n v="0"/>
    <m/>
    <x v="1"/>
    <n v="0.22166089127555452"/>
  </r>
  <r>
    <x v="8"/>
    <x v="0"/>
    <x v="1"/>
    <x v="1"/>
    <x v="0"/>
    <x v="0"/>
    <x v="1"/>
    <x v="0"/>
    <x v="1"/>
    <x v="6"/>
    <n v="1"/>
    <n v="1"/>
    <n v="0"/>
    <m/>
    <x v="1"/>
    <n v="4.5788555386867564E-3"/>
  </r>
  <r>
    <x v="2"/>
    <x v="0"/>
    <x v="0"/>
    <x v="1"/>
    <x v="0"/>
    <x v="1"/>
    <x v="0"/>
    <x v="0"/>
    <x v="0"/>
    <x v="4"/>
    <n v="1"/>
    <n v="1"/>
    <n v="0"/>
    <m/>
    <x v="1"/>
    <n v="4.0210562870550678E-2"/>
  </r>
  <r>
    <x v="15"/>
    <x v="0"/>
    <x v="1"/>
    <x v="1"/>
    <x v="0"/>
    <x v="1"/>
    <x v="0"/>
    <x v="1"/>
    <x v="1"/>
    <x v="5"/>
    <n v="1"/>
    <n v="1"/>
    <n v="0"/>
    <n v="1"/>
    <x v="0"/>
    <n v="1.8776796462310515E-2"/>
  </r>
  <r>
    <x v="17"/>
    <x v="1"/>
    <x v="1"/>
    <x v="1"/>
    <x v="0"/>
    <x v="0"/>
    <x v="1"/>
    <x v="0"/>
    <x v="0"/>
    <x v="6"/>
    <n v="1"/>
    <n v="1"/>
    <n v="0"/>
    <n v="1"/>
    <x v="0"/>
    <n v="1.0463975714453297E-2"/>
  </r>
  <r>
    <x v="7"/>
    <x v="0"/>
    <x v="0"/>
    <x v="2"/>
    <x v="0"/>
    <x v="0"/>
    <x v="0"/>
    <x v="0"/>
    <x v="0"/>
    <x v="0"/>
    <n v="3"/>
    <n v="5"/>
    <n v="0"/>
    <m/>
    <x v="1"/>
    <n v="0.28921761501049131"/>
  </r>
  <r>
    <x v="9"/>
    <x v="0"/>
    <x v="0"/>
    <x v="0"/>
    <x v="3"/>
    <x v="0"/>
    <x v="1"/>
    <x v="1"/>
    <x v="0"/>
    <x v="2"/>
    <n v="2"/>
    <n v="2"/>
    <n v="1"/>
    <n v="2"/>
    <x v="0"/>
    <n v="8.4091898540536794E-2"/>
  </r>
  <r>
    <x v="12"/>
    <x v="1"/>
    <x v="0"/>
    <x v="2"/>
    <x v="2"/>
    <x v="0"/>
    <x v="0"/>
    <x v="1"/>
    <x v="1"/>
    <x v="1"/>
    <n v="1"/>
    <n v="3"/>
    <n v="0"/>
    <m/>
    <x v="1"/>
    <n v="0.24665968708787422"/>
  </r>
  <r>
    <x v="19"/>
    <x v="1"/>
    <x v="1"/>
    <x v="1"/>
    <x v="1"/>
    <x v="1"/>
    <x v="0"/>
    <x v="1"/>
    <x v="1"/>
    <x v="4"/>
    <n v="1"/>
    <n v="1"/>
    <n v="0"/>
    <m/>
    <x v="1"/>
    <n v="4.1176226521704343E-2"/>
  </r>
  <r>
    <x v="4"/>
    <x v="0"/>
    <x v="1"/>
    <x v="2"/>
    <x v="2"/>
    <x v="1"/>
    <x v="1"/>
    <x v="1"/>
    <x v="1"/>
    <x v="4"/>
    <n v="1"/>
    <n v="1"/>
    <n v="0"/>
    <m/>
    <x v="1"/>
    <n v="3.6906111670654135E-2"/>
  </r>
  <r>
    <x v="20"/>
    <x v="1"/>
    <x v="0"/>
    <x v="0"/>
    <x v="1"/>
    <x v="0"/>
    <x v="1"/>
    <x v="1"/>
    <x v="1"/>
    <x v="4"/>
    <n v="1"/>
    <n v="1"/>
    <n v="0"/>
    <n v="1"/>
    <x v="0"/>
    <n v="3.1561122761615629E-2"/>
  </r>
  <r>
    <x v="22"/>
    <x v="1"/>
    <x v="0"/>
    <x v="0"/>
    <x v="3"/>
    <x v="0"/>
    <x v="0"/>
    <x v="1"/>
    <x v="2"/>
    <x v="9"/>
    <n v="2"/>
    <n v="4"/>
    <n v="0"/>
    <n v="1"/>
    <x v="0"/>
    <n v="0.95816249291672906"/>
  </r>
  <r>
    <x v="18"/>
    <x v="1"/>
    <x v="1"/>
    <x v="0"/>
    <x v="1"/>
    <x v="0"/>
    <x v="0"/>
    <x v="1"/>
    <x v="0"/>
    <x v="1"/>
    <n v="1"/>
    <n v="1"/>
    <n v="1"/>
    <m/>
    <x v="1"/>
    <n v="6.7805747848462938E-2"/>
  </r>
  <r>
    <x v="15"/>
    <x v="1"/>
    <x v="1"/>
    <x v="0"/>
    <x v="3"/>
    <x v="1"/>
    <x v="0"/>
    <x v="0"/>
    <x v="1"/>
    <x v="8"/>
    <n v="1"/>
    <n v="1"/>
    <n v="0"/>
    <n v="1"/>
    <x v="0"/>
    <n v="0.11197715523543472"/>
  </r>
  <r>
    <x v="4"/>
    <x v="0"/>
    <x v="0"/>
    <x v="0"/>
    <x v="0"/>
    <x v="1"/>
    <x v="1"/>
    <x v="1"/>
    <x v="2"/>
    <x v="8"/>
    <n v="1"/>
    <n v="1"/>
    <n v="0"/>
    <m/>
    <x v="1"/>
    <n v="8.8921637380936031E-2"/>
  </r>
  <r>
    <x v="10"/>
    <x v="1"/>
    <x v="0"/>
    <x v="0"/>
    <x v="2"/>
    <x v="0"/>
    <x v="0"/>
    <x v="1"/>
    <x v="2"/>
    <x v="9"/>
    <n v="1"/>
    <n v="3"/>
    <n v="0"/>
    <m/>
    <x v="1"/>
    <n v="0.56599211530489102"/>
  </r>
  <r>
    <x v="0"/>
    <x v="0"/>
    <x v="1"/>
    <x v="1"/>
    <x v="1"/>
    <x v="1"/>
    <x v="0"/>
    <x v="1"/>
    <x v="1"/>
    <x v="7"/>
    <n v="3"/>
    <n v="3"/>
    <n v="0"/>
    <n v="3"/>
    <x v="0"/>
    <n v="8.2857661993138126E-2"/>
  </r>
  <r>
    <x v="1"/>
    <x v="0"/>
    <x v="1"/>
    <x v="2"/>
    <x v="2"/>
    <x v="1"/>
    <x v="0"/>
    <x v="1"/>
    <x v="0"/>
    <x v="8"/>
    <n v="1"/>
    <n v="1"/>
    <n v="0"/>
    <n v="1"/>
    <x v="0"/>
    <n v="0.10964771003463976"/>
  </r>
  <r>
    <x v="5"/>
    <x v="0"/>
    <x v="0"/>
    <x v="0"/>
    <x v="3"/>
    <x v="0"/>
    <x v="1"/>
    <x v="1"/>
    <x v="0"/>
    <x v="2"/>
    <n v="1"/>
    <n v="1"/>
    <n v="0"/>
    <n v="1"/>
    <x v="0"/>
    <n v="4.2045949270268397E-2"/>
  </r>
  <r>
    <x v="20"/>
    <x v="0"/>
    <x v="0"/>
    <x v="2"/>
    <x v="0"/>
    <x v="0"/>
    <x v="1"/>
    <x v="1"/>
    <x v="0"/>
    <x v="7"/>
    <n v="2"/>
    <n v="2"/>
    <n v="0"/>
    <n v="2"/>
    <x v="0"/>
    <n v="5.6454772893196677E-2"/>
  </r>
  <r>
    <x v="11"/>
    <x v="0"/>
    <x v="1"/>
    <x v="1"/>
    <x v="2"/>
    <x v="1"/>
    <x v="1"/>
    <x v="1"/>
    <x v="1"/>
    <x v="6"/>
    <n v="1"/>
    <n v="1"/>
    <n v="0"/>
    <m/>
    <x v="1"/>
    <n v="1.3111498149720941E-2"/>
  </r>
  <r>
    <x v="1"/>
    <x v="0"/>
    <x v="1"/>
    <x v="2"/>
    <x v="1"/>
    <x v="0"/>
    <x v="0"/>
    <x v="1"/>
    <x v="2"/>
    <x v="8"/>
    <n v="1"/>
    <n v="1"/>
    <n v="0"/>
    <n v="1"/>
    <x v="0"/>
    <n v="0.12444404000559624"/>
  </r>
  <r>
    <x v="1"/>
    <x v="0"/>
    <x v="0"/>
    <x v="0"/>
    <x v="2"/>
    <x v="1"/>
    <x v="1"/>
    <x v="1"/>
    <x v="2"/>
    <x v="9"/>
    <n v="2"/>
    <n v="2"/>
    <n v="0"/>
    <n v="2"/>
    <x v="0"/>
    <n v="0.25055760538671029"/>
  </r>
  <r>
    <x v="19"/>
    <x v="0"/>
    <x v="1"/>
    <x v="1"/>
    <x v="1"/>
    <x v="1"/>
    <x v="0"/>
    <x v="1"/>
    <x v="1"/>
    <x v="7"/>
    <n v="1"/>
    <n v="1"/>
    <n v="0"/>
    <m/>
    <x v="1"/>
    <n v="2.7619220664379374E-2"/>
  </r>
  <r>
    <x v="6"/>
    <x v="1"/>
    <x v="0"/>
    <x v="2"/>
    <x v="2"/>
    <x v="0"/>
    <x v="1"/>
    <x v="1"/>
    <x v="0"/>
    <x v="3"/>
    <n v="1"/>
    <n v="3"/>
    <n v="0"/>
    <m/>
    <x v="1"/>
    <n v="0.18163210560897755"/>
  </r>
  <r>
    <x v="18"/>
    <x v="1"/>
    <x v="1"/>
    <x v="0"/>
    <x v="3"/>
    <x v="1"/>
    <x v="0"/>
    <x v="1"/>
    <x v="0"/>
    <x v="9"/>
    <n v="1"/>
    <n v="1"/>
    <n v="0"/>
    <m/>
    <x v="1"/>
    <n v="0.16088299756810187"/>
  </r>
  <r>
    <x v="2"/>
    <x v="0"/>
    <x v="0"/>
    <x v="1"/>
    <x v="0"/>
    <x v="0"/>
    <x v="0"/>
    <x v="1"/>
    <x v="0"/>
    <x v="5"/>
    <n v="1"/>
    <n v="1"/>
    <n v="0"/>
    <m/>
    <x v="1"/>
    <n v="2.0841983429204125E-2"/>
  </r>
  <r>
    <x v="9"/>
    <x v="1"/>
    <x v="0"/>
    <x v="2"/>
    <x v="0"/>
    <x v="0"/>
    <x v="0"/>
    <x v="1"/>
    <x v="0"/>
    <x v="8"/>
    <n v="1"/>
    <n v="1"/>
    <n v="0"/>
    <n v="1"/>
    <x v="0"/>
    <n v="8.4940305954857798E-2"/>
  </r>
  <r>
    <x v="15"/>
    <x v="1"/>
    <x v="1"/>
    <x v="0"/>
    <x v="2"/>
    <x v="1"/>
    <x v="1"/>
    <x v="1"/>
    <x v="1"/>
    <x v="2"/>
    <n v="2"/>
    <n v="2"/>
    <n v="0"/>
    <n v="2"/>
    <x v="0"/>
    <n v="8.4367847585785014E-2"/>
  </r>
  <r>
    <x v="6"/>
    <x v="0"/>
    <x v="1"/>
    <x v="1"/>
    <x v="1"/>
    <x v="0"/>
    <x v="0"/>
    <x v="1"/>
    <x v="2"/>
    <x v="0"/>
    <n v="1"/>
    <n v="1"/>
    <n v="0"/>
    <m/>
    <x v="1"/>
    <n v="4.6962864711200251E-2"/>
  </r>
  <r>
    <x v="19"/>
    <x v="0"/>
    <x v="1"/>
    <x v="2"/>
    <x v="2"/>
    <x v="0"/>
    <x v="0"/>
    <x v="1"/>
    <x v="0"/>
    <x v="3"/>
    <n v="1"/>
    <n v="1"/>
    <n v="0"/>
    <m/>
    <x v="1"/>
    <n v="5.8884716464189815E-2"/>
  </r>
  <r>
    <x v="10"/>
    <x v="1"/>
    <x v="1"/>
    <x v="0"/>
    <x v="3"/>
    <x v="0"/>
    <x v="1"/>
    <x v="1"/>
    <x v="2"/>
    <x v="8"/>
    <n v="1"/>
    <n v="2"/>
    <n v="0"/>
    <m/>
    <x v="1"/>
    <n v="0.18758846434347073"/>
  </r>
  <r>
    <x v="3"/>
    <x v="0"/>
    <x v="0"/>
    <x v="0"/>
    <x v="3"/>
    <x v="1"/>
    <x v="0"/>
    <x v="0"/>
    <x v="2"/>
    <x v="9"/>
    <n v="1"/>
    <n v="1"/>
    <n v="0"/>
    <m/>
    <x v="1"/>
    <n v="0.29081078354285356"/>
  </r>
  <r>
    <x v="16"/>
    <x v="0"/>
    <x v="1"/>
    <x v="0"/>
    <x v="3"/>
    <x v="1"/>
    <x v="0"/>
    <x v="1"/>
    <x v="2"/>
    <x v="9"/>
    <n v="1"/>
    <n v="1"/>
    <n v="0"/>
    <m/>
    <x v="1"/>
    <n v="0.22166089127555452"/>
  </r>
  <r>
    <x v="17"/>
    <x v="1"/>
    <x v="0"/>
    <x v="2"/>
    <x v="0"/>
    <x v="0"/>
    <x v="1"/>
    <x v="0"/>
    <x v="2"/>
    <x v="8"/>
    <n v="1"/>
    <n v="1"/>
    <n v="0"/>
    <n v="0"/>
    <x v="0"/>
    <n v="8.9774500731891763E-2"/>
  </r>
  <r>
    <x v="4"/>
    <x v="1"/>
    <x v="0"/>
    <x v="2"/>
    <x v="2"/>
    <x v="0"/>
    <x v="1"/>
    <x v="0"/>
    <x v="0"/>
    <x v="3"/>
    <n v="1"/>
    <n v="1"/>
    <n v="0"/>
    <m/>
    <x v="1"/>
    <n v="6.0544035202992515E-2"/>
  </r>
  <r>
    <x v="22"/>
    <x v="0"/>
    <x v="1"/>
    <x v="0"/>
    <x v="1"/>
    <x v="1"/>
    <x v="0"/>
    <x v="1"/>
    <x v="0"/>
    <x v="8"/>
    <n v="1"/>
    <n v="1"/>
    <n v="0"/>
    <n v="1"/>
    <x v="0"/>
    <n v="8.6499592639521644E-2"/>
  </r>
  <r>
    <x v="16"/>
    <x v="1"/>
    <x v="0"/>
    <x v="1"/>
    <x v="2"/>
    <x v="1"/>
    <x v="0"/>
    <x v="1"/>
    <x v="1"/>
    <x v="0"/>
    <n v="1"/>
    <n v="1"/>
    <n v="0"/>
    <m/>
    <x v="1"/>
    <n v="5.7610445646867868E-2"/>
  </r>
  <r>
    <x v="12"/>
    <x v="0"/>
    <x v="0"/>
    <x v="0"/>
    <x v="2"/>
    <x v="1"/>
    <x v="0"/>
    <x v="0"/>
    <x v="1"/>
    <x v="1"/>
    <n v="1"/>
    <n v="3"/>
    <n v="0"/>
    <m/>
    <x v="1"/>
    <n v="0.24429714241450645"/>
  </r>
  <r>
    <x v="4"/>
    <x v="0"/>
    <x v="1"/>
    <x v="0"/>
    <x v="0"/>
    <x v="0"/>
    <x v="1"/>
    <x v="0"/>
    <x v="1"/>
    <x v="6"/>
    <n v="3"/>
    <n v="3"/>
    <n v="0"/>
    <m/>
    <x v="1"/>
    <n v="2.9954434046201708E-2"/>
  </r>
  <r>
    <x v="21"/>
    <x v="0"/>
    <x v="0"/>
    <x v="1"/>
    <x v="1"/>
    <x v="0"/>
    <x v="0"/>
    <x v="1"/>
    <x v="0"/>
    <x v="4"/>
    <n v="1"/>
    <n v="2"/>
    <n v="0"/>
    <m/>
    <x v="1"/>
    <n v="6.1253191716128773E-2"/>
  </r>
  <r>
    <x v="15"/>
    <x v="0"/>
    <x v="0"/>
    <x v="1"/>
    <x v="3"/>
    <x v="1"/>
    <x v="1"/>
    <x v="1"/>
    <x v="1"/>
    <x v="7"/>
    <n v="1"/>
    <n v="1"/>
    <n v="0"/>
    <n v="1"/>
    <x v="0"/>
    <n v="2.5259012821724224E-2"/>
  </r>
  <r>
    <x v="10"/>
    <x v="1"/>
    <x v="0"/>
    <x v="0"/>
    <x v="2"/>
    <x v="1"/>
    <x v="0"/>
    <x v="0"/>
    <x v="0"/>
    <x v="9"/>
    <n v="1"/>
    <n v="2"/>
    <n v="0"/>
    <m/>
    <x v="1"/>
    <n v="0.33859241347985619"/>
  </r>
  <r>
    <x v="21"/>
    <x v="0"/>
    <x v="0"/>
    <x v="0"/>
    <x v="2"/>
    <x v="1"/>
    <x v="0"/>
    <x v="0"/>
    <x v="0"/>
    <x v="8"/>
    <n v="1"/>
    <n v="1"/>
    <n v="0"/>
    <m/>
    <x v="1"/>
    <n v="0.11878225625148879"/>
  </r>
  <r>
    <x v="4"/>
    <x v="0"/>
    <x v="1"/>
    <x v="1"/>
    <x v="0"/>
    <x v="0"/>
    <x v="1"/>
    <x v="0"/>
    <x v="1"/>
    <x v="6"/>
    <n v="1"/>
    <n v="1"/>
    <n v="0"/>
    <m/>
    <x v="1"/>
    <n v="4.5788555386867564E-3"/>
  </r>
  <r>
    <x v="19"/>
    <x v="0"/>
    <x v="0"/>
    <x v="0"/>
    <x v="0"/>
    <x v="1"/>
    <x v="0"/>
    <x v="0"/>
    <x v="0"/>
    <x v="1"/>
    <n v="3"/>
    <n v="4"/>
    <n v="0"/>
    <m/>
    <x v="1"/>
    <n v="0.33651649218445329"/>
  </r>
  <r>
    <x v="10"/>
    <x v="0"/>
    <x v="1"/>
    <x v="0"/>
    <x v="2"/>
    <x v="1"/>
    <x v="0"/>
    <x v="0"/>
    <x v="1"/>
    <x v="0"/>
    <n v="2"/>
    <n v="2"/>
    <n v="0"/>
    <m/>
    <x v="1"/>
    <n v="0.11599515635345517"/>
  </r>
  <r>
    <x v="17"/>
    <x v="0"/>
    <x v="1"/>
    <x v="0"/>
    <x v="0"/>
    <x v="0"/>
    <x v="0"/>
    <x v="1"/>
    <x v="2"/>
    <x v="1"/>
    <n v="1"/>
    <n v="1"/>
    <n v="0"/>
    <n v="1"/>
    <x v="0"/>
    <n v="6.785105877159095E-2"/>
  </r>
  <r>
    <x v="4"/>
    <x v="0"/>
    <x v="1"/>
    <x v="0"/>
    <x v="2"/>
    <x v="0"/>
    <x v="0"/>
    <x v="0"/>
    <x v="2"/>
    <x v="8"/>
    <n v="2"/>
    <n v="2"/>
    <n v="0"/>
    <m/>
    <x v="1"/>
    <n v="0.19301139789125732"/>
  </r>
  <r>
    <x v="9"/>
    <x v="1"/>
    <x v="0"/>
    <x v="0"/>
    <x v="2"/>
    <x v="1"/>
    <x v="0"/>
    <x v="1"/>
    <x v="0"/>
    <x v="9"/>
    <n v="2"/>
    <n v="2"/>
    <n v="0"/>
    <n v="2"/>
    <x v="0"/>
    <n v="0.33859241347985619"/>
  </r>
  <r>
    <x v="22"/>
    <x v="1"/>
    <x v="1"/>
    <x v="2"/>
    <x v="0"/>
    <x v="0"/>
    <x v="1"/>
    <x v="0"/>
    <x v="2"/>
    <x v="3"/>
    <n v="1"/>
    <n v="1"/>
    <n v="1"/>
    <n v="1"/>
    <x v="0"/>
    <n v="6.410652825092876E-2"/>
  </r>
  <r>
    <x v="20"/>
    <x v="1"/>
    <x v="1"/>
    <x v="1"/>
    <x v="0"/>
    <x v="0"/>
    <x v="1"/>
    <x v="1"/>
    <x v="1"/>
    <x v="6"/>
    <n v="1"/>
    <n v="1"/>
    <n v="0"/>
    <n v="1"/>
    <x v="0"/>
    <n v="6.9067353216518941E-3"/>
  </r>
  <r>
    <x v="16"/>
    <x v="1"/>
    <x v="1"/>
    <x v="0"/>
    <x v="3"/>
    <x v="1"/>
    <x v="0"/>
    <x v="1"/>
    <x v="0"/>
    <x v="9"/>
    <n v="2"/>
    <n v="2"/>
    <n v="0"/>
    <m/>
    <x v="1"/>
    <n v="0.32176599513620374"/>
  </r>
  <r>
    <x v="4"/>
    <x v="0"/>
    <x v="1"/>
    <x v="1"/>
    <x v="0"/>
    <x v="0"/>
    <x v="0"/>
    <x v="1"/>
    <x v="1"/>
    <x v="6"/>
    <n v="1"/>
    <n v="1"/>
    <n v="0"/>
    <m/>
    <x v="1"/>
    <n v="9.6288351632262403E-3"/>
  </r>
  <r>
    <x v="8"/>
    <x v="0"/>
    <x v="0"/>
    <x v="1"/>
    <x v="1"/>
    <x v="1"/>
    <x v="0"/>
    <x v="1"/>
    <x v="0"/>
    <x v="0"/>
    <n v="1"/>
    <n v="1"/>
    <n v="0"/>
    <m/>
    <x v="1"/>
    <n v="5.8544404469129376E-2"/>
  </r>
  <r>
    <x v="19"/>
    <x v="0"/>
    <x v="0"/>
    <x v="0"/>
    <x v="0"/>
    <x v="0"/>
    <x v="1"/>
    <x v="1"/>
    <x v="2"/>
    <x v="0"/>
    <n v="1"/>
    <n v="2"/>
    <n v="0"/>
    <m/>
    <x v="1"/>
    <n v="9.4489829543465659E-2"/>
  </r>
  <r>
    <x v="15"/>
    <x v="1"/>
    <x v="1"/>
    <x v="2"/>
    <x v="2"/>
    <x v="1"/>
    <x v="0"/>
    <x v="0"/>
    <x v="2"/>
    <x v="9"/>
    <n v="1"/>
    <n v="1"/>
    <n v="0"/>
    <n v="1"/>
    <x v="0"/>
    <n v="0.29485768452062661"/>
  </r>
  <r>
    <x v="17"/>
    <x v="1"/>
    <x v="1"/>
    <x v="0"/>
    <x v="2"/>
    <x v="1"/>
    <x v="0"/>
    <x v="1"/>
    <x v="1"/>
    <x v="8"/>
    <n v="1"/>
    <n v="1"/>
    <n v="0"/>
    <n v="1"/>
    <x v="0"/>
    <n v="8.5160005166699276E-2"/>
  </r>
  <r>
    <x v="17"/>
    <x v="1"/>
    <x v="0"/>
    <x v="0"/>
    <x v="0"/>
    <x v="0"/>
    <x v="1"/>
    <x v="0"/>
    <x v="2"/>
    <x v="1"/>
    <n v="2"/>
    <n v="4"/>
    <n v="0"/>
    <n v="2"/>
    <x v="0"/>
    <n v="0.27897726641771564"/>
  </r>
  <r>
    <x v="7"/>
    <x v="1"/>
    <x v="0"/>
    <x v="2"/>
    <x v="2"/>
    <x v="0"/>
    <x v="1"/>
    <x v="0"/>
    <x v="1"/>
    <x v="4"/>
    <n v="1"/>
    <n v="1"/>
    <n v="0"/>
    <m/>
    <x v="1"/>
    <n v="4.066159666363986E-2"/>
  </r>
  <r>
    <x v="7"/>
    <x v="0"/>
    <x v="0"/>
    <x v="2"/>
    <x v="2"/>
    <x v="1"/>
    <x v="1"/>
    <x v="0"/>
    <x v="0"/>
    <x v="1"/>
    <n v="1"/>
    <n v="1"/>
    <n v="0"/>
    <m/>
    <x v="1"/>
    <n v="7.7402080283077657E-2"/>
  </r>
  <r>
    <x v="9"/>
    <x v="0"/>
    <x v="0"/>
    <x v="0"/>
    <x v="2"/>
    <x v="0"/>
    <x v="1"/>
    <x v="1"/>
    <x v="1"/>
    <x v="5"/>
    <n v="3"/>
    <n v="4"/>
    <n v="0"/>
    <n v="3"/>
    <x v="0"/>
    <n v="8.3461237697431911E-2"/>
  </r>
  <r>
    <x v="19"/>
    <x v="0"/>
    <x v="0"/>
    <x v="1"/>
    <x v="0"/>
    <x v="1"/>
    <x v="0"/>
    <x v="0"/>
    <x v="0"/>
    <x v="4"/>
    <n v="1"/>
    <n v="1"/>
    <n v="0"/>
    <m/>
    <x v="1"/>
    <n v="4.0210562870550678E-2"/>
  </r>
  <r>
    <x v="4"/>
    <x v="1"/>
    <x v="1"/>
    <x v="1"/>
    <x v="2"/>
    <x v="0"/>
    <x v="0"/>
    <x v="1"/>
    <x v="2"/>
    <x v="1"/>
    <n v="2"/>
    <n v="2"/>
    <n v="0"/>
    <m/>
    <x v="1"/>
    <n v="0.13720718897322309"/>
  </r>
  <r>
    <x v="9"/>
    <x v="1"/>
    <x v="1"/>
    <x v="0"/>
    <x v="2"/>
    <x v="0"/>
    <x v="1"/>
    <x v="1"/>
    <x v="2"/>
    <x v="1"/>
    <n v="1"/>
    <n v="1"/>
    <n v="1"/>
    <n v="1"/>
    <x v="0"/>
    <n v="7.0983587013537311E-2"/>
  </r>
  <r>
    <x v="16"/>
    <x v="0"/>
    <x v="0"/>
    <x v="1"/>
    <x v="0"/>
    <x v="0"/>
    <x v="1"/>
    <x v="1"/>
    <x v="2"/>
    <x v="7"/>
    <n v="1"/>
    <n v="1"/>
    <n v="0"/>
    <m/>
    <x v="1"/>
    <n v="2.2116330033594731E-2"/>
  </r>
  <r>
    <x v="12"/>
    <x v="1"/>
    <x v="1"/>
    <x v="0"/>
    <x v="1"/>
    <x v="0"/>
    <x v="0"/>
    <x v="1"/>
    <x v="2"/>
    <x v="9"/>
    <n v="1"/>
    <n v="1"/>
    <n v="0"/>
    <m/>
    <x v="1"/>
    <n v="0.14041519572004721"/>
  </r>
  <r>
    <x v="3"/>
    <x v="1"/>
    <x v="0"/>
    <x v="2"/>
    <x v="0"/>
    <x v="0"/>
    <x v="0"/>
    <x v="1"/>
    <x v="0"/>
    <x v="8"/>
    <n v="1"/>
    <n v="2"/>
    <n v="0"/>
    <m/>
    <x v="1"/>
    <n v="0.1698806119097156"/>
  </r>
  <r>
    <x v="21"/>
    <x v="1"/>
    <x v="1"/>
    <x v="0"/>
    <x v="0"/>
    <x v="0"/>
    <x v="1"/>
    <x v="1"/>
    <x v="2"/>
    <x v="0"/>
    <n v="1"/>
    <n v="1"/>
    <n v="0"/>
    <m/>
    <x v="1"/>
    <n v="4.9491902792675999E-2"/>
  </r>
  <r>
    <x v="10"/>
    <x v="0"/>
    <x v="1"/>
    <x v="2"/>
    <x v="0"/>
    <x v="0"/>
    <x v="1"/>
    <x v="0"/>
    <x v="1"/>
    <x v="6"/>
    <n v="1"/>
    <n v="2"/>
    <n v="0"/>
    <m/>
    <x v="1"/>
    <n v="2.6187938623725072E-2"/>
  </r>
  <r>
    <x v="1"/>
    <x v="1"/>
    <x v="1"/>
    <x v="0"/>
    <x v="0"/>
    <x v="1"/>
    <x v="1"/>
    <x v="0"/>
    <x v="1"/>
    <x v="7"/>
    <n v="2"/>
    <n v="2"/>
    <n v="1"/>
    <n v="2"/>
    <x v="0"/>
    <n v="5.8276832597682536E-2"/>
  </r>
  <r>
    <x v="7"/>
    <x v="1"/>
    <x v="0"/>
    <x v="0"/>
    <x v="1"/>
    <x v="1"/>
    <x v="0"/>
    <x v="1"/>
    <x v="0"/>
    <x v="9"/>
    <n v="1"/>
    <n v="3"/>
    <n v="0"/>
    <m/>
    <x v="1"/>
    <n v="0.5127303691477838"/>
  </r>
  <r>
    <x v="2"/>
    <x v="0"/>
    <x v="1"/>
    <x v="2"/>
    <x v="0"/>
    <x v="0"/>
    <x v="1"/>
    <x v="1"/>
    <x v="1"/>
    <x v="6"/>
    <n v="1"/>
    <n v="1"/>
    <n v="0"/>
    <m/>
    <x v="1"/>
    <n v="1.3093969311862536E-2"/>
  </r>
  <r>
    <x v="0"/>
    <x v="1"/>
    <x v="0"/>
    <x v="0"/>
    <x v="3"/>
    <x v="0"/>
    <x v="1"/>
    <x v="1"/>
    <x v="0"/>
    <x v="3"/>
    <n v="1"/>
    <n v="1"/>
    <n v="0"/>
    <n v="1"/>
    <x v="0"/>
    <n v="6.2231171033494175E-2"/>
  </r>
  <r>
    <x v="11"/>
    <x v="1"/>
    <x v="1"/>
    <x v="0"/>
    <x v="2"/>
    <x v="1"/>
    <x v="1"/>
    <x v="0"/>
    <x v="1"/>
    <x v="2"/>
    <n v="1"/>
    <n v="1"/>
    <n v="0"/>
    <m/>
    <x v="1"/>
    <n v="4.2183923792892507E-2"/>
  </r>
  <r>
    <x v="7"/>
    <x v="0"/>
    <x v="0"/>
    <x v="2"/>
    <x v="2"/>
    <x v="0"/>
    <x v="0"/>
    <x v="1"/>
    <x v="1"/>
    <x v="0"/>
    <n v="1"/>
    <n v="1"/>
    <n v="0"/>
    <m/>
    <x v="1"/>
    <n v="5.5937898870790044E-2"/>
  </r>
  <r>
    <x v="12"/>
    <x v="0"/>
    <x v="0"/>
    <x v="0"/>
    <x v="3"/>
    <x v="1"/>
    <x v="1"/>
    <x v="1"/>
    <x v="2"/>
    <x v="9"/>
    <n v="2"/>
    <n v="2"/>
    <n v="0"/>
    <m/>
    <x v="1"/>
    <n v="0.32497126456482978"/>
  </r>
  <r>
    <x v="17"/>
    <x v="0"/>
    <x v="0"/>
    <x v="0"/>
    <x v="2"/>
    <x v="0"/>
    <x v="1"/>
    <x v="1"/>
    <x v="2"/>
    <x v="1"/>
    <n v="3"/>
    <n v="7"/>
    <n v="1"/>
    <n v="3"/>
    <x v="0"/>
    <n v="0.47481338753970892"/>
  </r>
  <r>
    <x v="9"/>
    <x v="0"/>
    <x v="1"/>
    <x v="2"/>
    <x v="0"/>
    <x v="0"/>
    <x v="0"/>
    <x v="0"/>
    <x v="0"/>
    <x v="4"/>
    <n v="1"/>
    <n v="1"/>
    <n v="0"/>
    <n v="1"/>
    <x v="0"/>
    <n v="4.089495301709424E-2"/>
  </r>
  <r>
    <x v="21"/>
    <x v="1"/>
    <x v="1"/>
    <x v="0"/>
    <x v="2"/>
    <x v="0"/>
    <x v="0"/>
    <x v="1"/>
    <x v="2"/>
    <x v="9"/>
    <n v="2"/>
    <n v="4"/>
    <n v="0"/>
    <m/>
    <x v="1"/>
    <n v="0.55616380960994893"/>
  </r>
  <r>
    <x v="22"/>
    <x v="0"/>
    <x v="0"/>
    <x v="1"/>
    <x v="2"/>
    <x v="1"/>
    <x v="0"/>
    <x v="0"/>
    <x v="0"/>
    <x v="0"/>
    <n v="1"/>
    <n v="1"/>
    <n v="0"/>
    <n v="1"/>
    <x v="0"/>
    <n v="5.7917442228855184E-2"/>
  </r>
  <r>
    <x v="12"/>
    <x v="1"/>
    <x v="0"/>
    <x v="0"/>
    <x v="2"/>
    <x v="1"/>
    <x v="0"/>
    <x v="0"/>
    <x v="2"/>
    <x v="9"/>
    <n v="1"/>
    <n v="1"/>
    <n v="0"/>
    <m/>
    <x v="1"/>
    <n v="0.31398055376811668"/>
  </r>
  <r>
    <x v="22"/>
    <x v="1"/>
    <x v="0"/>
    <x v="1"/>
    <x v="0"/>
    <x v="0"/>
    <x v="0"/>
    <x v="1"/>
    <x v="1"/>
    <x v="5"/>
    <n v="1"/>
    <n v="1"/>
    <n v="0"/>
    <n v="1"/>
    <x v="0"/>
    <n v="2.0727184867413109E-2"/>
  </r>
  <r>
    <x v="12"/>
    <x v="1"/>
    <x v="0"/>
    <x v="2"/>
    <x v="0"/>
    <x v="1"/>
    <x v="0"/>
    <x v="1"/>
    <x v="1"/>
    <x v="8"/>
    <n v="1"/>
    <n v="1"/>
    <n v="0"/>
    <m/>
    <x v="1"/>
    <n v="0.10727040371594192"/>
  </r>
  <r>
    <x v="18"/>
    <x v="1"/>
    <x v="0"/>
    <x v="0"/>
    <x v="0"/>
    <x v="0"/>
    <x v="0"/>
    <x v="1"/>
    <x v="2"/>
    <x v="9"/>
    <n v="2"/>
    <n v="2"/>
    <n v="0"/>
    <m/>
    <x v="1"/>
    <n v="0.27357689459332679"/>
  </r>
  <r>
    <x v="16"/>
    <x v="0"/>
    <x v="0"/>
    <x v="0"/>
    <x v="2"/>
    <x v="0"/>
    <x v="1"/>
    <x v="0"/>
    <x v="2"/>
    <x v="1"/>
    <n v="1"/>
    <n v="1"/>
    <n v="0"/>
    <m/>
    <x v="1"/>
    <n v="6.7830483934244123E-2"/>
  </r>
  <r>
    <x v="20"/>
    <x v="1"/>
    <x v="0"/>
    <x v="0"/>
    <x v="2"/>
    <x v="0"/>
    <x v="1"/>
    <x v="0"/>
    <x v="1"/>
    <x v="4"/>
    <n v="1"/>
    <n v="1"/>
    <n v="1"/>
    <n v="1"/>
    <x v="0"/>
    <n v="3.1213548562346576E-2"/>
  </r>
  <r>
    <x v="2"/>
    <x v="0"/>
    <x v="1"/>
    <x v="0"/>
    <x v="2"/>
    <x v="0"/>
    <x v="0"/>
    <x v="0"/>
    <x v="0"/>
    <x v="0"/>
    <n v="1"/>
    <n v="1"/>
    <n v="0"/>
    <m/>
    <x v="1"/>
    <n v="4.540277721734616E-2"/>
  </r>
  <r>
    <x v="14"/>
    <x v="1"/>
    <x v="1"/>
    <x v="0"/>
    <x v="2"/>
    <x v="1"/>
    <x v="0"/>
    <x v="1"/>
    <x v="1"/>
    <x v="8"/>
    <n v="2"/>
    <n v="3"/>
    <n v="0"/>
    <m/>
    <x v="1"/>
    <n v="0.25548001550009786"/>
  </r>
  <r>
    <x v="15"/>
    <x v="1"/>
    <x v="0"/>
    <x v="2"/>
    <x v="0"/>
    <x v="0"/>
    <x v="1"/>
    <x v="1"/>
    <x v="0"/>
    <x v="2"/>
    <n v="1"/>
    <n v="1"/>
    <n v="0"/>
    <n v="1"/>
    <x v="0"/>
    <n v="4.2069997453546046E-2"/>
  </r>
  <r>
    <x v="4"/>
    <x v="0"/>
    <x v="0"/>
    <x v="0"/>
    <x v="2"/>
    <x v="1"/>
    <x v="0"/>
    <x v="1"/>
    <x v="0"/>
    <x v="8"/>
    <n v="1"/>
    <n v="3"/>
    <n v="0"/>
    <m/>
    <x v="1"/>
    <n v="0.35634676875446636"/>
  </r>
  <r>
    <x v="2"/>
    <x v="0"/>
    <x v="0"/>
    <x v="0"/>
    <x v="3"/>
    <x v="1"/>
    <x v="0"/>
    <x v="0"/>
    <x v="1"/>
    <x v="8"/>
    <n v="1"/>
    <n v="2"/>
    <n v="0"/>
    <m/>
    <x v="1"/>
    <n v="0.21442651361065859"/>
  </r>
  <r>
    <x v="1"/>
    <x v="1"/>
    <x v="0"/>
    <x v="0"/>
    <x v="3"/>
    <x v="1"/>
    <x v="1"/>
    <x v="1"/>
    <x v="2"/>
    <x v="9"/>
    <n v="1"/>
    <n v="1"/>
    <n v="0"/>
    <n v="1"/>
    <x v="0"/>
    <n v="0.22680169202414502"/>
  </r>
  <r>
    <x v="15"/>
    <x v="1"/>
    <x v="1"/>
    <x v="0"/>
    <x v="3"/>
    <x v="1"/>
    <x v="0"/>
    <x v="1"/>
    <x v="2"/>
    <x v="9"/>
    <n v="1"/>
    <n v="2"/>
    <n v="0"/>
    <n v="1"/>
    <x v="0"/>
    <n v="0.60196473110228521"/>
  </r>
  <r>
    <x v="6"/>
    <x v="1"/>
    <x v="0"/>
    <x v="0"/>
    <x v="0"/>
    <x v="0"/>
    <x v="1"/>
    <x v="0"/>
    <x v="0"/>
    <x v="4"/>
    <n v="1"/>
    <n v="1"/>
    <n v="0"/>
    <m/>
    <x v="1"/>
    <n v="3.2305716383655897E-2"/>
  </r>
  <r>
    <x v="19"/>
    <x v="1"/>
    <x v="0"/>
    <x v="0"/>
    <x v="0"/>
    <x v="1"/>
    <x v="1"/>
    <x v="0"/>
    <x v="1"/>
    <x v="4"/>
    <n v="1"/>
    <n v="1"/>
    <n v="0"/>
    <m/>
    <x v="1"/>
    <n v="4.1425033735772165E-2"/>
  </r>
  <r>
    <x v="4"/>
    <x v="0"/>
    <x v="0"/>
    <x v="0"/>
    <x v="2"/>
    <x v="0"/>
    <x v="1"/>
    <x v="1"/>
    <x v="1"/>
    <x v="5"/>
    <n v="2"/>
    <n v="2"/>
    <n v="0"/>
    <m/>
    <x v="1"/>
    <n v="4.1730618848715956E-2"/>
  </r>
  <r>
    <x v="0"/>
    <x v="1"/>
    <x v="0"/>
    <x v="0"/>
    <x v="3"/>
    <x v="0"/>
    <x v="1"/>
    <x v="1"/>
    <x v="1"/>
    <x v="4"/>
    <n v="1"/>
    <n v="1"/>
    <n v="0"/>
    <n v="1"/>
    <x v="0"/>
    <n v="4.1819346475315163E-2"/>
  </r>
  <r>
    <x v="13"/>
    <x v="1"/>
    <x v="0"/>
    <x v="1"/>
    <x v="0"/>
    <x v="0"/>
    <x v="1"/>
    <x v="1"/>
    <x v="2"/>
    <x v="4"/>
    <n v="1"/>
    <n v="1"/>
    <n v="0"/>
    <m/>
    <x v="1"/>
    <n v="3.306406644322489E-2"/>
  </r>
  <r>
    <x v="9"/>
    <x v="0"/>
    <x v="1"/>
    <x v="1"/>
    <x v="2"/>
    <x v="0"/>
    <x v="1"/>
    <x v="1"/>
    <x v="2"/>
    <x v="7"/>
    <n v="1"/>
    <n v="1"/>
    <n v="0"/>
    <n v="1"/>
    <x v="0"/>
    <n v="2.2529806175554733E-2"/>
  </r>
  <r>
    <x v="2"/>
    <x v="0"/>
    <x v="0"/>
    <x v="0"/>
    <x v="0"/>
    <x v="1"/>
    <x v="0"/>
    <x v="0"/>
    <x v="2"/>
    <x v="9"/>
    <n v="1"/>
    <n v="1"/>
    <n v="0"/>
    <m/>
    <x v="1"/>
    <n v="0.1710116934768498"/>
  </r>
  <r>
    <x v="9"/>
    <x v="1"/>
    <x v="0"/>
    <x v="2"/>
    <x v="3"/>
    <x v="0"/>
    <x v="0"/>
    <x v="1"/>
    <x v="0"/>
    <x v="9"/>
    <n v="1"/>
    <n v="1"/>
    <n v="1"/>
    <n v="1"/>
    <x v="0"/>
    <n v="0.15577373535327643"/>
  </r>
  <r>
    <x v="6"/>
    <x v="0"/>
    <x v="0"/>
    <x v="0"/>
    <x v="3"/>
    <x v="0"/>
    <x v="0"/>
    <x v="1"/>
    <x v="0"/>
    <x v="8"/>
    <n v="1"/>
    <n v="1"/>
    <n v="0"/>
    <m/>
    <x v="1"/>
    <n v="8.4893923858991527E-2"/>
  </r>
  <r>
    <x v="1"/>
    <x v="0"/>
    <x v="0"/>
    <x v="1"/>
    <x v="2"/>
    <x v="0"/>
    <x v="0"/>
    <x v="0"/>
    <x v="1"/>
    <x v="5"/>
    <n v="1"/>
    <n v="1"/>
    <n v="0"/>
    <n v="1"/>
    <x v="0"/>
    <n v="2.0129311329445246E-2"/>
  </r>
  <r>
    <x v="19"/>
    <x v="1"/>
    <x v="0"/>
    <x v="2"/>
    <x v="2"/>
    <x v="1"/>
    <x v="0"/>
    <x v="0"/>
    <x v="0"/>
    <x v="9"/>
    <n v="1"/>
    <n v="1"/>
    <n v="0"/>
    <m/>
    <x v="1"/>
    <n v="0.21141932175066067"/>
  </r>
  <r>
    <x v="21"/>
    <x v="1"/>
    <x v="0"/>
    <x v="0"/>
    <x v="0"/>
    <x v="0"/>
    <x v="1"/>
    <x v="0"/>
    <x v="0"/>
    <x v="4"/>
    <n v="3"/>
    <n v="4"/>
    <n v="0"/>
    <m/>
    <x v="1"/>
    <n v="0.12922286553462359"/>
  </r>
  <r>
    <x v="7"/>
    <x v="0"/>
    <x v="0"/>
    <x v="2"/>
    <x v="2"/>
    <x v="1"/>
    <x v="0"/>
    <x v="0"/>
    <x v="1"/>
    <x v="8"/>
    <n v="1"/>
    <n v="1"/>
    <n v="0"/>
    <m/>
    <x v="1"/>
    <n v="0.10444244110474776"/>
  </r>
  <r>
    <x v="15"/>
    <x v="0"/>
    <x v="1"/>
    <x v="1"/>
    <x v="0"/>
    <x v="0"/>
    <x v="0"/>
    <x v="0"/>
    <x v="0"/>
    <x v="5"/>
    <n v="1"/>
    <n v="1"/>
    <n v="0"/>
    <n v="0"/>
    <x v="0"/>
    <n v="1.4567498552386326E-2"/>
  </r>
  <r>
    <x v="11"/>
    <x v="0"/>
    <x v="1"/>
    <x v="0"/>
    <x v="0"/>
    <x v="0"/>
    <x v="0"/>
    <x v="0"/>
    <x v="2"/>
    <x v="1"/>
    <n v="2"/>
    <n v="3"/>
    <n v="0"/>
    <m/>
    <x v="1"/>
    <n v="0.20355317631477285"/>
  </r>
  <r>
    <x v="15"/>
    <x v="1"/>
    <x v="1"/>
    <x v="2"/>
    <x v="0"/>
    <x v="0"/>
    <x v="1"/>
    <x v="1"/>
    <x v="1"/>
    <x v="5"/>
    <n v="1"/>
    <n v="1"/>
    <n v="1"/>
    <n v="1"/>
    <x v="0"/>
    <n v="1.9665389303685415E-2"/>
  </r>
  <r>
    <x v="10"/>
    <x v="1"/>
    <x v="0"/>
    <x v="1"/>
    <x v="2"/>
    <x v="1"/>
    <x v="1"/>
    <x v="1"/>
    <x v="1"/>
    <x v="7"/>
    <n v="1"/>
    <n v="1"/>
    <n v="0"/>
    <m/>
    <x v="1"/>
    <n v="2.811008520036597E-2"/>
  </r>
  <r>
    <x v="11"/>
    <x v="0"/>
    <x v="1"/>
    <x v="0"/>
    <x v="2"/>
    <x v="1"/>
    <x v="0"/>
    <x v="1"/>
    <x v="1"/>
    <x v="0"/>
    <n v="1"/>
    <n v="1"/>
    <n v="0"/>
    <m/>
    <x v="1"/>
    <n v="5.7997578176727585E-2"/>
  </r>
  <r>
    <x v="14"/>
    <x v="0"/>
    <x v="1"/>
    <x v="2"/>
    <x v="0"/>
    <x v="0"/>
    <x v="1"/>
    <x v="1"/>
    <x v="1"/>
    <x v="6"/>
    <n v="1"/>
    <n v="1"/>
    <n v="0"/>
    <m/>
    <x v="1"/>
    <n v="1.3093969311862536E-2"/>
  </r>
  <r>
    <x v="3"/>
    <x v="0"/>
    <x v="0"/>
    <x v="2"/>
    <x v="2"/>
    <x v="0"/>
    <x v="0"/>
    <x v="0"/>
    <x v="2"/>
    <x v="9"/>
    <n v="2"/>
    <n v="2"/>
    <n v="0"/>
    <m/>
    <x v="1"/>
    <n v="0.33655861738858139"/>
  </r>
  <r>
    <x v="17"/>
    <x v="1"/>
    <x v="0"/>
    <x v="1"/>
    <x v="2"/>
    <x v="0"/>
    <x v="0"/>
    <x v="1"/>
    <x v="2"/>
    <x v="8"/>
    <n v="1"/>
    <n v="1"/>
    <n v="0"/>
    <n v="1"/>
    <x v="0"/>
    <n v="9.5887690107650039E-2"/>
  </r>
  <r>
    <x v="12"/>
    <x v="1"/>
    <x v="0"/>
    <x v="2"/>
    <x v="3"/>
    <x v="1"/>
    <x v="0"/>
    <x v="1"/>
    <x v="0"/>
    <x v="9"/>
    <n v="1"/>
    <n v="1"/>
    <n v="0"/>
    <m/>
    <x v="1"/>
    <n v="0.26641728068577614"/>
  </r>
  <r>
    <x v="2"/>
    <x v="1"/>
    <x v="1"/>
    <x v="1"/>
    <x v="2"/>
    <x v="1"/>
    <x v="1"/>
    <x v="1"/>
    <x v="1"/>
    <x v="5"/>
    <n v="1"/>
    <n v="1"/>
    <n v="0"/>
    <m/>
    <x v="1"/>
    <n v="1.9691539744554062E-2"/>
  </r>
  <r>
    <x v="13"/>
    <x v="1"/>
    <x v="0"/>
    <x v="2"/>
    <x v="2"/>
    <x v="0"/>
    <x v="0"/>
    <x v="0"/>
    <x v="0"/>
    <x v="8"/>
    <n v="1"/>
    <n v="1"/>
    <n v="0"/>
    <m/>
    <x v="1"/>
    <n v="0.11988383252407406"/>
  </r>
  <r>
    <x v="20"/>
    <x v="1"/>
    <x v="0"/>
    <x v="1"/>
    <x v="0"/>
    <x v="0"/>
    <x v="1"/>
    <x v="1"/>
    <x v="2"/>
    <x v="4"/>
    <n v="1"/>
    <n v="1"/>
    <n v="0"/>
    <n v="1"/>
    <x v="0"/>
    <n v="3.306406644322489E-2"/>
  </r>
  <r>
    <x v="10"/>
    <x v="1"/>
    <x v="1"/>
    <x v="2"/>
    <x v="0"/>
    <x v="0"/>
    <x v="0"/>
    <x v="0"/>
    <x v="0"/>
    <x v="3"/>
    <n v="1"/>
    <n v="1"/>
    <n v="0"/>
    <m/>
    <x v="1"/>
    <n v="6.0562543455648175E-2"/>
  </r>
  <r>
    <x v="20"/>
    <x v="0"/>
    <x v="0"/>
    <x v="0"/>
    <x v="2"/>
    <x v="1"/>
    <x v="0"/>
    <x v="0"/>
    <x v="1"/>
    <x v="1"/>
    <n v="1"/>
    <n v="1"/>
    <n v="0"/>
    <n v="1"/>
    <x v="0"/>
    <n v="8.1432380804835489E-2"/>
  </r>
  <r>
    <x v="4"/>
    <x v="0"/>
    <x v="1"/>
    <x v="1"/>
    <x v="2"/>
    <x v="1"/>
    <x v="0"/>
    <x v="1"/>
    <x v="1"/>
    <x v="7"/>
    <n v="1"/>
    <n v="1"/>
    <n v="0"/>
    <m/>
    <x v="1"/>
    <n v="2.7313833211787753E-2"/>
  </r>
  <r>
    <x v="12"/>
    <x v="0"/>
    <x v="0"/>
    <x v="1"/>
    <x v="2"/>
    <x v="1"/>
    <x v="1"/>
    <x v="1"/>
    <x v="0"/>
    <x v="7"/>
    <n v="1"/>
    <n v="2"/>
    <n v="0"/>
    <m/>
    <x v="1"/>
    <n v="5.6529188222429375E-2"/>
  </r>
  <r>
    <x v="3"/>
    <x v="1"/>
    <x v="0"/>
    <x v="2"/>
    <x v="3"/>
    <x v="1"/>
    <x v="0"/>
    <x v="0"/>
    <x v="0"/>
    <x v="9"/>
    <n v="1"/>
    <n v="1"/>
    <n v="0"/>
    <m/>
    <x v="1"/>
    <n v="0.26641728068577614"/>
  </r>
  <r>
    <x v="7"/>
    <x v="1"/>
    <x v="0"/>
    <x v="1"/>
    <x v="2"/>
    <x v="0"/>
    <x v="1"/>
    <x v="1"/>
    <x v="2"/>
    <x v="0"/>
    <n v="1"/>
    <n v="1"/>
    <n v="0"/>
    <m/>
    <x v="1"/>
    <n v="4.778062262691999E-2"/>
  </r>
  <r>
    <x v="18"/>
    <x v="1"/>
    <x v="0"/>
    <x v="2"/>
    <x v="2"/>
    <x v="0"/>
    <x v="1"/>
    <x v="1"/>
    <x v="0"/>
    <x v="3"/>
    <n v="1"/>
    <n v="1"/>
    <n v="0"/>
    <m/>
    <x v="1"/>
    <n v="6.0544035202992515E-2"/>
  </r>
  <r>
    <x v="7"/>
    <x v="0"/>
    <x v="1"/>
    <x v="0"/>
    <x v="2"/>
    <x v="0"/>
    <x v="1"/>
    <x v="1"/>
    <x v="0"/>
    <x v="7"/>
    <n v="1"/>
    <n v="1"/>
    <n v="0"/>
    <m/>
    <x v="1"/>
    <n v="2.2007568458762099E-2"/>
  </r>
  <r>
    <x v="15"/>
    <x v="1"/>
    <x v="1"/>
    <x v="0"/>
    <x v="3"/>
    <x v="0"/>
    <x v="0"/>
    <x v="1"/>
    <x v="0"/>
    <x v="8"/>
    <n v="1"/>
    <n v="1"/>
    <n v="0"/>
    <n v="1"/>
    <x v="0"/>
    <n v="8.8764690714321179E-2"/>
  </r>
  <r>
    <x v="3"/>
    <x v="1"/>
    <x v="0"/>
    <x v="1"/>
    <x v="1"/>
    <x v="0"/>
    <x v="0"/>
    <x v="1"/>
    <x v="2"/>
    <x v="8"/>
    <n v="1"/>
    <n v="1"/>
    <n v="0"/>
    <m/>
    <x v="1"/>
    <n v="9.6883413810830737E-2"/>
  </r>
  <r>
    <x v="19"/>
    <x v="0"/>
    <x v="0"/>
    <x v="0"/>
    <x v="3"/>
    <x v="0"/>
    <x v="0"/>
    <x v="1"/>
    <x v="1"/>
    <x v="0"/>
    <n v="1"/>
    <n v="1"/>
    <n v="0"/>
    <m/>
    <x v="1"/>
    <n v="5.7504535626010621E-2"/>
  </r>
  <r>
    <x v="10"/>
    <x v="0"/>
    <x v="0"/>
    <x v="1"/>
    <x v="2"/>
    <x v="0"/>
    <x v="0"/>
    <x v="0"/>
    <x v="0"/>
    <x v="7"/>
    <n v="1"/>
    <n v="1"/>
    <n v="0"/>
    <m/>
    <x v="1"/>
    <n v="3.0288991469430131E-2"/>
  </r>
  <r>
    <x v="22"/>
    <x v="0"/>
    <x v="1"/>
    <x v="1"/>
    <x v="1"/>
    <x v="0"/>
    <x v="0"/>
    <x v="1"/>
    <x v="2"/>
    <x v="0"/>
    <n v="2"/>
    <n v="2"/>
    <n v="0"/>
    <n v="2"/>
    <x v="0"/>
    <n v="9.3925729422400503E-2"/>
  </r>
  <r>
    <x v="1"/>
    <x v="1"/>
    <x v="0"/>
    <x v="0"/>
    <x v="3"/>
    <x v="1"/>
    <x v="1"/>
    <x v="1"/>
    <x v="1"/>
    <x v="1"/>
    <n v="1"/>
    <n v="1"/>
    <n v="0"/>
    <n v="1"/>
    <x v="0"/>
    <n v="7.9107339630020743E-2"/>
  </r>
  <r>
    <x v="19"/>
    <x v="1"/>
    <x v="1"/>
    <x v="0"/>
    <x v="3"/>
    <x v="0"/>
    <x v="0"/>
    <x v="1"/>
    <x v="0"/>
    <x v="8"/>
    <n v="1"/>
    <n v="1"/>
    <n v="0"/>
    <m/>
    <x v="1"/>
    <n v="8.8764690714321179E-2"/>
  </r>
  <r>
    <x v="6"/>
    <x v="0"/>
    <x v="1"/>
    <x v="1"/>
    <x v="0"/>
    <x v="1"/>
    <x v="0"/>
    <x v="0"/>
    <x v="0"/>
    <x v="7"/>
    <n v="1"/>
    <n v="1"/>
    <n v="0"/>
    <m/>
    <x v="1"/>
    <n v="2.8273531547734397E-2"/>
  </r>
  <r>
    <x v="3"/>
    <x v="1"/>
    <x v="0"/>
    <x v="0"/>
    <x v="0"/>
    <x v="1"/>
    <x v="0"/>
    <x v="0"/>
    <x v="0"/>
    <x v="8"/>
    <n v="1"/>
    <n v="1"/>
    <n v="0"/>
    <m/>
    <x v="1"/>
    <n v="0.12194562411528299"/>
  </r>
  <r>
    <x v="8"/>
    <x v="0"/>
    <x v="1"/>
    <x v="1"/>
    <x v="0"/>
    <x v="1"/>
    <x v="0"/>
    <x v="0"/>
    <x v="1"/>
    <x v="5"/>
    <n v="2"/>
    <n v="2"/>
    <n v="0"/>
    <m/>
    <x v="1"/>
    <n v="3.7553592924621029E-2"/>
  </r>
  <r>
    <x v="2"/>
    <x v="1"/>
    <x v="0"/>
    <x v="0"/>
    <x v="3"/>
    <x v="0"/>
    <x v="1"/>
    <x v="0"/>
    <x v="2"/>
    <x v="9"/>
    <n v="1"/>
    <n v="1"/>
    <n v="0"/>
    <m/>
    <x v="1"/>
    <n v="0.12970168387961117"/>
  </r>
  <r>
    <x v="9"/>
    <x v="0"/>
    <x v="0"/>
    <x v="0"/>
    <x v="0"/>
    <x v="1"/>
    <x v="0"/>
    <x v="1"/>
    <x v="0"/>
    <x v="1"/>
    <n v="1"/>
    <n v="1"/>
    <n v="0"/>
    <n v="1"/>
    <x v="0"/>
    <n v="8.4129123046113322E-2"/>
  </r>
  <r>
    <x v="7"/>
    <x v="1"/>
    <x v="1"/>
    <x v="0"/>
    <x v="0"/>
    <x v="1"/>
    <x v="0"/>
    <x v="1"/>
    <x v="1"/>
    <x v="3"/>
    <n v="1"/>
    <n v="1"/>
    <n v="0"/>
    <m/>
    <x v="1"/>
    <n v="5.9651729761640827E-2"/>
  </r>
  <r>
    <x v="4"/>
    <x v="1"/>
    <x v="1"/>
    <x v="2"/>
    <x v="1"/>
    <x v="0"/>
    <x v="0"/>
    <x v="1"/>
    <x v="0"/>
    <x v="8"/>
    <n v="2"/>
    <n v="2"/>
    <n v="0"/>
    <m/>
    <x v="1"/>
    <n v="0.17466290492702188"/>
  </r>
  <r>
    <x v="0"/>
    <x v="0"/>
    <x v="0"/>
    <x v="0"/>
    <x v="2"/>
    <x v="0"/>
    <x v="0"/>
    <x v="0"/>
    <x v="0"/>
    <x v="3"/>
    <n v="1"/>
    <n v="2"/>
    <n v="0"/>
    <n v="1"/>
    <x v="0"/>
    <n v="0.12818945540862531"/>
  </r>
  <r>
    <x v="4"/>
    <x v="0"/>
    <x v="0"/>
    <x v="1"/>
    <x v="1"/>
    <x v="1"/>
    <x v="0"/>
    <x v="1"/>
    <x v="2"/>
    <x v="8"/>
    <n v="1"/>
    <n v="1"/>
    <n v="0"/>
    <m/>
    <x v="1"/>
    <n v="0.12254007280701143"/>
  </r>
  <r>
    <x v="22"/>
    <x v="0"/>
    <x v="1"/>
    <x v="0"/>
    <x v="2"/>
    <x v="1"/>
    <x v="0"/>
    <x v="0"/>
    <x v="1"/>
    <x v="0"/>
    <n v="1"/>
    <n v="1"/>
    <n v="0"/>
    <n v="1"/>
    <x v="0"/>
    <n v="5.7997578176727585E-2"/>
  </r>
  <r>
    <x v="17"/>
    <x v="0"/>
    <x v="1"/>
    <x v="0"/>
    <x v="2"/>
    <x v="1"/>
    <x v="0"/>
    <x v="0"/>
    <x v="1"/>
    <x v="0"/>
    <n v="1"/>
    <n v="1"/>
    <n v="0"/>
    <n v="1"/>
    <x v="0"/>
    <n v="5.7997578176727585E-2"/>
  </r>
  <r>
    <x v="2"/>
    <x v="1"/>
    <x v="0"/>
    <x v="1"/>
    <x v="0"/>
    <x v="0"/>
    <x v="0"/>
    <x v="0"/>
    <x v="1"/>
    <x v="5"/>
    <n v="1"/>
    <n v="1"/>
    <n v="0"/>
    <m/>
    <x v="1"/>
    <n v="2.0727184867413109E-2"/>
  </r>
  <r>
    <x v="3"/>
    <x v="1"/>
    <x v="1"/>
    <x v="1"/>
    <x v="3"/>
    <x v="0"/>
    <x v="0"/>
    <x v="0"/>
    <x v="0"/>
    <x v="2"/>
    <n v="1"/>
    <n v="1"/>
    <n v="0"/>
    <m/>
    <x v="1"/>
    <n v="4.2538586886809497E-2"/>
  </r>
  <r>
    <x v="15"/>
    <x v="1"/>
    <x v="1"/>
    <x v="0"/>
    <x v="2"/>
    <x v="0"/>
    <x v="1"/>
    <x v="1"/>
    <x v="2"/>
    <x v="1"/>
    <n v="1"/>
    <n v="1"/>
    <n v="0"/>
    <n v="1"/>
    <x v="0"/>
    <n v="7.0983587013537311E-2"/>
  </r>
  <r>
    <x v="6"/>
    <x v="1"/>
    <x v="1"/>
    <x v="0"/>
    <x v="0"/>
    <x v="1"/>
    <x v="1"/>
    <x v="1"/>
    <x v="1"/>
    <x v="7"/>
    <n v="1"/>
    <n v="1"/>
    <n v="0"/>
    <m/>
    <x v="1"/>
    <n v="2.9138416298841268E-2"/>
  </r>
  <r>
    <x v="7"/>
    <x v="0"/>
    <x v="0"/>
    <x v="0"/>
    <x v="0"/>
    <x v="0"/>
    <x v="0"/>
    <x v="1"/>
    <x v="2"/>
    <x v="8"/>
    <n v="1"/>
    <n v="3"/>
    <n v="0"/>
    <m/>
    <x v="1"/>
    <n v="0.28459904918602935"/>
  </r>
  <r>
    <x v="21"/>
    <x v="0"/>
    <x v="0"/>
    <x v="1"/>
    <x v="2"/>
    <x v="0"/>
    <x v="1"/>
    <x v="1"/>
    <x v="0"/>
    <x v="5"/>
    <n v="1"/>
    <n v="1"/>
    <n v="0"/>
    <m/>
    <x v="1"/>
    <n v="1.4562828746708278E-2"/>
  </r>
  <r>
    <x v="2"/>
    <x v="1"/>
    <x v="1"/>
    <x v="2"/>
    <x v="2"/>
    <x v="0"/>
    <x v="1"/>
    <x v="1"/>
    <x v="1"/>
    <x v="7"/>
    <n v="1"/>
    <n v="1"/>
    <n v="0"/>
    <m/>
    <x v="1"/>
    <n v="2.8594659155834135E-2"/>
  </r>
  <r>
    <x v="19"/>
    <x v="0"/>
    <x v="1"/>
    <x v="0"/>
    <x v="3"/>
    <x v="1"/>
    <x v="1"/>
    <x v="1"/>
    <x v="0"/>
    <x v="0"/>
    <n v="1"/>
    <n v="1"/>
    <n v="0"/>
    <m/>
    <x v="1"/>
    <n v="5.6601068172472908E-2"/>
  </r>
  <r>
    <x v="11"/>
    <x v="0"/>
    <x v="0"/>
    <x v="0"/>
    <x v="2"/>
    <x v="1"/>
    <x v="1"/>
    <x v="1"/>
    <x v="2"/>
    <x v="9"/>
    <n v="1"/>
    <n v="1"/>
    <n v="0"/>
    <m/>
    <x v="1"/>
    <n v="0.12527880269335515"/>
  </r>
  <r>
    <x v="6"/>
    <x v="0"/>
    <x v="1"/>
    <x v="2"/>
    <x v="2"/>
    <x v="1"/>
    <x v="1"/>
    <x v="0"/>
    <x v="1"/>
    <x v="4"/>
    <n v="1"/>
    <n v="1"/>
    <n v="0"/>
    <m/>
    <x v="1"/>
    <n v="3.6906111670654135E-2"/>
  </r>
  <r>
    <x v="1"/>
    <x v="0"/>
    <x v="0"/>
    <x v="0"/>
    <x v="3"/>
    <x v="1"/>
    <x v="1"/>
    <x v="0"/>
    <x v="2"/>
    <x v="9"/>
    <n v="1"/>
    <n v="1"/>
    <n v="0"/>
    <n v="1"/>
    <x v="0"/>
    <n v="0.16248563228241489"/>
  </r>
  <r>
    <x v="4"/>
    <x v="1"/>
    <x v="0"/>
    <x v="0"/>
    <x v="0"/>
    <x v="0"/>
    <x v="0"/>
    <x v="1"/>
    <x v="2"/>
    <x v="9"/>
    <n v="1"/>
    <n v="4"/>
    <n v="0"/>
    <m/>
    <x v="1"/>
    <n v="0.54715378918665358"/>
  </r>
  <r>
    <x v="14"/>
    <x v="0"/>
    <x v="0"/>
    <x v="1"/>
    <x v="0"/>
    <x v="0"/>
    <x v="1"/>
    <x v="0"/>
    <x v="0"/>
    <x v="6"/>
    <n v="1"/>
    <n v="1"/>
    <n v="0"/>
    <m/>
    <x v="1"/>
    <n v="9.9703130635719027E-3"/>
  </r>
  <r>
    <x v="9"/>
    <x v="0"/>
    <x v="0"/>
    <x v="2"/>
    <x v="1"/>
    <x v="1"/>
    <x v="0"/>
    <x v="1"/>
    <x v="2"/>
    <x v="9"/>
    <n v="1"/>
    <n v="1"/>
    <n v="0"/>
    <n v="1"/>
    <x v="0"/>
    <n v="0.28714321825078692"/>
  </r>
  <r>
    <x v="14"/>
    <x v="1"/>
    <x v="0"/>
    <x v="0"/>
    <x v="2"/>
    <x v="0"/>
    <x v="1"/>
    <x v="0"/>
    <x v="1"/>
    <x v="4"/>
    <n v="1"/>
    <n v="1"/>
    <n v="0"/>
    <m/>
    <x v="1"/>
    <n v="3.1213548562346576E-2"/>
  </r>
  <r>
    <x v="1"/>
    <x v="1"/>
    <x v="1"/>
    <x v="1"/>
    <x v="0"/>
    <x v="0"/>
    <x v="1"/>
    <x v="1"/>
    <x v="0"/>
    <x v="6"/>
    <n v="1"/>
    <n v="1"/>
    <n v="0"/>
    <n v="1"/>
    <x v="0"/>
    <n v="1.0463975714453297E-2"/>
  </r>
  <r>
    <x v="4"/>
    <x v="1"/>
    <x v="0"/>
    <x v="2"/>
    <x v="2"/>
    <x v="0"/>
    <x v="0"/>
    <x v="1"/>
    <x v="0"/>
    <x v="8"/>
    <n v="1"/>
    <n v="3"/>
    <n v="0"/>
    <m/>
    <x v="1"/>
    <n v="0.35965149757222215"/>
  </r>
  <r>
    <x v="10"/>
    <x v="1"/>
    <x v="1"/>
    <x v="1"/>
    <x v="0"/>
    <x v="0"/>
    <x v="0"/>
    <x v="1"/>
    <x v="1"/>
    <x v="6"/>
    <n v="1"/>
    <n v="1"/>
    <n v="0"/>
    <m/>
    <x v="1"/>
    <n v="1.4486748808385878E-2"/>
  </r>
  <r>
    <x v="21"/>
    <x v="0"/>
    <x v="0"/>
    <x v="0"/>
    <x v="0"/>
    <x v="1"/>
    <x v="1"/>
    <x v="0"/>
    <x v="0"/>
    <x v="4"/>
    <n v="1"/>
    <n v="1"/>
    <n v="0"/>
    <m/>
    <x v="1"/>
    <n v="4.1649592776730845E-2"/>
  </r>
  <r>
    <x v="10"/>
    <x v="0"/>
    <x v="1"/>
    <x v="0"/>
    <x v="2"/>
    <x v="1"/>
    <x v="0"/>
    <x v="1"/>
    <x v="0"/>
    <x v="8"/>
    <n v="1"/>
    <n v="2"/>
    <n v="0"/>
    <m/>
    <x v="1"/>
    <n v="0.17120094765474353"/>
  </r>
  <r>
    <x v="2"/>
    <x v="1"/>
    <x v="1"/>
    <x v="0"/>
    <x v="3"/>
    <x v="1"/>
    <x v="0"/>
    <x v="1"/>
    <x v="2"/>
    <x v="9"/>
    <n v="1"/>
    <n v="2"/>
    <n v="0"/>
    <m/>
    <x v="1"/>
    <n v="0.60196473110228521"/>
  </r>
  <r>
    <x v="10"/>
    <x v="1"/>
    <x v="0"/>
    <x v="1"/>
    <x v="0"/>
    <x v="1"/>
    <x v="1"/>
    <x v="1"/>
    <x v="1"/>
    <x v="5"/>
    <n v="1"/>
    <n v="1"/>
    <n v="0"/>
    <m/>
    <x v="1"/>
    <n v="1.9329122577824528E-2"/>
  </r>
  <r>
    <x v="21"/>
    <x v="0"/>
    <x v="1"/>
    <x v="0"/>
    <x v="2"/>
    <x v="1"/>
    <x v="0"/>
    <x v="0"/>
    <x v="2"/>
    <x v="9"/>
    <n v="1"/>
    <n v="2"/>
    <n v="0"/>
    <m/>
    <x v="1"/>
    <n v="0.34742868800139037"/>
  </r>
  <r>
    <x v="9"/>
    <x v="0"/>
    <x v="1"/>
    <x v="0"/>
    <x v="0"/>
    <x v="1"/>
    <x v="0"/>
    <x v="1"/>
    <x v="0"/>
    <x v="3"/>
    <n v="1"/>
    <n v="1"/>
    <n v="0"/>
    <n v="1"/>
    <x v="0"/>
    <n v="5.9968911810879433E-2"/>
  </r>
  <r>
    <x v="5"/>
    <x v="1"/>
    <x v="1"/>
    <x v="0"/>
    <x v="3"/>
    <x v="0"/>
    <x v="1"/>
    <x v="1"/>
    <x v="2"/>
    <x v="8"/>
    <n v="1"/>
    <n v="1"/>
    <n v="1"/>
    <n v="1"/>
    <x v="0"/>
    <n v="9.3794232171735367E-2"/>
  </r>
  <r>
    <x v="14"/>
    <x v="1"/>
    <x v="1"/>
    <x v="1"/>
    <x v="0"/>
    <x v="0"/>
    <x v="1"/>
    <x v="1"/>
    <x v="0"/>
    <x v="6"/>
    <n v="1"/>
    <n v="1"/>
    <n v="0"/>
    <m/>
    <x v="1"/>
    <n v="1.0463975714453297E-2"/>
  </r>
  <r>
    <x v="16"/>
    <x v="1"/>
    <x v="0"/>
    <x v="2"/>
    <x v="1"/>
    <x v="1"/>
    <x v="1"/>
    <x v="1"/>
    <x v="1"/>
    <x v="1"/>
    <n v="1"/>
    <n v="1"/>
    <n v="0"/>
    <m/>
    <x v="1"/>
    <n v="7.7816717562865609E-2"/>
  </r>
  <r>
    <x v="15"/>
    <x v="1"/>
    <x v="1"/>
    <x v="1"/>
    <x v="0"/>
    <x v="0"/>
    <x v="1"/>
    <x v="0"/>
    <x v="1"/>
    <x v="6"/>
    <n v="1"/>
    <n v="1"/>
    <n v="0"/>
    <n v="1"/>
    <x v="0"/>
    <n v="6.9067353216518941E-3"/>
  </r>
  <r>
    <x v="20"/>
    <x v="0"/>
    <x v="0"/>
    <x v="2"/>
    <x v="0"/>
    <x v="0"/>
    <x v="0"/>
    <x v="0"/>
    <x v="2"/>
    <x v="8"/>
    <n v="1"/>
    <n v="2"/>
    <n v="0"/>
    <n v="1"/>
    <x v="0"/>
    <n v="0.2423433124072577"/>
  </r>
  <r>
    <x v="15"/>
    <x v="1"/>
    <x v="1"/>
    <x v="1"/>
    <x v="0"/>
    <x v="0"/>
    <x v="1"/>
    <x v="1"/>
    <x v="2"/>
    <x v="7"/>
    <n v="1"/>
    <n v="1"/>
    <n v="0"/>
    <n v="1"/>
    <x v="0"/>
    <n v="2.3197290433253883E-2"/>
  </r>
  <r>
    <x v="6"/>
    <x v="0"/>
    <x v="0"/>
    <x v="0"/>
    <x v="0"/>
    <x v="0"/>
    <x v="1"/>
    <x v="0"/>
    <x v="2"/>
    <x v="0"/>
    <n v="1"/>
    <n v="1"/>
    <n v="0"/>
    <m/>
    <x v="1"/>
    <n v="4.7244914771732829E-2"/>
  </r>
  <r>
    <x v="16"/>
    <x v="0"/>
    <x v="0"/>
    <x v="1"/>
    <x v="2"/>
    <x v="1"/>
    <x v="1"/>
    <x v="1"/>
    <x v="1"/>
    <x v="5"/>
    <n v="1"/>
    <n v="1"/>
    <n v="0"/>
    <m/>
    <x v="1"/>
    <n v="1.8770803012868077E-2"/>
  </r>
  <r>
    <x v="1"/>
    <x v="0"/>
    <x v="1"/>
    <x v="0"/>
    <x v="2"/>
    <x v="0"/>
    <x v="0"/>
    <x v="0"/>
    <x v="2"/>
    <x v="8"/>
    <n v="1"/>
    <n v="1"/>
    <n v="0"/>
    <n v="1"/>
    <x v="0"/>
    <n v="9.650569894562866E-2"/>
  </r>
  <r>
    <x v="1"/>
    <x v="0"/>
    <x v="0"/>
    <x v="1"/>
    <x v="0"/>
    <x v="0"/>
    <x v="0"/>
    <x v="1"/>
    <x v="0"/>
    <x v="5"/>
    <n v="1"/>
    <n v="1"/>
    <n v="0"/>
    <n v="1"/>
    <x v="0"/>
    <n v="2.0841983429204125E-2"/>
  </r>
  <r>
    <x v="17"/>
    <x v="0"/>
    <x v="0"/>
    <x v="0"/>
    <x v="3"/>
    <x v="1"/>
    <x v="0"/>
    <x v="0"/>
    <x v="1"/>
    <x v="8"/>
    <n v="1"/>
    <n v="1"/>
    <n v="0"/>
    <n v="0"/>
    <x v="0"/>
    <n v="0.1072132568053293"/>
  </r>
  <r>
    <x v="13"/>
    <x v="1"/>
    <x v="1"/>
    <x v="0"/>
    <x v="0"/>
    <x v="0"/>
    <x v="1"/>
    <x v="1"/>
    <x v="1"/>
    <x v="5"/>
    <n v="1"/>
    <n v="1"/>
    <n v="0"/>
    <m/>
    <x v="1"/>
    <n v="1.5019597440186468E-2"/>
  </r>
  <r>
    <x v="8"/>
    <x v="0"/>
    <x v="0"/>
    <x v="0"/>
    <x v="2"/>
    <x v="1"/>
    <x v="0"/>
    <x v="0"/>
    <x v="2"/>
    <x v="9"/>
    <n v="1"/>
    <n v="3"/>
    <n v="0"/>
    <m/>
    <x v="1"/>
    <n v="0.69711678800909049"/>
  </r>
  <r>
    <x v="22"/>
    <x v="0"/>
    <x v="0"/>
    <x v="1"/>
    <x v="2"/>
    <x v="0"/>
    <x v="0"/>
    <x v="1"/>
    <x v="2"/>
    <x v="1"/>
    <n v="1"/>
    <n v="1"/>
    <n v="0"/>
    <n v="1"/>
    <x v="0"/>
    <n v="6.5548751803400848E-2"/>
  </r>
  <r>
    <x v="1"/>
    <x v="0"/>
    <x v="0"/>
    <x v="1"/>
    <x v="2"/>
    <x v="1"/>
    <x v="0"/>
    <x v="1"/>
    <x v="1"/>
    <x v="4"/>
    <n v="1"/>
    <n v="1"/>
    <n v="0"/>
    <n v="1"/>
    <x v="0"/>
    <n v="3.8861886041588509E-2"/>
  </r>
  <r>
    <x v="4"/>
    <x v="0"/>
    <x v="1"/>
    <x v="2"/>
    <x v="0"/>
    <x v="0"/>
    <x v="1"/>
    <x v="0"/>
    <x v="0"/>
    <x v="5"/>
    <n v="1"/>
    <n v="1"/>
    <n v="0"/>
    <m/>
    <x v="1"/>
    <n v="1.9774425808023691E-2"/>
  </r>
  <r>
    <x v="11"/>
    <x v="1"/>
    <x v="0"/>
    <x v="2"/>
    <x v="2"/>
    <x v="0"/>
    <x v="0"/>
    <x v="1"/>
    <x v="0"/>
    <x v="8"/>
    <n v="1"/>
    <n v="1"/>
    <n v="0"/>
    <m/>
    <x v="1"/>
    <n v="0.11988383252407406"/>
  </r>
  <r>
    <x v="15"/>
    <x v="1"/>
    <x v="1"/>
    <x v="0"/>
    <x v="2"/>
    <x v="1"/>
    <x v="0"/>
    <x v="0"/>
    <x v="1"/>
    <x v="8"/>
    <n v="1"/>
    <n v="1"/>
    <n v="0"/>
    <n v="1"/>
    <x v="0"/>
    <n v="8.5160005166699276E-2"/>
  </r>
  <r>
    <x v="14"/>
    <x v="1"/>
    <x v="0"/>
    <x v="0"/>
    <x v="3"/>
    <x v="0"/>
    <x v="0"/>
    <x v="1"/>
    <x v="2"/>
    <x v="9"/>
    <n v="1"/>
    <n v="3"/>
    <n v="0"/>
    <m/>
    <x v="1"/>
    <n v="0.71862186968754671"/>
  </r>
  <r>
    <x v="9"/>
    <x v="1"/>
    <x v="1"/>
    <x v="2"/>
    <x v="3"/>
    <x v="0"/>
    <x v="0"/>
    <x v="0"/>
    <x v="2"/>
    <x v="9"/>
    <n v="1"/>
    <n v="1"/>
    <n v="0"/>
    <n v="1"/>
    <x v="0"/>
    <n v="0.22347460084418283"/>
  </r>
  <r>
    <x v="16"/>
    <x v="1"/>
    <x v="0"/>
    <x v="1"/>
    <x v="2"/>
    <x v="0"/>
    <x v="1"/>
    <x v="1"/>
    <x v="1"/>
    <x v="6"/>
    <n v="1"/>
    <n v="1"/>
    <n v="0"/>
    <m/>
    <x v="1"/>
    <n v="1.4482104507696861E-2"/>
  </r>
  <r>
    <x v="4"/>
    <x v="0"/>
    <x v="1"/>
    <x v="1"/>
    <x v="2"/>
    <x v="1"/>
    <x v="0"/>
    <x v="0"/>
    <x v="0"/>
    <x v="4"/>
    <n v="1"/>
    <n v="1"/>
    <n v="0"/>
    <m/>
    <x v="1"/>
    <n v="4.0948154717703626E-2"/>
  </r>
  <r>
    <x v="15"/>
    <x v="0"/>
    <x v="1"/>
    <x v="0"/>
    <x v="3"/>
    <x v="1"/>
    <x v="0"/>
    <x v="0"/>
    <x v="1"/>
    <x v="1"/>
    <n v="1"/>
    <n v="2"/>
    <n v="1"/>
    <n v="1"/>
    <x v="0"/>
    <n v="0.15396189777414401"/>
  </r>
  <r>
    <x v="10"/>
    <x v="0"/>
    <x v="0"/>
    <x v="1"/>
    <x v="2"/>
    <x v="0"/>
    <x v="1"/>
    <x v="1"/>
    <x v="1"/>
    <x v="6"/>
    <n v="1"/>
    <n v="1"/>
    <n v="0"/>
    <m/>
    <x v="1"/>
    <n v="9.6257330475760985E-3"/>
  </r>
  <r>
    <x v="12"/>
    <x v="0"/>
    <x v="0"/>
    <x v="2"/>
    <x v="3"/>
    <x v="1"/>
    <x v="0"/>
    <x v="0"/>
    <x v="1"/>
    <x v="9"/>
    <n v="1"/>
    <n v="1"/>
    <n v="0"/>
    <m/>
    <x v="1"/>
    <n v="0.13642618392543343"/>
  </r>
  <r>
    <x v="6"/>
    <x v="1"/>
    <x v="1"/>
    <x v="1"/>
    <x v="1"/>
    <x v="1"/>
    <x v="0"/>
    <x v="0"/>
    <x v="1"/>
    <x v="4"/>
    <n v="1"/>
    <n v="1"/>
    <n v="0"/>
    <m/>
    <x v="1"/>
    <n v="4.1176226521704343E-2"/>
  </r>
  <r>
    <x v="15"/>
    <x v="1"/>
    <x v="0"/>
    <x v="0"/>
    <x v="3"/>
    <x v="1"/>
    <x v="1"/>
    <x v="1"/>
    <x v="0"/>
    <x v="8"/>
    <n v="1"/>
    <n v="2"/>
    <n v="0"/>
    <n v="1"/>
    <x v="0"/>
    <n v="0.23104985380022963"/>
  </r>
  <r>
    <x v="22"/>
    <x v="1"/>
    <x v="1"/>
    <x v="0"/>
    <x v="2"/>
    <x v="0"/>
    <x v="0"/>
    <x v="0"/>
    <x v="2"/>
    <x v="9"/>
    <n v="1"/>
    <n v="1"/>
    <n v="0"/>
    <n v="1"/>
    <x v="0"/>
    <n v="0.13904095240248723"/>
  </r>
  <r>
    <x v="11"/>
    <x v="0"/>
    <x v="1"/>
    <x v="2"/>
    <x v="0"/>
    <x v="0"/>
    <x v="0"/>
    <x v="0"/>
    <x v="2"/>
    <x v="8"/>
    <n v="1"/>
    <n v="1"/>
    <n v="0"/>
    <m/>
    <x v="1"/>
    <n v="8.7388588178664475E-2"/>
  </r>
  <r>
    <x v="6"/>
    <x v="0"/>
    <x v="0"/>
    <x v="0"/>
    <x v="3"/>
    <x v="0"/>
    <x v="0"/>
    <x v="1"/>
    <x v="2"/>
    <x v="9"/>
    <n v="1"/>
    <n v="1"/>
    <n v="0"/>
    <m/>
    <x v="1"/>
    <n v="0.17241763602692631"/>
  </r>
  <r>
    <x v="1"/>
    <x v="1"/>
    <x v="0"/>
    <x v="1"/>
    <x v="0"/>
    <x v="0"/>
    <x v="1"/>
    <x v="1"/>
    <x v="0"/>
    <x v="5"/>
    <n v="1"/>
    <n v="1"/>
    <n v="0"/>
    <n v="1"/>
    <x v="0"/>
    <n v="1.4997899225310888E-2"/>
  </r>
  <r>
    <x v="4"/>
    <x v="0"/>
    <x v="0"/>
    <x v="0"/>
    <x v="3"/>
    <x v="1"/>
    <x v="0"/>
    <x v="0"/>
    <x v="0"/>
    <x v="9"/>
    <n v="0"/>
    <n v="1"/>
    <n v="0"/>
    <m/>
    <x v="1"/>
    <n v="0.15440023172603565"/>
  </r>
  <r>
    <x v="16"/>
    <x v="1"/>
    <x v="1"/>
    <x v="2"/>
    <x v="0"/>
    <x v="1"/>
    <x v="0"/>
    <x v="0"/>
    <x v="1"/>
    <x v="1"/>
    <n v="0"/>
    <n v="1"/>
    <n v="0"/>
    <m/>
    <x v="1"/>
    <n v="7.7023371586454323E-2"/>
  </r>
  <r>
    <x v="5"/>
    <x v="0"/>
    <x v="0"/>
    <x v="1"/>
    <x v="2"/>
    <x v="1"/>
    <x v="0"/>
    <x v="0"/>
    <x v="0"/>
    <x v="0"/>
    <n v="0"/>
    <n v="1"/>
    <n v="0"/>
    <m/>
    <x v="0"/>
    <n v="5.7917442228855184E-2"/>
  </r>
  <r>
    <x v="19"/>
    <x v="0"/>
    <x v="0"/>
    <x v="0"/>
    <x v="3"/>
    <x v="0"/>
    <x v="1"/>
    <x v="0"/>
    <x v="2"/>
    <x v="8"/>
    <n v="0"/>
    <n v="1"/>
    <n v="0"/>
    <m/>
    <x v="1"/>
    <n v="8.9725737736983821E-2"/>
  </r>
  <r>
    <x v="15"/>
    <x v="1"/>
    <x v="1"/>
    <x v="2"/>
    <x v="2"/>
    <x v="1"/>
    <x v="0"/>
    <x v="0"/>
    <x v="1"/>
    <x v="8"/>
    <n v="0"/>
    <n v="2"/>
    <n v="0"/>
    <m/>
    <x v="0"/>
    <n v="0.21819653298737546"/>
  </r>
  <r>
    <x v="6"/>
    <x v="1"/>
    <x v="1"/>
    <x v="0"/>
    <x v="2"/>
    <x v="0"/>
    <x v="0"/>
    <x v="0"/>
    <x v="2"/>
    <x v="9"/>
    <n v="0"/>
    <n v="1"/>
    <n v="0"/>
    <m/>
    <x v="1"/>
    <n v="0.13904095240248723"/>
  </r>
  <r>
    <x v="14"/>
    <x v="1"/>
    <x v="0"/>
    <x v="0"/>
    <x v="3"/>
    <x v="1"/>
    <x v="0"/>
    <x v="1"/>
    <x v="0"/>
    <x v="9"/>
    <n v="0"/>
    <n v="1"/>
    <n v="0"/>
    <m/>
    <x v="1"/>
    <n v="0.21634259353047053"/>
  </r>
  <r>
    <x v="2"/>
    <x v="1"/>
    <x v="0"/>
    <x v="2"/>
    <x v="3"/>
    <x v="1"/>
    <x v="0"/>
    <x v="1"/>
    <x v="2"/>
    <x v="9"/>
    <n v="0"/>
    <n v="3"/>
    <n v="0"/>
    <m/>
    <x v="1"/>
    <n v="1.3476560138955804"/>
  </r>
  <r>
    <x v="22"/>
    <x v="1"/>
    <x v="0"/>
    <x v="0"/>
    <x v="3"/>
    <x v="1"/>
    <x v="0"/>
    <x v="1"/>
    <x v="2"/>
    <x v="9"/>
    <n v="0"/>
    <n v="3"/>
    <n v="0"/>
    <m/>
    <x v="0"/>
    <n v="1.1481308342243193"/>
  </r>
  <r>
    <x v="14"/>
    <x v="1"/>
    <x v="1"/>
    <x v="2"/>
    <x v="1"/>
    <x v="0"/>
    <x v="0"/>
    <x v="1"/>
    <x v="2"/>
    <x v="9"/>
    <n v="0"/>
    <n v="3"/>
    <n v="0"/>
    <m/>
    <x v="1"/>
    <n v="0.53064735639543148"/>
  </r>
  <r>
    <x v="8"/>
    <x v="1"/>
    <x v="1"/>
    <x v="0"/>
    <x v="3"/>
    <x v="1"/>
    <x v="0"/>
    <x v="0"/>
    <x v="2"/>
    <x v="9"/>
    <n v="0"/>
    <n v="1"/>
    <n v="0"/>
    <m/>
    <x v="1"/>
    <n v="0.30098236555114261"/>
  </r>
  <r>
    <x v="0"/>
    <x v="1"/>
    <x v="1"/>
    <x v="0"/>
    <x v="2"/>
    <x v="0"/>
    <x v="1"/>
    <x v="1"/>
    <x v="1"/>
    <x v="7"/>
    <n v="0"/>
    <n v="1"/>
    <n v="0"/>
    <m/>
    <x v="0"/>
    <n v="2.1886493307591109E-2"/>
  </r>
  <r>
    <x v="10"/>
    <x v="1"/>
    <x v="0"/>
    <x v="2"/>
    <x v="1"/>
    <x v="1"/>
    <x v="0"/>
    <x v="1"/>
    <x v="0"/>
    <x v="9"/>
    <n v="0"/>
    <n v="1"/>
    <n v="0"/>
    <m/>
    <x v="1"/>
    <n v="0.21333167671907721"/>
  </r>
  <r>
    <x v="14"/>
    <x v="1"/>
    <x v="0"/>
    <x v="1"/>
    <x v="1"/>
    <x v="1"/>
    <x v="0"/>
    <x v="1"/>
    <x v="1"/>
    <x v="0"/>
    <n v="0"/>
    <n v="1"/>
    <n v="0"/>
    <m/>
    <x v="1"/>
    <n v="5.8234290043702328E-2"/>
  </r>
  <r>
    <x v="14"/>
    <x v="0"/>
    <x v="0"/>
    <x v="2"/>
    <x v="2"/>
    <x v="0"/>
    <x v="1"/>
    <x v="1"/>
    <x v="2"/>
    <x v="8"/>
    <n v="0"/>
    <n v="1"/>
    <n v="0"/>
    <m/>
    <x v="1"/>
    <n v="8.7362644124071173E-2"/>
  </r>
  <r>
    <x v="10"/>
    <x v="1"/>
    <x v="1"/>
    <x v="2"/>
    <x v="0"/>
    <x v="0"/>
    <x v="0"/>
    <x v="0"/>
    <x v="1"/>
    <x v="4"/>
    <n v="0"/>
    <n v="1"/>
    <n v="0"/>
    <m/>
    <x v="1"/>
    <n v="4.0674290026531716E-2"/>
  </r>
  <r>
    <x v="13"/>
    <x v="0"/>
    <x v="0"/>
    <x v="0"/>
    <x v="1"/>
    <x v="1"/>
    <x v="0"/>
    <x v="1"/>
    <x v="2"/>
    <x v="9"/>
    <n v="0"/>
    <n v="2"/>
    <n v="0"/>
    <m/>
    <x v="1"/>
    <n v="0.46883560822143666"/>
  </r>
  <r>
    <x v="11"/>
    <x v="0"/>
    <x v="0"/>
    <x v="0"/>
    <x v="0"/>
    <x v="1"/>
    <x v="0"/>
    <x v="1"/>
    <x v="1"/>
    <x v="0"/>
    <n v="0"/>
    <n v="1"/>
    <n v="0"/>
    <m/>
    <x v="1"/>
    <n v="5.6971121420815236E-2"/>
  </r>
  <r>
    <x v="21"/>
    <x v="0"/>
    <x v="0"/>
    <x v="1"/>
    <x v="3"/>
    <x v="0"/>
    <x v="0"/>
    <x v="1"/>
    <x v="2"/>
    <x v="8"/>
    <n v="0"/>
    <n v="1"/>
    <n v="0"/>
    <m/>
    <x v="1"/>
    <n v="8.6776040583617209E-2"/>
  </r>
  <r>
    <x v="14"/>
    <x v="0"/>
    <x v="0"/>
    <x v="0"/>
    <x v="3"/>
    <x v="0"/>
    <x v="1"/>
    <x v="1"/>
    <x v="2"/>
    <x v="8"/>
    <n v="0"/>
    <n v="1"/>
    <n v="0"/>
    <m/>
    <x v="1"/>
    <n v="8.9725737736983821E-2"/>
  </r>
  <r>
    <x v="15"/>
    <x v="1"/>
    <x v="1"/>
    <x v="2"/>
    <x v="0"/>
    <x v="0"/>
    <x v="0"/>
    <x v="0"/>
    <x v="2"/>
    <x v="9"/>
    <n v="0"/>
    <n v="1"/>
    <n v="0"/>
    <m/>
    <x v="0"/>
    <n v="0.12646792194996428"/>
  </r>
  <r>
    <x v="10"/>
    <x v="1"/>
    <x v="0"/>
    <x v="0"/>
    <x v="3"/>
    <x v="0"/>
    <x v="0"/>
    <x v="1"/>
    <x v="0"/>
    <x v="8"/>
    <n v="0"/>
    <n v="1"/>
    <n v="0"/>
    <m/>
    <x v="1"/>
    <n v="0.12300803466666659"/>
  </r>
  <r>
    <x v="16"/>
    <x v="1"/>
    <x v="0"/>
    <x v="2"/>
    <x v="2"/>
    <x v="0"/>
    <x v="1"/>
    <x v="1"/>
    <x v="2"/>
    <x v="9"/>
    <n v="0"/>
    <n v="1"/>
    <n v="0"/>
    <m/>
    <x v="1"/>
    <n v="0.1264319832806283"/>
  </r>
  <r>
    <x v="2"/>
    <x v="1"/>
    <x v="0"/>
    <x v="2"/>
    <x v="3"/>
    <x v="1"/>
    <x v="1"/>
    <x v="1"/>
    <x v="0"/>
    <x v="9"/>
    <n v="0"/>
    <n v="1"/>
    <n v="0"/>
    <m/>
    <x v="1"/>
    <n v="0.14663061972369384"/>
  </r>
  <r>
    <x v="4"/>
    <x v="0"/>
    <x v="0"/>
    <x v="0"/>
    <x v="2"/>
    <x v="1"/>
    <x v="1"/>
    <x v="1"/>
    <x v="0"/>
    <x v="3"/>
    <n v="0"/>
    <n v="1"/>
    <n v="0"/>
    <m/>
    <x v="1"/>
    <n v="5.995057339817321E-2"/>
  </r>
  <r>
    <x v="21"/>
    <x v="1"/>
    <x v="0"/>
    <x v="2"/>
    <x v="2"/>
    <x v="0"/>
    <x v="0"/>
    <x v="1"/>
    <x v="2"/>
    <x v="9"/>
    <n v="0"/>
    <n v="2"/>
    <n v="0"/>
    <m/>
    <x v="1"/>
    <n v="0.4684944786219789"/>
  </r>
  <r>
    <x v="2"/>
    <x v="1"/>
    <x v="0"/>
    <x v="2"/>
    <x v="1"/>
    <x v="1"/>
    <x v="0"/>
    <x v="1"/>
    <x v="2"/>
    <x v="9"/>
    <n v="0"/>
    <n v="2"/>
    <n v="0"/>
    <m/>
    <x v="1"/>
    <n v="0.75700457570436863"/>
  </r>
  <r>
    <x v="1"/>
    <x v="0"/>
    <x v="1"/>
    <x v="2"/>
    <x v="0"/>
    <x v="0"/>
    <x v="0"/>
    <x v="1"/>
    <x v="1"/>
    <x v="7"/>
    <n v="0"/>
    <n v="1"/>
    <n v="0"/>
    <m/>
    <x v="0"/>
    <n v="2.7277842000339191E-2"/>
  </r>
  <r>
    <x v="4"/>
    <x v="1"/>
    <x v="1"/>
    <x v="0"/>
    <x v="2"/>
    <x v="1"/>
    <x v="0"/>
    <x v="0"/>
    <x v="1"/>
    <x v="8"/>
    <n v="0"/>
    <n v="2"/>
    <n v="0"/>
    <m/>
    <x v="1"/>
    <n v="0.17032001033339855"/>
  </r>
  <r>
    <x v="11"/>
    <x v="1"/>
    <x v="1"/>
    <x v="0"/>
    <x v="0"/>
    <x v="1"/>
    <x v="1"/>
    <x v="0"/>
    <x v="1"/>
    <x v="7"/>
    <n v="0"/>
    <n v="1"/>
    <n v="0"/>
    <m/>
    <x v="1"/>
    <n v="2.9138416298841268E-2"/>
  </r>
  <r>
    <x v="22"/>
    <x v="0"/>
    <x v="1"/>
    <x v="2"/>
    <x v="1"/>
    <x v="0"/>
    <x v="0"/>
    <x v="1"/>
    <x v="2"/>
    <x v="8"/>
    <n v="0"/>
    <n v="3"/>
    <n v="0"/>
    <m/>
    <x v="0"/>
    <n v="0.37333212001678878"/>
  </r>
  <r>
    <x v="7"/>
    <x v="0"/>
    <x v="1"/>
    <x v="0"/>
    <x v="2"/>
    <x v="1"/>
    <x v="0"/>
    <x v="1"/>
    <x v="2"/>
    <x v="9"/>
    <n v="0"/>
    <n v="2"/>
    <n v="0"/>
    <m/>
    <x v="1"/>
    <n v="0.34742868800139037"/>
  </r>
  <r>
    <x v="11"/>
    <x v="0"/>
    <x v="0"/>
    <x v="1"/>
    <x v="2"/>
    <x v="1"/>
    <x v="0"/>
    <x v="0"/>
    <x v="2"/>
    <x v="8"/>
    <n v="0"/>
    <n v="2"/>
    <n v="0"/>
    <m/>
    <x v="1"/>
    <n v="0.24263216577348337"/>
  </r>
  <r>
    <x v="1"/>
    <x v="1"/>
    <x v="1"/>
    <x v="0"/>
    <x v="2"/>
    <x v="1"/>
    <x v="0"/>
    <x v="0"/>
    <x v="1"/>
    <x v="8"/>
    <n v="0"/>
    <n v="1"/>
    <n v="0"/>
    <m/>
    <x v="0"/>
    <n v="8.5160005166699276E-2"/>
  </r>
  <r>
    <x v="0"/>
    <x v="1"/>
    <x v="0"/>
    <x v="2"/>
    <x v="0"/>
    <x v="0"/>
    <x v="1"/>
    <x v="0"/>
    <x v="0"/>
    <x v="2"/>
    <n v="0"/>
    <n v="1"/>
    <n v="0"/>
    <m/>
    <x v="0"/>
    <n v="4.2069997453546046E-2"/>
  </r>
  <r>
    <x v="19"/>
    <x v="1"/>
    <x v="1"/>
    <x v="0"/>
    <x v="1"/>
    <x v="1"/>
    <x v="0"/>
    <x v="1"/>
    <x v="2"/>
    <x v="9"/>
    <n v="0"/>
    <n v="3"/>
    <n v="0"/>
    <m/>
    <x v="1"/>
    <n v="0.72988083396058068"/>
  </r>
  <r>
    <x v="19"/>
    <x v="1"/>
    <x v="0"/>
    <x v="2"/>
    <x v="2"/>
    <x v="1"/>
    <x v="0"/>
    <x v="0"/>
    <x v="2"/>
    <x v="9"/>
    <n v="0"/>
    <n v="1"/>
    <n v="0"/>
    <m/>
    <x v="1"/>
    <n v="0.37581664832801498"/>
  </r>
  <r>
    <x v="4"/>
    <x v="1"/>
    <x v="0"/>
    <x v="2"/>
    <x v="1"/>
    <x v="1"/>
    <x v="0"/>
    <x v="1"/>
    <x v="0"/>
    <x v="9"/>
    <n v="0"/>
    <n v="2"/>
    <n v="0"/>
    <m/>
    <x v="1"/>
    <n v="0.42666335343815442"/>
  </r>
  <r>
    <x v="4"/>
    <x v="1"/>
    <x v="0"/>
    <x v="0"/>
    <x v="1"/>
    <x v="1"/>
    <x v="0"/>
    <x v="1"/>
    <x v="2"/>
    <x v="9"/>
    <n v="0"/>
    <n v="5"/>
    <n v="0"/>
    <m/>
    <x v="1"/>
    <n v="1.582241663960795"/>
  </r>
  <r>
    <x v="11"/>
    <x v="0"/>
    <x v="1"/>
    <x v="0"/>
    <x v="0"/>
    <x v="0"/>
    <x v="0"/>
    <x v="1"/>
    <x v="2"/>
    <x v="1"/>
    <n v="0"/>
    <n v="4"/>
    <n v="0"/>
    <m/>
    <x v="1"/>
    <n v="0.2714042350863638"/>
  </r>
  <r>
    <x v="16"/>
    <x v="0"/>
    <x v="0"/>
    <x v="0"/>
    <x v="2"/>
    <x v="1"/>
    <x v="1"/>
    <x v="0"/>
    <x v="1"/>
    <x v="4"/>
    <n v="0"/>
    <n v="1"/>
    <n v="0"/>
    <m/>
    <x v="1"/>
    <n v="4.0254674678184769E-2"/>
  </r>
  <r>
    <x v="19"/>
    <x v="0"/>
    <x v="0"/>
    <x v="0"/>
    <x v="2"/>
    <x v="1"/>
    <x v="0"/>
    <x v="1"/>
    <x v="2"/>
    <x v="9"/>
    <n v="0"/>
    <n v="2"/>
    <n v="0"/>
    <m/>
    <x v="1"/>
    <n v="0.4647445253393937"/>
  </r>
  <r>
    <x v="7"/>
    <x v="0"/>
    <x v="0"/>
    <x v="0"/>
    <x v="2"/>
    <x v="1"/>
    <x v="1"/>
    <x v="0"/>
    <x v="0"/>
    <x v="3"/>
    <n v="0"/>
    <n v="1"/>
    <n v="0"/>
    <m/>
    <x v="1"/>
    <n v="5.995057339817321E-2"/>
  </r>
  <r>
    <x v="14"/>
    <x v="1"/>
    <x v="0"/>
    <x v="2"/>
    <x v="3"/>
    <x v="0"/>
    <x v="0"/>
    <x v="1"/>
    <x v="2"/>
    <x v="9"/>
    <n v="0"/>
    <n v="1"/>
    <n v="0"/>
    <m/>
    <x v="1"/>
    <n v="0.2929773242473675"/>
  </r>
  <r>
    <x v="4"/>
    <x v="1"/>
    <x v="1"/>
    <x v="0"/>
    <x v="2"/>
    <x v="0"/>
    <x v="0"/>
    <x v="0"/>
    <x v="1"/>
    <x v="0"/>
    <n v="0"/>
    <n v="1"/>
    <n v="0"/>
    <m/>
    <x v="1"/>
    <n v="4.5158935948663145E-2"/>
  </r>
  <r>
    <x v="14"/>
    <x v="1"/>
    <x v="1"/>
    <x v="0"/>
    <x v="0"/>
    <x v="0"/>
    <x v="0"/>
    <x v="0"/>
    <x v="2"/>
    <x v="8"/>
    <n v="0"/>
    <n v="3"/>
    <n v="0"/>
    <m/>
    <x v="1"/>
    <n v="0.29742765276933614"/>
  </r>
  <r>
    <x v="18"/>
    <x v="1"/>
    <x v="0"/>
    <x v="0"/>
    <x v="3"/>
    <x v="1"/>
    <x v="1"/>
    <x v="1"/>
    <x v="0"/>
    <x v="8"/>
    <n v="0"/>
    <n v="1"/>
    <n v="0"/>
    <m/>
    <x v="1"/>
    <n v="0.11552492690011482"/>
  </r>
  <r>
    <x v="8"/>
    <x v="0"/>
    <x v="1"/>
    <x v="2"/>
    <x v="2"/>
    <x v="0"/>
    <x v="1"/>
    <x v="1"/>
    <x v="0"/>
    <x v="7"/>
    <n v="0"/>
    <n v="1"/>
    <n v="0"/>
    <m/>
    <x v="1"/>
    <n v="2.8751752763928138E-2"/>
  </r>
  <r>
    <x v="14"/>
    <x v="1"/>
    <x v="1"/>
    <x v="2"/>
    <x v="2"/>
    <x v="1"/>
    <x v="1"/>
    <x v="1"/>
    <x v="1"/>
    <x v="0"/>
    <n v="0"/>
    <n v="1"/>
    <n v="0"/>
    <m/>
    <x v="1"/>
    <n v="5.4764888380398044E-2"/>
  </r>
  <r>
    <x v="1"/>
    <x v="1"/>
    <x v="0"/>
    <x v="1"/>
    <x v="0"/>
    <x v="1"/>
    <x v="0"/>
    <x v="0"/>
    <x v="1"/>
    <x v="4"/>
    <n v="0"/>
    <n v="1"/>
    <n v="0"/>
    <m/>
    <x v="0"/>
    <n v="3.9993438758136914E-2"/>
  </r>
  <r>
    <x v="14"/>
    <x v="0"/>
    <x v="1"/>
    <x v="1"/>
    <x v="2"/>
    <x v="1"/>
    <x v="0"/>
    <x v="0"/>
    <x v="0"/>
    <x v="4"/>
    <n v="0"/>
    <n v="1"/>
    <n v="0"/>
    <m/>
    <x v="1"/>
    <n v="4.0948154717703626E-2"/>
  </r>
  <r>
    <x v="14"/>
    <x v="0"/>
    <x v="0"/>
    <x v="0"/>
    <x v="3"/>
    <x v="1"/>
    <x v="1"/>
    <x v="1"/>
    <x v="2"/>
    <x v="9"/>
    <n v="0"/>
    <n v="1"/>
    <n v="0"/>
    <m/>
    <x v="1"/>
    <n v="0.16248563228241489"/>
  </r>
  <r>
    <x v="16"/>
    <x v="1"/>
    <x v="0"/>
    <x v="0"/>
    <x v="3"/>
    <x v="0"/>
    <x v="0"/>
    <x v="1"/>
    <x v="2"/>
    <x v="9"/>
    <n v="0"/>
    <n v="2"/>
    <n v="0"/>
    <m/>
    <x v="1"/>
    <n v="0.47908124645836453"/>
  </r>
  <r>
    <x v="21"/>
    <x v="1"/>
    <x v="1"/>
    <x v="2"/>
    <x v="1"/>
    <x v="1"/>
    <x v="0"/>
    <x v="1"/>
    <x v="0"/>
    <x v="9"/>
    <n v="0"/>
    <n v="1"/>
    <n v="0"/>
    <m/>
    <x v="1"/>
    <n v="0.15848783160330054"/>
  </r>
  <r>
    <x v="10"/>
    <x v="0"/>
    <x v="0"/>
    <x v="1"/>
    <x v="2"/>
    <x v="1"/>
    <x v="0"/>
    <x v="1"/>
    <x v="0"/>
    <x v="0"/>
    <n v="0"/>
    <n v="2"/>
    <n v="0"/>
    <m/>
    <x v="1"/>
    <n v="0.11583488445771037"/>
  </r>
  <r>
    <x v="18"/>
    <x v="1"/>
    <x v="1"/>
    <x v="2"/>
    <x v="2"/>
    <x v="0"/>
    <x v="0"/>
    <x v="1"/>
    <x v="1"/>
    <x v="0"/>
    <n v="0"/>
    <n v="1"/>
    <n v="0"/>
    <m/>
    <x v="1"/>
    <n v="5.857291153169402E-2"/>
  </r>
  <r>
    <x v="4"/>
    <x v="0"/>
    <x v="1"/>
    <x v="0"/>
    <x v="2"/>
    <x v="1"/>
    <x v="0"/>
    <x v="1"/>
    <x v="2"/>
    <x v="9"/>
    <n v="0"/>
    <n v="1"/>
    <n v="0"/>
    <m/>
    <x v="1"/>
    <n v="0.17371434400069519"/>
  </r>
  <r>
    <x v="14"/>
    <x v="1"/>
    <x v="1"/>
    <x v="2"/>
    <x v="2"/>
    <x v="0"/>
    <x v="0"/>
    <x v="1"/>
    <x v="2"/>
    <x v="9"/>
    <n v="0"/>
    <n v="1"/>
    <n v="0"/>
    <m/>
    <x v="1"/>
    <n v="0.17522405795301016"/>
  </r>
  <r>
    <x v="7"/>
    <x v="1"/>
    <x v="1"/>
    <x v="0"/>
    <x v="3"/>
    <x v="1"/>
    <x v="0"/>
    <x v="1"/>
    <x v="1"/>
    <x v="8"/>
    <n v="0"/>
    <n v="1"/>
    <n v="0"/>
    <m/>
    <x v="1"/>
    <n v="0.11197715523543472"/>
  </r>
  <r>
    <x v="21"/>
    <x v="1"/>
    <x v="1"/>
    <x v="2"/>
    <x v="3"/>
    <x v="0"/>
    <x v="0"/>
    <x v="1"/>
    <x v="2"/>
    <x v="9"/>
    <n v="0"/>
    <n v="1"/>
    <n v="0"/>
    <m/>
    <x v="1"/>
    <n v="0.22347460084418283"/>
  </r>
  <r>
    <x v="17"/>
    <x v="1"/>
    <x v="1"/>
    <x v="2"/>
    <x v="1"/>
    <x v="1"/>
    <x v="0"/>
    <x v="1"/>
    <x v="2"/>
    <x v="9"/>
    <n v="0"/>
    <n v="1"/>
    <n v="0"/>
    <m/>
    <x v="0"/>
    <n v="0.29724028639102335"/>
  </r>
  <r>
    <x v="11"/>
    <x v="1"/>
    <x v="0"/>
    <x v="2"/>
    <x v="2"/>
    <x v="1"/>
    <x v="0"/>
    <x v="0"/>
    <x v="2"/>
    <x v="9"/>
    <n v="0"/>
    <n v="1"/>
    <n v="0"/>
    <m/>
    <x v="1"/>
    <n v="0.37581664832801498"/>
  </r>
  <r>
    <x v="11"/>
    <x v="1"/>
    <x v="1"/>
    <x v="2"/>
    <x v="1"/>
    <x v="1"/>
    <x v="0"/>
    <x v="1"/>
    <x v="1"/>
    <x v="8"/>
    <n v="1"/>
    <n v="3"/>
    <n v="0"/>
    <m/>
    <x v="1"/>
    <n v="0.33064334821554664"/>
  </r>
  <r>
    <x v="0"/>
    <x v="1"/>
    <x v="1"/>
    <x v="2"/>
    <x v="0"/>
    <x v="0"/>
    <x v="1"/>
    <x v="0"/>
    <x v="2"/>
    <x v="3"/>
    <n v="0"/>
    <n v="1"/>
    <n v="0"/>
    <m/>
    <x v="0"/>
    <n v="6.410652825092876E-2"/>
  </r>
  <r>
    <x v="7"/>
    <x v="0"/>
    <x v="0"/>
    <x v="2"/>
    <x v="3"/>
    <x v="0"/>
    <x v="0"/>
    <x v="1"/>
    <x v="1"/>
    <x v="1"/>
    <n v="0"/>
    <n v="1"/>
    <n v="0"/>
    <m/>
    <x v="1"/>
    <n v="7.4300283703463171E-2"/>
  </r>
  <r>
    <x v="13"/>
    <x v="0"/>
    <x v="0"/>
    <x v="0"/>
    <x v="2"/>
    <x v="0"/>
    <x v="0"/>
    <x v="0"/>
    <x v="1"/>
    <x v="2"/>
    <n v="0"/>
    <n v="1"/>
    <n v="0"/>
    <m/>
    <x v="1"/>
    <n v="4.3099749369073626E-2"/>
  </r>
  <r>
    <x v="14"/>
    <x v="1"/>
    <x v="0"/>
    <x v="2"/>
    <x v="3"/>
    <x v="0"/>
    <x v="0"/>
    <x v="1"/>
    <x v="0"/>
    <x v="9"/>
    <n v="0"/>
    <n v="1"/>
    <n v="0"/>
    <m/>
    <x v="1"/>
    <n v="0.15577373535327643"/>
  </r>
  <r>
    <x v="4"/>
    <x v="1"/>
    <x v="1"/>
    <x v="0"/>
    <x v="3"/>
    <x v="1"/>
    <x v="0"/>
    <x v="1"/>
    <x v="2"/>
    <x v="9"/>
    <n v="0"/>
    <n v="2"/>
    <n v="0"/>
    <m/>
    <x v="1"/>
    <n v="0.60196473110228521"/>
  </r>
  <r>
    <x v="3"/>
    <x v="0"/>
    <x v="0"/>
    <x v="1"/>
    <x v="3"/>
    <x v="1"/>
    <x v="0"/>
    <x v="1"/>
    <x v="2"/>
    <x v="9"/>
    <n v="0"/>
    <n v="1"/>
    <n v="0"/>
    <m/>
    <x v="1"/>
    <n v="0.15755800253898447"/>
  </r>
  <r>
    <x v="14"/>
    <x v="1"/>
    <x v="1"/>
    <x v="2"/>
    <x v="0"/>
    <x v="0"/>
    <x v="0"/>
    <x v="1"/>
    <x v="2"/>
    <x v="9"/>
    <n v="0"/>
    <n v="1"/>
    <n v="0"/>
    <m/>
    <x v="1"/>
    <n v="0.12646792194996428"/>
  </r>
  <r>
    <x v="17"/>
    <x v="1"/>
    <x v="1"/>
    <x v="0"/>
    <x v="0"/>
    <x v="0"/>
    <x v="0"/>
    <x v="0"/>
    <x v="0"/>
    <x v="0"/>
    <n v="0"/>
    <n v="1"/>
    <n v="0"/>
    <m/>
    <x v="0"/>
    <n v="4.6715526092825782E-2"/>
  </r>
  <r>
    <x v="17"/>
    <x v="0"/>
    <x v="1"/>
    <x v="1"/>
    <x v="3"/>
    <x v="1"/>
    <x v="1"/>
    <x v="1"/>
    <x v="0"/>
    <x v="7"/>
    <n v="0"/>
    <n v="1"/>
    <n v="0"/>
    <m/>
    <x v="0"/>
    <n v="2.6635259430474494E-2"/>
  </r>
  <r>
    <x v="8"/>
    <x v="1"/>
    <x v="0"/>
    <x v="0"/>
    <x v="2"/>
    <x v="1"/>
    <x v="1"/>
    <x v="1"/>
    <x v="0"/>
    <x v="8"/>
    <n v="0"/>
    <n v="1"/>
    <n v="0"/>
    <m/>
    <x v="1"/>
    <n v="8.7942271111143028E-2"/>
  </r>
  <r>
    <x v="22"/>
    <x v="0"/>
    <x v="0"/>
    <x v="0"/>
    <x v="3"/>
    <x v="1"/>
    <x v="1"/>
    <x v="1"/>
    <x v="2"/>
    <x v="9"/>
    <n v="0"/>
    <n v="1"/>
    <n v="0"/>
    <m/>
    <x v="0"/>
    <n v="0.16248563228241489"/>
  </r>
  <r>
    <x v="21"/>
    <x v="1"/>
    <x v="0"/>
    <x v="0"/>
    <x v="3"/>
    <x v="0"/>
    <x v="0"/>
    <x v="1"/>
    <x v="1"/>
    <x v="8"/>
    <n v="0"/>
    <n v="1"/>
    <n v="0"/>
    <m/>
    <x v="1"/>
    <n v="8.4456755045901957E-2"/>
  </r>
  <r>
    <x v="20"/>
    <x v="0"/>
    <x v="0"/>
    <x v="1"/>
    <x v="2"/>
    <x v="0"/>
    <x v="1"/>
    <x v="1"/>
    <x v="2"/>
    <x v="4"/>
    <n v="0"/>
    <n v="1"/>
    <n v="0"/>
    <m/>
    <x v="0"/>
    <n v="3.2122009568017543E-2"/>
  </r>
  <r>
    <x v="3"/>
    <x v="0"/>
    <x v="0"/>
    <x v="1"/>
    <x v="1"/>
    <x v="1"/>
    <x v="0"/>
    <x v="1"/>
    <x v="2"/>
    <x v="8"/>
    <n v="0"/>
    <n v="1"/>
    <n v="0"/>
    <m/>
    <x v="1"/>
    <n v="0.12254007280701143"/>
  </r>
  <r>
    <x v="22"/>
    <x v="1"/>
    <x v="0"/>
    <x v="1"/>
    <x v="2"/>
    <x v="0"/>
    <x v="1"/>
    <x v="1"/>
    <x v="2"/>
    <x v="0"/>
    <n v="0"/>
    <n v="1"/>
    <n v="0"/>
    <m/>
    <x v="0"/>
    <n v="4.778062262691999E-2"/>
  </r>
  <r>
    <x v="8"/>
    <x v="0"/>
    <x v="0"/>
    <x v="2"/>
    <x v="2"/>
    <x v="0"/>
    <x v="0"/>
    <x v="0"/>
    <x v="2"/>
    <x v="9"/>
    <n v="0"/>
    <n v="1"/>
    <n v="0"/>
    <m/>
    <x v="1"/>
    <n v="0.1682793086942907"/>
  </r>
  <r>
    <x v="4"/>
    <x v="0"/>
    <x v="1"/>
    <x v="0"/>
    <x v="3"/>
    <x v="1"/>
    <x v="0"/>
    <x v="0"/>
    <x v="0"/>
    <x v="8"/>
    <n v="0"/>
    <n v="1"/>
    <n v="0"/>
    <m/>
    <x v="1"/>
    <n v="0.11253926602183867"/>
  </r>
  <r>
    <x v="12"/>
    <x v="1"/>
    <x v="0"/>
    <x v="2"/>
    <x v="2"/>
    <x v="1"/>
    <x v="0"/>
    <x v="1"/>
    <x v="1"/>
    <x v="9"/>
    <n v="0"/>
    <n v="1"/>
    <n v="0"/>
    <m/>
    <x v="1"/>
    <n v="0.14989547850382232"/>
  </r>
  <r>
    <x v="4"/>
    <x v="0"/>
    <x v="0"/>
    <x v="2"/>
    <x v="3"/>
    <x v="1"/>
    <x v="0"/>
    <x v="1"/>
    <x v="1"/>
    <x v="9"/>
    <n v="0"/>
    <n v="1"/>
    <n v="0"/>
    <m/>
    <x v="1"/>
    <n v="0.13642618392543343"/>
  </r>
  <r>
    <x v="4"/>
    <x v="0"/>
    <x v="1"/>
    <x v="0"/>
    <x v="3"/>
    <x v="1"/>
    <x v="0"/>
    <x v="0"/>
    <x v="2"/>
    <x v="9"/>
    <n v="0"/>
    <n v="1"/>
    <n v="0"/>
    <m/>
    <x v="1"/>
    <n v="0.22166089127555452"/>
  </r>
  <r>
    <x v="22"/>
    <x v="1"/>
    <x v="1"/>
    <x v="0"/>
    <x v="3"/>
    <x v="1"/>
    <x v="0"/>
    <x v="1"/>
    <x v="2"/>
    <x v="9"/>
    <n v="0"/>
    <n v="1"/>
    <n v="0"/>
    <m/>
    <x v="0"/>
    <n v="0.30098236555114261"/>
  </r>
  <r>
    <x v="19"/>
    <x v="1"/>
    <x v="0"/>
    <x v="1"/>
    <x v="1"/>
    <x v="1"/>
    <x v="0"/>
    <x v="1"/>
    <x v="2"/>
    <x v="9"/>
    <n v="0"/>
    <n v="1"/>
    <n v="0"/>
    <m/>
    <x v="1"/>
    <n v="0.17433593735276651"/>
  </r>
  <r>
    <x v="11"/>
    <x v="0"/>
    <x v="0"/>
    <x v="2"/>
    <x v="2"/>
    <x v="1"/>
    <x v="0"/>
    <x v="0"/>
    <x v="1"/>
    <x v="8"/>
    <n v="0"/>
    <n v="1"/>
    <n v="0"/>
    <m/>
    <x v="1"/>
    <n v="0.10444244110474776"/>
  </r>
  <r>
    <x v="10"/>
    <x v="1"/>
    <x v="0"/>
    <x v="2"/>
    <x v="2"/>
    <x v="1"/>
    <x v="0"/>
    <x v="1"/>
    <x v="2"/>
    <x v="9"/>
    <n v="0"/>
    <n v="1"/>
    <n v="0"/>
    <m/>
    <x v="1"/>
    <n v="0.37581664832801498"/>
  </r>
  <r>
    <x v="16"/>
    <x v="1"/>
    <x v="1"/>
    <x v="0"/>
    <x v="2"/>
    <x v="0"/>
    <x v="0"/>
    <x v="0"/>
    <x v="2"/>
    <x v="9"/>
    <n v="0"/>
    <n v="1"/>
    <n v="0"/>
    <m/>
    <x v="1"/>
    <n v="0.13904095240248723"/>
  </r>
  <r>
    <x v="10"/>
    <x v="1"/>
    <x v="0"/>
    <x v="0"/>
    <x v="2"/>
    <x v="0"/>
    <x v="1"/>
    <x v="1"/>
    <x v="1"/>
    <x v="4"/>
    <n v="0"/>
    <n v="1"/>
    <n v="0"/>
    <m/>
    <x v="1"/>
    <n v="3.1213548562346576E-2"/>
  </r>
  <r>
    <x v="10"/>
    <x v="0"/>
    <x v="0"/>
    <x v="0"/>
    <x v="3"/>
    <x v="0"/>
    <x v="0"/>
    <x v="1"/>
    <x v="0"/>
    <x v="8"/>
    <n v="0"/>
    <n v="1"/>
    <n v="0"/>
    <m/>
    <x v="1"/>
    <n v="8.4893923858991527E-2"/>
  </r>
  <r>
    <x v="6"/>
    <x v="0"/>
    <x v="1"/>
    <x v="0"/>
    <x v="0"/>
    <x v="0"/>
    <x v="1"/>
    <x v="1"/>
    <x v="2"/>
    <x v="4"/>
    <n v="0"/>
    <n v="1"/>
    <n v="0"/>
    <m/>
    <x v="1"/>
    <n v="3.3292078574409821E-2"/>
  </r>
  <r>
    <x v="15"/>
    <x v="1"/>
    <x v="1"/>
    <x v="0"/>
    <x v="3"/>
    <x v="1"/>
    <x v="1"/>
    <x v="1"/>
    <x v="0"/>
    <x v="1"/>
    <n v="0"/>
    <n v="1"/>
    <n v="0"/>
    <m/>
    <x v="0"/>
    <n v="8.3167200953685433E-2"/>
  </r>
  <r>
    <x v="5"/>
    <x v="1"/>
    <x v="1"/>
    <x v="1"/>
    <x v="1"/>
    <x v="0"/>
    <x v="0"/>
    <x v="1"/>
    <x v="1"/>
    <x v="5"/>
    <n v="0"/>
    <n v="1"/>
    <n v="0"/>
    <m/>
    <x v="0"/>
    <n v="2.1352855449696815E-2"/>
  </r>
  <r>
    <x v="7"/>
    <x v="1"/>
    <x v="0"/>
    <x v="0"/>
    <x v="2"/>
    <x v="1"/>
    <x v="1"/>
    <x v="0"/>
    <x v="1"/>
    <x v="3"/>
    <n v="0"/>
    <n v="1"/>
    <n v="0"/>
    <m/>
    <x v="1"/>
    <n v="5.9633482189705503E-2"/>
  </r>
  <r>
    <x v="0"/>
    <x v="1"/>
    <x v="1"/>
    <x v="2"/>
    <x v="1"/>
    <x v="0"/>
    <x v="0"/>
    <x v="1"/>
    <x v="0"/>
    <x v="8"/>
    <n v="0"/>
    <n v="1"/>
    <n v="0"/>
    <m/>
    <x v="0"/>
    <n v="8.7331452463510942E-2"/>
  </r>
  <r>
    <x v="18"/>
    <x v="1"/>
    <x v="1"/>
    <x v="0"/>
    <x v="1"/>
    <x v="1"/>
    <x v="0"/>
    <x v="1"/>
    <x v="2"/>
    <x v="9"/>
    <n v="0"/>
    <n v="1"/>
    <n v="0"/>
    <m/>
    <x v="1"/>
    <n v="0.24329361132019353"/>
  </r>
  <r>
    <x v="8"/>
    <x v="1"/>
    <x v="1"/>
    <x v="0"/>
    <x v="2"/>
    <x v="0"/>
    <x v="0"/>
    <x v="0"/>
    <x v="2"/>
    <x v="9"/>
    <n v="0"/>
    <n v="2"/>
    <n v="0"/>
    <m/>
    <x v="1"/>
    <n v="0.27808190480497447"/>
  </r>
  <r>
    <x v="2"/>
    <x v="0"/>
    <x v="1"/>
    <x v="1"/>
    <x v="1"/>
    <x v="1"/>
    <x v="0"/>
    <x v="1"/>
    <x v="2"/>
    <x v="8"/>
    <n v="0"/>
    <n v="1"/>
    <n v="0"/>
    <m/>
    <x v="1"/>
    <n v="8.8413868051613997E-2"/>
  </r>
  <r>
    <x v="8"/>
    <x v="1"/>
    <x v="1"/>
    <x v="0"/>
    <x v="0"/>
    <x v="0"/>
    <x v="0"/>
    <x v="1"/>
    <x v="2"/>
    <x v="8"/>
    <n v="0"/>
    <n v="1"/>
    <n v="0"/>
    <m/>
    <x v="1"/>
    <n v="9.9142550923112027E-2"/>
  </r>
  <r>
    <x v="0"/>
    <x v="0"/>
    <x v="0"/>
    <x v="1"/>
    <x v="2"/>
    <x v="1"/>
    <x v="0"/>
    <x v="1"/>
    <x v="1"/>
    <x v="4"/>
    <n v="0"/>
    <n v="1"/>
    <n v="0"/>
    <m/>
    <x v="0"/>
    <n v="3.8861886041588509E-2"/>
  </r>
  <r>
    <x v="6"/>
    <x v="1"/>
    <x v="1"/>
    <x v="0"/>
    <x v="3"/>
    <x v="1"/>
    <x v="0"/>
    <x v="1"/>
    <x v="2"/>
    <x v="9"/>
    <n v="0"/>
    <n v="1"/>
    <n v="0"/>
    <m/>
    <x v="1"/>
    <n v="0.30098236555114261"/>
  </r>
  <r>
    <x v="16"/>
    <x v="0"/>
    <x v="0"/>
    <x v="1"/>
    <x v="0"/>
    <x v="0"/>
    <x v="0"/>
    <x v="0"/>
    <x v="1"/>
    <x v="6"/>
    <n v="8"/>
    <n v="8"/>
    <n v="0"/>
    <m/>
    <x v="1"/>
    <n v="0.11044760186666393"/>
  </r>
  <r>
    <x v="15"/>
    <x v="0"/>
    <x v="1"/>
    <x v="1"/>
    <x v="0"/>
    <x v="0"/>
    <x v="1"/>
    <x v="0"/>
    <x v="1"/>
    <x v="6"/>
    <n v="2"/>
    <n v="2"/>
    <n v="0"/>
    <n v="2"/>
    <x v="0"/>
    <n v="9.1577110773735128E-3"/>
  </r>
  <r>
    <x v="12"/>
    <x v="0"/>
    <x v="0"/>
    <x v="0"/>
    <x v="1"/>
    <x v="1"/>
    <x v="0"/>
    <x v="1"/>
    <x v="1"/>
    <x v="1"/>
    <n v="26"/>
    <n v="32"/>
    <n v="0"/>
    <m/>
    <x v="1"/>
    <n v="2.6333331000393443"/>
  </r>
  <r>
    <x v="4"/>
    <x v="0"/>
    <x v="1"/>
    <x v="1"/>
    <x v="2"/>
    <x v="1"/>
    <x v="1"/>
    <x v="1"/>
    <x v="0"/>
    <x v="5"/>
    <n v="2"/>
    <n v="2"/>
    <n v="0"/>
    <m/>
    <x v="1"/>
    <n v="3.9601436627554824E-2"/>
  </r>
  <r>
    <x v="4"/>
    <x v="0"/>
    <x v="1"/>
    <x v="0"/>
    <x v="0"/>
    <x v="0"/>
    <x v="0"/>
    <x v="0"/>
    <x v="1"/>
    <x v="5"/>
    <n v="16"/>
    <n v="20"/>
    <n v="0"/>
    <m/>
    <x v="1"/>
    <n v="0.41743914833172191"/>
  </r>
  <r>
    <x v="19"/>
    <x v="0"/>
    <x v="1"/>
    <x v="0"/>
    <x v="1"/>
    <x v="0"/>
    <x v="0"/>
    <x v="1"/>
    <x v="1"/>
    <x v="4"/>
    <n v="23"/>
    <n v="27"/>
    <n v="0"/>
    <m/>
    <x v="1"/>
    <n v="0.82809542312897799"/>
  </r>
  <r>
    <x v="2"/>
    <x v="0"/>
    <x v="1"/>
    <x v="0"/>
    <x v="0"/>
    <x v="0"/>
    <x v="0"/>
    <x v="1"/>
    <x v="0"/>
    <x v="4"/>
    <n v="3"/>
    <n v="3"/>
    <n v="0"/>
    <m/>
    <x v="1"/>
    <n v="9.4183371371262647E-2"/>
  </r>
  <r>
    <x v="0"/>
    <x v="1"/>
    <x v="0"/>
    <x v="2"/>
    <x v="1"/>
    <x v="0"/>
    <x v="0"/>
    <x v="1"/>
    <x v="2"/>
    <x v="9"/>
    <n v="8"/>
    <n v="10"/>
    <n v="3"/>
    <n v="8"/>
    <x v="0"/>
    <n v="2.3630420501650442"/>
  </r>
  <r>
    <x v="22"/>
    <x v="1"/>
    <x v="0"/>
    <x v="0"/>
    <x v="1"/>
    <x v="1"/>
    <x v="0"/>
    <x v="1"/>
    <x v="1"/>
    <x v="8"/>
    <n v="8"/>
    <n v="14"/>
    <n v="0"/>
    <n v="8"/>
    <x v="0"/>
    <n v="1.6714582998681715"/>
  </r>
  <r>
    <x v="20"/>
    <x v="1"/>
    <x v="1"/>
    <x v="0"/>
    <x v="1"/>
    <x v="0"/>
    <x v="0"/>
    <x v="1"/>
    <x v="0"/>
    <x v="1"/>
    <n v="8"/>
    <n v="8"/>
    <n v="0"/>
    <n v="8"/>
    <x v="0"/>
    <n v="0.54244598278770351"/>
  </r>
  <r>
    <x v="1"/>
    <x v="0"/>
    <x v="0"/>
    <x v="0"/>
    <x v="0"/>
    <x v="0"/>
    <x v="0"/>
    <x v="0"/>
    <x v="1"/>
    <x v="7"/>
    <n v="40"/>
    <n v="48"/>
    <n v="0"/>
    <n v="39"/>
    <x v="0"/>
    <n v="1.4294316370941103"/>
  </r>
  <r>
    <x v="5"/>
    <x v="1"/>
    <x v="1"/>
    <x v="0"/>
    <x v="3"/>
    <x v="1"/>
    <x v="1"/>
    <x v="1"/>
    <x v="2"/>
    <x v="9"/>
    <n v="1"/>
    <n v="2"/>
    <n v="0"/>
    <n v="1"/>
    <x v="0"/>
    <n v="0.3384798675801558"/>
  </r>
  <r>
    <x v="17"/>
    <x v="1"/>
    <x v="0"/>
    <x v="0"/>
    <x v="0"/>
    <x v="0"/>
    <x v="1"/>
    <x v="1"/>
    <x v="1"/>
    <x v="7"/>
    <n v="14"/>
    <n v="17"/>
    <n v="0"/>
    <n v="14"/>
    <x v="0"/>
    <n v="0.36523758806463447"/>
  </r>
  <r>
    <x v="16"/>
    <x v="0"/>
    <x v="0"/>
    <x v="0"/>
    <x v="1"/>
    <x v="1"/>
    <x v="0"/>
    <x v="1"/>
    <x v="0"/>
    <x v="8"/>
    <n v="14"/>
    <n v="21"/>
    <n v="1"/>
    <m/>
    <x v="1"/>
    <n v="2.5196676235251734"/>
  </r>
  <r>
    <x v="15"/>
    <x v="1"/>
    <x v="0"/>
    <x v="0"/>
    <x v="1"/>
    <x v="0"/>
    <x v="0"/>
    <x v="1"/>
    <x v="1"/>
    <x v="3"/>
    <n v="98"/>
    <n v="109"/>
    <n v="15"/>
    <n v="93"/>
    <x v="0"/>
    <n v="7.0242933003883294"/>
  </r>
  <r>
    <x v="15"/>
    <x v="0"/>
    <x v="0"/>
    <x v="0"/>
    <x v="0"/>
    <x v="0"/>
    <x v="0"/>
    <x v="1"/>
    <x v="2"/>
    <x v="8"/>
    <n v="6"/>
    <n v="7"/>
    <n v="0"/>
    <n v="6"/>
    <x v="0"/>
    <n v="0.66406444810073517"/>
  </r>
  <r>
    <x v="6"/>
    <x v="0"/>
    <x v="0"/>
    <x v="0"/>
    <x v="1"/>
    <x v="0"/>
    <x v="0"/>
    <x v="1"/>
    <x v="1"/>
    <x v="2"/>
    <n v="89"/>
    <n v="103"/>
    <n v="7"/>
    <m/>
    <x v="1"/>
    <n v="4.488093944693353"/>
  </r>
  <r>
    <x v="9"/>
    <x v="0"/>
    <x v="1"/>
    <x v="0"/>
    <x v="2"/>
    <x v="0"/>
    <x v="0"/>
    <x v="1"/>
    <x v="1"/>
    <x v="7"/>
    <n v="6"/>
    <n v="6"/>
    <n v="0"/>
    <n v="6"/>
    <x v="0"/>
    <n v="0.18199278503916333"/>
  </r>
  <r>
    <x v="10"/>
    <x v="0"/>
    <x v="0"/>
    <x v="0"/>
    <x v="1"/>
    <x v="0"/>
    <x v="0"/>
    <x v="1"/>
    <x v="1"/>
    <x v="2"/>
    <n v="58"/>
    <n v="72"/>
    <n v="0"/>
    <m/>
    <x v="1"/>
    <n v="3.1373083885235085"/>
  </r>
  <r>
    <x v="9"/>
    <x v="0"/>
    <x v="0"/>
    <x v="0"/>
    <x v="1"/>
    <x v="0"/>
    <x v="0"/>
    <x v="1"/>
    <x v="1"/>
    <x v="2"/>
    <n v="90"/>
    <n v="102"/>
    <n v="3"/>
    <n v="87"/>
    <x v="0"/>
    <n v="4.4445202170749702"/>
  </r>
  <r>
    <x v="9"/>
    <x v="1"/>
    <x v="0"/>
    <x v="0"/>
    <x v="2"/>
    <x v="1"/>
    <x v="0"/>
    <x v="0"/>
    <x v="1"/>
    <x v="8"/>
    <n v="5"/>
    <n v="7"/>
    <n v="1"/>
    <n v="5"/>
    <x v="0"/>
    <n v="0.82735181141198599"/>
  </r>
  <r>
    <x v="14"/>
    <x v="0"/>
    <x v="0"/>
    <x v="0"/>
    <x v="1"/>
    <x v="0"/>
    <x v="0"/>
    <x v="1"/>
    <x v="1"/>
    <x v="2"/>
    <n v="71"/>
    <n v="90"/>
    <n v="0"/>
    <m/>
    <x v="1"/>
    <n v="3.9216354856543854"/>
  </r>
  <r>
    <x v="8"/>
    <x v="0"/>
    <x v="0"/>
    <x v="0"/>
    <x v="1"/>
    <x v="1"/>
    <x v="0"/>
    <x v="1"/>
    <x v="1"/>
    <x v="1"/>
    <n v="32"/>
    <n v="49"/>
    <n v="0"/>
    <m/>
    <x v="1"/>
    <n v="4.0322913094352462"/>
  </r>
  <r>
    <x v="1"/>
    <x v="1"/>
    <x v="0"/>
    <x v="0"/>
    <x v="1"/>
    <x v="0"/>
    <x v="0"/>
    <x v="1"/>
    <x v="1"/>
    <x v="3"/>
    <n v="116"/>
    <n v="132"/>
    <n v="11"/>
    <n v="112"/>
    <x v="0"/>
    <n v="8.5064836298280699"/>
  </r>
  <r>
    <x v="5"/>
    <x v="0"/>
    <x v="0"/>
    <x v="2"/>
    <x v="0"/>
    <x v="0"/>
    <x v="0"/>
    <x v="0"/>
    <x v="1"/>
    <x v="4"/>
    <n v="14"/>
    <n v="14"/>
    <n v="0"/>
    <n v="13"/>
    <x v="0"/>
    <n v="0.54335799312619992"/>
  </r>
  <r>
    <x v="16"/>
    <x v="0"/>
    <x v="0"/>
    <x v="2"/>
    <x v="1"/>
    <x v="0"/>
    <x v="0"/>
    <x v="1"/>
    <x v="0"/>
    <x v="1"/>
    <n v="9"/>
    <n v="21"/>
    <n v="1"/>
    <m/>
    <x v="1"/>
    <n v="1.7538665898644925"/>
  </r>
  <r>
    <x v="7"/>
    <x v="1"/>
    <x v="0"/>
    <x v="0"/>
    <x v="0"/>
    <x v="0"/>
    <x v="1"/>
    <x v="0"/>
    <x v="1"/>
    <x v="7"/>
    <n v="6"/>
    <n v="8"/>
    <n v="0"/>
    <m/>
    <x v="1"/>
    <n v="0.17187651203041621"/>
  </r>
  <r>
    <x v="10"/>
    <x v="0"/>
    <x v="0"/>
    <x v="0"/>
    <x v="2"/>
    <x v="0"/>
    <x v="0"/>
    <x v="0"/>
    <x v="2"/>
    <x v="9"/>
    <n v="7"/>
    <n v="11"/>
    <n v="0"/>
    <m/>
    <x v="1"/>
    <n v="1.4662834694827307"/>
  </r>
  <r>
    <x v="1"/>
    <x v="1"/>
    <x v="0"/>
    <x v="0"/>
    <x v="2"/>
    <x v="0"/>
    <x v="0"/>
    <x v="0"/>
    <x v="1"/>
    <x v="3"/>
    <n v="4"/>
    <n v="4"/>
    <n v="0"/>
    <n v="4"/>
    <x v="0"/>
    <n v="0.25502881531745741"/>
  </r>
  <r>
    <x v="0"/>
    <x v="1"/>
    <x v="0"/>
    <x v="0"/>
    <x v="0"/>
    <x v="0"/>
    <x v="0"/>
    <x v="1"/>
    <x v="1"/>
    <x v="0"/>
    <n v="33"/>
    <n v="33"/>
    <n v="2"/>
    <n v="32"/>
    <x v="0"/>
    <n v="1.4635171139714893"/>
  </r>
  <r>
    <x v="9"/>
    <x v="0"/>
    <x v="1"/>
    <x v="0"/>
    <x v="3"/>
    <x v="1"/>
    <x v="1"/>
    <x v="1"/>
    <x v="0"/>
    <x v="0"/>
    <n v="3"/>
    <n v="3"/>
    <n v="0"/>
    <n v="3"/>
    <x v="0"/>
    <n v="0.16980320451741873"/>
  </r>
  <r>
    <x v="19"/>
    <x v="1"/>
    <x v="0"/>
    <x v="0"/>
    <x v="0"/>
    <x v="0"/>
    <x v="0"/>
    <x v="0"/>
    <x v="1"/>
    <x v="0"/>
    <n v="43"/>
    <n v="55"/>
    <n v="0"/>
    <m/>
    <x v="1"/>
    <n v="2.439195189952482"/>
  </r>
  <r>
    <x v="9"/>
    <x v="0"/>
    <x v="1"/>
    <x v="0"/>
    <x v="0"/>
    <x v="0"/>
    <x v="0"/>
    <x v="1"/>
    <x v="2"/>
    <x v="1"/>
    <n v="1"/>
    <n v="1"/>
    <n v="0"/>
    <n v="1"/>
    <x v="0"/>
    <n v="6.785105877159095E-2"/>
  </r>
  <r>
    <x v="7"/>
    <x v="1"/>
    <x v="0"/>
    <x v="0"/>
    <x v="2"/>
    <x v="0"/>
    <x v="0"/>
    <x v="1"/>
    <x v="1"/>
    <x v="3"/>
    <n v="3"/>
    <n v="3"/>
    <n v="0"/>
    <m/>
    <x v="1"/>
    <n v="0.19127161148809305"/>
  </r>
  <r>
    <x v="1"/>
    <x v="0"/>
    <x v="0"/>
    <x v="0"/>
    <x v="0"/>
    <x v="0"/>
    <x v="0"/>
    <x v="1"/>
    <x v="1"/>
    <x v="7"/>
    <n v="33"/>
    <n v="38"/>
    <n v="0"/>
    <n v="33"/>
    <x v="0"/>
    <n v="1.1316333793661706"/>
  </r>
  <r>
    <x v="15"/>
    <x v="1"/>
    <x v="0"/>
    <x v="2"/>
    <x v="0"/>
    <x v="0"/>
    <x v="0"/>
    <x v="0"/>
    <x v="0"/>
    <x v="8"/>
    <n v="5"/>
    <n v="6"/>
    <n v="1"/>
    <n v="5"/>
    <x v="0"/>
    <n v="0.5096418357291469"/>
  </r>
  <r>
    <x v="9"/>
    <x v="0"/>
    <x v="0"/>
    <x v="0"/>
    <x v="0"/>
    <x v="0"/>
    <x v="0"/>
    <x v="1"/>
    <x v="0"/>
    <x v="0"/>
    <n v="4"/>
    <n v="5"/>
    <n v="0"/>
    <n v="3"/>
    <x v="0"/>
    <n v="0.22294337807538123"/>
  </r>
  <r>
    <x v="14"/>
    <x v="1"/>
    <x v="0"/>
    <x v="1"/>
    <x v="0"/>
    <x v="0"/>
    <x v="1"/>
    <x v="1"/>
    <x v="1"/>
    <x v="6"/>
    <n v="7"/>
    <n v="7"/>
    <n v="0"/>
    <m/>
    <x v="1"/>
    <n v="6.9403528523628563E-2"/>
  </r>
  <r>
    <x v="7"/>
    <x v="1"/>
    <x v="0"/>
    <x v="0"/>
    <x v="2"/>
    <x v="0"/>
    <x v="1"/>
    <x v="1"/>
    <x v="0"/>
    <x v="0"/>
    <n v="2"/>
    <n v="2"/>
    <n v="0"/>
    <m/>
    <x v="1"/>
    <n v="9.3402078399889468E-2"/>
  </r>
  <r>
    <x v="3"/>
    <x v="1"/>
    <x v="0"/>
    <x v="1"/>
    <x v="1"/>
    <x v="0"/>
    <x v="0"/>
    <x v="1"/>
    <x v="1"/>
    <x v="4"/>
    <n v="5"/>
    <n v="5"/>
    <n v="0"/>
    <m/>
    <x v="1"/>
    <n v="0.15229789876830657"/>
  </r>
  <r>
    <x v="1"/>
    <x v="1"/>
    <x v="0"/>
    <x v="0"/>
    <x v="0"/>
    <x v="0"/>
    <x v="0"/>
    <x v="1"/>
    <x v="1"/>
    <x v="0"/>
    <n v="38"/>
    <n v="46"/>
    <n v="3"/>
    <n v="33"/>
    <x v="0"/>
    <n v="2.0400541588693488"/>
  </r>
  <r>
    <x v="15"/>
    <x v="0"/>
    <x v="1"/>
    <x v="2"/>
    <x v="2"/>
    <x v="0"/>
    <x v="0"/>
    <x v="0"/>
    <x v="1"/>
    <x v="4"/>
    <n v="1"/>
    <n v="1"/>
    <n v="0"/>
    <n v="1"/>
    <x v="0"/>
    <n v="3.9524266772527843E-2"/>
  </r>
  <r>
    <x v="19"/>
    <x v="0"/>
    <x v="0"/>
    <x v="1"/>
    <x v="0"/>
    <x v="0"/>
    <x v="1"/>
    <x v="1"/>
    <x v="2"/>
    <x v="7"/>
    <n v="1"/>
    <n v="1"/>
    <n v="0"/>
    <m/>
    <x v="1"/>
    <n v="2.2116330033594731E-2"/>
  </r>
  <r>
    <x v="5"/>
    <x v="0"/>
    <x v="1"/>
    <x v="0"/>
    <x v="0"/>
    <x v="0"/>
    <x v="1"/>
    <x v="1"/>
    <x v="1"/>
    <x v="6"/>
    <n v="5"/>
    <n v="6"/>
    <n v="0"/>
    <n v="5"/>
    <x v="0"/>
    <n v="5.9908868092403415E-2"/>
  </r>
  <r>
    <x v="17"/>
    <x v="1"/>
    <x v="0"/>
    <x v="0"/>
    <x v="3"/>
    <x v="1"/>
    <x v="0"/>
    <x v="1"/>
    <x v="0"/>
    <x v="9"/>
    <n v="3"/>
    <n v="3"/>
    <n v="0"/>
    <n v="3"/>
    <x v="0"/>
    <n v="0.64902778059141164"/>
  </r>
  <r>
    <x v="9"/>
    <x v="1"/>
    <x v="1"/>
    <x v="0"/>
    <x v="1"/>
    <x v="0"/>
    <x v="0"/>
    <x v="1"/>
    <x v="0"/>
    <x v="1"/>
    <n v="4"/>
    <n v="4"/>
    <n v="0"/>
    <n v="3"/>
    <x v="0"/>
    <n v="0.27122299139385175"/>
  </r>
  <r>
    <x v="12"/>
    <x v="0"/>
    <x v="0"/>
    <x v="0"/>
    <x v="2"/>
    <x v="0"/>
    <x v="0"/>
    <x v="1"/>
    <x v="0"/>
    <x v="3"/>
    <n v="8"/>
    <n v="8"/>
    <n v="0"/>
    <m/>
    <x v="1"/>
    <n v="0.51275782163450123"/>
  </r>
  <r>
    <x v="3"/>
    <x v="0"/>
    <x v="0"/>
    <x v="0"/>
    <x v="1"/>
    <x v="0"/>
    <x v="0"/>
    <x v="1"/>
    <x v="1"/>
    <x v="2"/>
    <n v="76"/>
    <n v="90"/>
    <n v="0"/>
    <m/>
    <x v="1"/>
    <n v="3.9216354856543854"/>
  </r>
  <r>
    <x v="10"/>
    <x v="0"/>
    <x v="0"/>
    <x v="1"/>
    <x v="2"/>
    <x v="1"/>
    <x v="1"/>
    <x v="1"/>
    <x v="1"/>
    <x v="5"/>
    <n v="2"/>
    <n v="2"/>
    <n v="0"/>
    <m/>
    <x v="1"/>
    <n v="3.7541606025736154E-2"/>
  </r>
  <r>
    <x v="6"/>
    <x v="1"/>
    <x v="1"/>
    <x v="0"/>
    <x v="0"/>
    <x v="0"/>
    <x v="1"/>
    <x v="1"/>
    <x v="1"/>
    <x v="5"/>
    <n v="5"/>
    <n v="5"/>
    <n v="0"/>
    <m/>
    <x v="1"/>
    <n v="7.5097987200932345E-2"/>
  </r>
  <r>
    <x v="0"/>
    <x v="0"/>
    <x v="0"/>
    <x v="0"/>
    <x v="1"/>
    <x v="0"/>
    <x v="0"/>
    <x v="1"/>
    <x v="0"/>
    <x v="1"/>
    <n v="26"/>
    <n v="28"/>
    <n v="1"/>
    <n v="26"/>
    <x v="0"/>
    <n v="1.8139509157428262"/>
  </r>
  <r>
    <x v="1"/>
    <x v="1"/>
    <x v="0"/>
    <x v="0"/>
    <x v="3"/>
    <x v="1"/>
    <x v="0"/>
    <x v="0"/>
    <x v="0"/>
    <x v="9"/>
    <n v="2"/>
    <n v="2"/>
    <n v="0"/>
    <n v="2"/>
    <x v="0"/>
    <n v="0.43268518706094106"/>
  </r>
  <r>
    <x v="20"/>
    <x v="0"/>
    <x v="1"/>
    <x v="1"/>
    <x v="0"/>
    <x v="0"/>
    <x v="1"/>
    <x v="0"/>
    <x v="1"/>
    <x v="6"/>
    <n v="3"/>
    <n v="3"/>
    <n v="0"/>
    <n v="1"/>
    <x v="0"/>
    <n v="1.3736566616060271E-2"/>
  </r>
  <r>
    <x v="17"/>
    <x v="1"/>
    <x v="0"/>
    <x v="0"/>
    <x v="2"/>
    <x v="1"/>
    <x v="0"/>
    <x v="1"/>
    <x v="1"/>
    <x v="8"/>
    <n v="3"/>
    <n v="3"/>
    <n v="0"/>
    <n v="3"/>
    <x v="0"/>
    <n v="0.35457934774799399"/>
  </r>
  <r>
    <x v="20"/>
    <x v="0"/>
    <x v="0"/>
    <x v="0"/>
    <x v="0"/>
    <x v="0"/>
    <x v="0"/>
    <x v="0"/>
    <x v="1"/>
    <x v="7"/>
    <n v="41"/>
    <n v="46"/>
    <n v="2"/>
    <n v="37"/>
    <x v="0"/>
    <n v="1.3698719855485224"/>
  </r>
  <r>
    <x v="12"/>
    <x v="0"/>
    <x v="1"/>
    <x v="0"/>
    <x v="1"/>
    <x v="1"/>
    <x v="0"/>
    <x v="1"/>
    <x v="0"/>
    <x v="8"/>
    <n v="5"/>
    <n v="5"/>
    <n v="0"/>
    <m/>
    <x v="1"/>
    <n v="0.43249796319760819"/>
  </r>
  <r>
    <x v="7"/>
    <x v="1"/>
    <x v="1"/>
    <x v="1"/>
    <x v="1"/>
    <x v="0"/>
    <x v="0"/>
    <x v="1"/>
    <x v="1"/>
    <x v="5"/>
    <n v="3"/>
    <n v="3"/>
    <n v="0"/>
    <m/>
    <x v="1"/>
    <n v="6.4058566349090448E-2"/>
  </r>
  <r>
    <x v="20"/>
    <x v="0"/>
    <x v="0"/>
    <x v="0"/>
    <x v="1"/>
    <x v="1"/>
    <x v="0"/>
    <x v="1"/>
    <x v="1"/>
    <x v="1"/>
    <n v="37"/>
    <n v="43"/>
    <n v="0"/>
    <n v="35"/>
    <x v="0"/>
    <n v="3.5385413531778691"/>
  </r>
  <r>
    <x v="6"/>
    <x v="1"/>
    <x v="0"/>
    <x v="0"/>
    <x v="0"/>
    <x v="0"/>
    <x v="0"/>
    <x v="0"/>
    <x v="1"/>
    <x v="0"/>
    <n v="22"/>
    <n v="24"/>
    <n v="0"/>
    <m/>
    <x v="1"/>
    <n v="1.0643760828883559"/>
  </r>
  <r>
    <x v="1"/>
    <x v="0"/>
    <x v="0"/>
    <x v="1"/>
    <x v="0"/>
    <x v="0"/>
    <x v="0"/>
    <x v="0"/>
    <x v="1"/>
    <x v="6"/>
    <n v="9"/>
    <n v="9"/>
    <n v="0"/>
    <n v="9"/>
    <x v="0"/>
    <n v="0.1242535520999969"/>
  </r>
  <r>
    <x v="4"/>
    <x v="0"/>
    <x v="0"/>
    <x v="0"/>
    <x v="1"/>
    <x v="1"/>
    <x v="0"/>
    <x v="1"/>
    <x v="1"/>
    <x v="1"/>
    <n v="32"/>
    <n v="47"/>
    <n v="0"/>
    <m/>
    <x v="1"/>
    <n v="3.8677079906827871"/>
  </r>
  <r>
    <x v="8"/>
    <x v="1"/>
    <x v="0"/>
    <x v="2"/>
    <x v="1"/>
    <x v="0"/>
    <x v="0"/>
    <x v="1"/>
    <x v="1"/>
    <x v="1"/>
    <n v="20"/>
    <n v="35"/>
    <n v="0"/>
    <m/>
    <x v="1"/>
    <n v="2.9080356379600789"/>
  </r>
  <r>
    <x v="12"/>
    <x v="0"/>
    <x v="0"/>
    <x v="0"/>
    <x v="0"/>
    <x v="0"/>
    <x v="1"/>
    <x v="1"/>
    <x v="1"/>
    <x v="6"/>
    <n v="9"/>
    <n v="10"/>
    <n v="0"/>
    <m/>
    <x v="1"/>
    <n v="0.14314121579974512"/>
  </r>
  <r>
    <x v="14"/>
    <x v="1"/>
    <x v="0"/>
    <x v="0"/>
    <x v="0"/>
    <x v="0"/>
    <x v="1"/>
    <x v="0"/>
    <x v="1"/>
    <x v="7"/>
    <n v="7"/>
    <n v="8"/>
    <n v="0"/>
    <m/>
    <x v="1"/>
    <n v="0.17187651203041621"/>
  </r>
  <r>
    <x v="8"/>
    <x v="0"/>
    <x v="0"/>
    <x v="0"/>
    <x v="0"/>
    <x v="0"/>
    <x v="0"/>
    <x v="0"/>
    <x v="1"/>
    <x v="7"/>
    <n v="38"/>
    <n v="46"/>
    <n v="0"/>
    <m/>
    <x v="1"/>
    <n v="1.3698719855485224"/>
  </r>
  <r>
    <x v="5"/>
    <x v="1"/>
    <x v="0"/>
    <x v="2"/>
    <x v="0"/>
    <x v="1"/>
    <x v="0"/>
    <x v="1"/>
    <x v="1"/>
    <x v="8"/>
    <n v="1"/>
    <n v="3"/>
    <n v="0"/>
    <n v="1"/>
    <x v="0"/>
    <n v="0.32181121114782574"/>
  </r>
  <r>
    <x v="5"/>
    <x v="1"/>
    <x v="0"/>
    <x v="0"/>
    <x v="2"/>
    <x v="0"/>
    <x v="1"/>
    <x v="1"/>
    <x v="2"/>
    <x v="8"/>
    <n v="5"/>
    <n v="9"/>
    <n v="0"/>
    <n v="5"/>
    <x v="0"/>
    <n v="0.89202146681517291"/>
  </r>
  <r>
    <x v="3"/>
    <x v="0"/>
    <x v="0"/>
    <x v="0"/>
    <x v="0"/>
    <x v="0"/>
    <x v="0"/>
    <x v="1"/>
    <x v="1"/>
    <x v="7"/>
    <n v="25"/>
    <n v="29"/>
    <n v="0"/>
    <m/>
    <x v="1"/>
    <n v="0.86361494741102507"/>
  </r>
  <r>
    <x v="22"/>
    <x v="0"/>
    <x v="0"/>
    <x v="0"/>
    <x v="0"/>
    <x v="0"/>
    <x v="0"/>
    <x v="1"/>
    <x v="2"/>
    <x v="8"/>
    <n v="4"/>
    <n v="5"/>
    <n v="1"/>
    <n v="4"/>
    <x v="0"/>
    <n v="0.47433174864338229"/>
  </r>
  <r>
    <x v="1"/>
    <x v="0"/>
    <x v="1"/>
    <x v="2"/>
    <x v="1"/>
    <x v="1"/>
    <x v="0"/>
    <x v="1"/>
    <x v="2"/>
    <x v="9"/>
    <n v="1"/>
    <n v="1"/>
    <n v="0"/>
    <n v="1"/>
    <x v="0"/>
    <n v="0.21859660432790401"/>
  </r>
  <r>
    <x v="1"/>
    <x v="0"/>
    <x v="0"/>
    <x v="2"/>
    <x v="3"/>
    <x v="0"/>
    <x v="0"/>
    <x v="1"/>
    <x v="2"/>
    <x v="9"/>
    <n v="1"/>
    <n v="1"/>
    <n v="0"/>
    <n v="1"/>
    <x v="0"/>
    <n v="0.21511628420770765"/>
  </r>
  <r>
    <x v="19"/>
    <x v="1"/>
    <x v="0"/>
    <x v="0"/>
    <x v="1"/>
    <x v="0"/>
    <x v="0"/>
    <x v="1"/>
    <x v="0"/>
    <x v="8"/>
    <n v="22"/>
    <n v="52"/>
    <n v="0"/>
    <m/>
    <x v="1"/>
    <n v="4.9298513083056266"/>
  </r>
  <r>
    <x v="2"/>
    <x v="0"/>
    <x v="1"/>
    <x v="0"/>
    <x v="2"/>
    <x v="1"/>
    <x v="0"/>
    <x v="0"/>
    <x v="2"/>
    <x v="9"/>
    <n v="2"/>
    <n v="3"/>
    <n v="0"/>
    <m/>
    <x v="1"/>
    <n v="0.52114303200208556"/>
  </r>
  <r>
    <x v="8"/>
    <x v="1"/>
    <x v="0"/>
    <x v="1"/>
    <x v="1"/>
    <x v="0"/>
    <x v="0"/>
    <x v="1"/>
    <x v="2"/>
    <x v="8"/>
    <n v="2"/>
    <n v="2"/>
    <n v="0"/>
    <m/>
    <x v="1"/>
    <n v="0.19376682762166147"/>
  </r>
  <r>
    <x v="16"/>
    <x v="1"/>
    <x v="0"/>
    <x v="2"/>
    <x v="0"/>
    <x v="0"/>
    <x v="0"/>
    <x v="0"/>
    <x v="2"/>
    <x v="9"/>
    <n v="2"/>
    <n v="2"/>
    <n v="0"/>
    <m/>
    <x v="1"/>
    <n v="0.34500564574730752"/>
  </r>
  <r>
    <x v="9"/>
    <x v="1"/>
    <x v="1"/>
    <x v="0"/>
    <x v="2"/>
    <x v="1"/>
    <x v="1"/>
    <x v="1"/>
    <x v="1"/>
    <x v="2"/>
    <n v="2"/>
    <n v="2"/>
    <n v="0"/>
    <n v="2"/>
    <x v="0"/>
    <n v="8.4367847585785014E-2"/>
  </r>
  <r>
    <x v="12"/>
    <x v="0"/>
    <x v="1"/>
    <x v="0"/>
    <x v="0"/>
    <x v="0"/>
    <x v="0"/>
    <x v="1"/>
    <x v="1"/>
    <x v="5"/>
    <n v="13"/>
    <n v="16"/>
    <n v="0"/>
    <m/>
    <x v="1"/>
    <n v="0.33395131866537747"/>
  </r>
  <r>
    <x v="2"/>
    <x v="0"/>
    <x v="0"/>
    <x v="2"/>
    <x v="2"/>
    <x v="0"/>
    <x v="1"/>
    <x v="1"/>
    <x v="2"/>
    <x v="8"/>
    <n v="1"/>
    <n v="2"/>
    <n v="0"/>
    <m/>
    <x v="1"/>
    <n v="0.17472528824814235"/>
  </r>
  <r>
    <x v="17"/>
    <x v="1"/>
    <x v="1"/>
    <x v="2"/>
    <x v="1"/>
    <x v="1"/>
    <x v="0"/>
    <x v="1"/>
    <x v="1"/>
    <x v="8"/>
    <n v="2"/>
    <n v="3"/>
    <n v="0"/>
    <n v="2"/>
    <x v="0"/>
    <n v="0.33064334821554664"/>
  </r>
  <r>
    <x v="11"/>
    <x v="1"/>
    <x v="0"/>
    <x v="2"/>
    <x v="1"/>
    <x v="0"/>
    <x v="0"/>
    <x v="1"/>
    <x v="0"/>
    <x v="8"/>
    <n v="7"/>
    <n v="10"/>
    <n v="0"/>
    <m/>
    <x v="1"/>
    <n v="1.2109536356069832"/>
  </r>
  <r>
    <x v="22"/>
    <x v="0"/>
    <x v="0"/>
    <x v="0"/>
    <x v="2"/>
    <x v="0"/>
    <x v="0"/>
    <x v="1"/>
    <x v="2"/>
    <x v="9"/>
    <n v="6"/>
    <n v="13"/>
    <n v="2"/>
    <n v="6"/>
    <x v="0"/>
    <n v="1.7328804639341364"/>
  </r>
  <r>
    <x v="1"/>
    <x v="0"/>
    <x v="1"/>
    <x v="0"/>
    <x v="0"/>
    <x v="0"/>
    <x v="0"/>
    <x v="0"/>
    <x v="0"/>
    <x v="4"/>
    <n v="9"/>
    <n v="10"/>
    <n v="0"/>
    <n v="9"/>
    <x v="0"/>
    <n v="0.31394457123754216"/>
  </r>
  <r>
    <x v="15"/>
    <x v="0"/>
    <x v="0"/>
    <x v="2"/>
    <x v="1"/>
    <x v="0"/>
    <x v="0"/>
    <x v="1"/>
    <x v="1"/>
    <x v="0"/>
    <n v="22"/>
    <n v="27"/>
    <n v="1"/>
    <n v="21"/>
    <x v="0"/>
    <n v="1.5267074002220886"/>
  </r>
  <r>
    <x v="22"/>
    <x v="0"/>
    <x v="1"/>
    <x v="0"/>
    <x v="1"/>
    <x v="1"/>
    <x v="0"/>
    <x v="1"/>
    <x v="2"/>
    <x v="9"/>
    <n v="3"/>
    <n v="5"/>
    <n v="1"/>
    <n v="3"/>
    <x v="0"/>
    <n v="0.87680743802938443"/>
  </r>
  <r>
    <x v="4"/>
    <x v="0"/>
    <x v="0"/>
    <x v="2"/>
    <x v="1"/>
    <x v="0"/>
    <x v="0"/>
    <x v="1"/>
    <x v="0"/>
    <x v="1"/>
    <n v="10"/>
    <n v="14"/>
    <n v="0"/>
    <m/>
    <x v="1"/>
    <n v="1.169244393242995"/>
  </r>
  <r>
    <x v="14"/>
    <x v="1"/>
    <x v="1"/>
    <x v="0"/>
    <x v="2"/>
    <x v="1"/>
    <x v="0"/>
    <x v="0"/>
    <x v="1"/>
    <x v="8"/>
    <n v="2"/>
    <n v="2"/>
    <n v="0"/>
    <m/>
    <x v="1"/>
    <n v="0.17032001033339855"/>
  </r>
  <r>
    <x v="17"/>
    <x v="0"/>
    <x v="1"/>
    <x v="0"/>
    <x v="0"/>
    <x v="0"/>
    <x v="1"/>
    <x v="0"/>
    <x v="1"/>
    <x v="6"/>
    <n v="7"/>
    <n v="7"/>
    <n v="0"/>
    <n v="7"/>
    <x v="0"/>
    <n v="6.9893679441137321E-2"/>
  </r>
  <r>
    <x v="3"/>
    <x v="0"/>
    <x v="0"/>
    <x v="1"/>
    <x v="2"/>
    <x v="0"/>
    <x v="0"/>
    <x v="0"/>
    <x v="2"/>
    <x v="1"/>
    <n v="1"/>
    <n v="2"/>
    <n v="0"/>
    <m/>
    <x v="1"/>
    <n v="0.1310975036068017"/>
  </r>
  <r>
    <x v="5"/>
    <x v="1"/>
    <x v="0"/>
    <x v="2"/>
    <x v="1"/>
    <x v="1"/>
    <x v="0"/>
    <x v="1"/>
    <x v="1"/>
    <x v="9"/>
    <n v="7"/>
    <n v="11"/>
    <n v="0"/>
    <n v="7"/>
    <x v="0"/>
    <n v="1.6649395889747765"/>
  </r>
  <r>
    <x v="7"/>
    <x v="0"/>
    <x v="1"/>
    <x v="0"/>
    <x v="1"/>
    <x v="1"/>
    <x v="0"/>
    <x v="1"/>
    <x v="1"/>
    <x v="0"/>
    <n v="7"/>
    <n v="11"/>
    <n v="0"/>
    <m/>
    <x v="1"/>
    <n v="0.64487889305375823"/>
  </r>
  <r>
    <x v="3"/>
    <x v="0"/>
    <x v="1"/>
    <x v="0"/>
    <x v="2"/>
    <x v="0"/>
    <x v="0"/>
    <x v="0"/>
    <x v="2"/>
    <x v="8"/>
    <n v="3"/>
    <n v="4"/>
    <n v="0"/>
    <m/>
    <x v="1"/>
    <n v="0.38602279578251464"/>
  </r>
  <r>
    <x v="4"/>
    <x v="1"/>
    <x v="1"/>
    <x v="0"/>
    <x v="2"/>
    <x v="0"/>
    <x v="1"/>
    <x v="1"/>
    <x v="0"/>
    <x v="4"/>
    <n v="1"/>
    <n v="1"/>
    <n v="0"/>
    <m/>
    <x v="1"/>
    <n v="3.2903278637901254E-2"/>
  </r>
  <r>
    <x v="12"/>
    <x v="0"/>
    <x v="1"/>
    <x v="0"/>
    <x v="1"/>
    <x v="1"/>
    <x v="0"/>
    <x v="1"/>
    <x v="2"/>
    <x v="9"/>
    <n v="4"/>
    <n v="7"/>
    <n v="0"/>
    <m/>
    <x v="1"/>
    <n v="1.227530413241138"/>
  </r>
  <r>
    <x v="15"/>
    <x v="0"/>
    <x v="0"/>
    <x v="0"/>
    <x v="1"/>
    <x v="1"/>
    <x v="0"/>
    <x v="1"/>
    <x v="1"/>
    <x v="1"/>
    <n v="35"/>
    <n v="39"/>
    <n v="0"/>
    <n v="33"/>
    <x v="0"/>
    <n v="3.2093747156729511"/>
  </r>
  <r>
    <x v="5"/>
    <x v="1"/>
    <x v="0"/>
    <x v="0"/>
    <x v="3"/>
    <x v="0"/>
    <x v="0"/>
    <x v="0"/>
    <x v="1"/>
    <x v="8"/>
    <n v="2"/>
    <n v="2"/>
    <n v="1"/>
    <n v="2"/>
    <x v="0"/>
    <n v="0.16891351009180391"/>
  </r>
  <r>
    <x v="15"/>
    <x v="1"/>
    <x v="0"/>
    <x v="0"/>
    <x v="3"/>
    <x v="1"/>
    <x v="0"/>
    <x v="1"/>
    <x v="0"/>
    <x v="9"/>
    <n v="4"/>
    <n v="4"/>
    <n v="0"/>
    <n v="4"/>
    <x v="0"/>
    <n v="0.86537037412188211"/>
  </r>
  <r>
    <x v="8"/>
    <x v="1"/>
    <x v="0"/>
    <x v="0"/>
    <x v="0"/>
    <x v="0"/>
    <x v="1"/>
    <x v="1"/>
    <x v="1"/>
    <x v="7"/>
    <n v="14"/>
    <n v="16"/>
    <n v="0"/>
    <m/>
    <x v="1"/>
    <n v="0.34375302406083241"/>
  </r>
  <r>
    <x v="2"/>
    <x v="0"/>
    <x v="0"/>
    <x v="1"/>
    <x v="2"/>
    <x v="0"/>
    <x v="0"/>
    <x v="1"/>
    <x v="2"/>
    <x v="1"/>
    <n v="1"/>
    <n v="1"/>
    <n v="0"/>
    <m/>
    <x v="1"/>
    <n v="6.5548751803400848E-2"/>
  </r>
  <r>
    <x v="14"/>
    <x v="1"/>
    <x v="0"/>
    <x v="2"/>
    <x v="1"/>
    <x v="0"/>
    <x v="0"/>
    <x v="1"/>
    <x v="0"/>
    <x v="8"/>
    <n v="11"/>
    <n v="19"/>
    <n v="0"/>
    <m/>
    <x v="1"/>
    <n v="2.300811907653268"/>
  </r>
  <r>
    <x v="4"/>
    <x v="1"/>
    <x v="0"/>
    <x v="0"/>
    <x v="2"/>
    <x v="0"/>
    <x v="0"/>
    <x v="1"/>
    <x v="1"/>
    <x v="3"/>
    <n v="5"/>
    <n v="7"/>
    <n v="0"/>
    <m/>
    <x v="1"/>
    <n v="0.44630042680555043"/>
  </r>
  <r>
    <x v="15"/>
    <x v="0"/>
    <x v="0"/>
    <x v="1"/>
    <x v="1"/>
    <x v="0"/>
    <x v="0"/>
    <x v="1"/>
    <x v="1"/>
    <x v="5"/>
    <n v="13"/>
    <n v="16"/>
    <n v="0"/>
    <n v="13"/>
    <x v="0"/>
    <n v="0.32569683133650246"/>
  </r>
  <r>
    <x v="2"/>
    <x v="0"/>
    <x v="0"/>
    <x v="1"/>
    <x v="0"/>
    <x v="0"/>
    <x v="0"/>
    <x v="0"/>
    <x v="1"/>
    <x v="6"/>
    <n v="5"/>
    <n v="6"/>
    <n v="0"/>
    <m/>
    <x v="1"/>
    <n v="8.2835701399997935E-2"/>
  </r>
  <r>
    <x v="12"/>
    <x v="0"/>
    <x v="0"/>
    <x v="1"/>
    <x v="1"/>
    <x v="1"/>
    <x v="0"/>
    <x v="1"/>
    <x v="1"/>
    <x v="4"/>
    <n v="3"/>
    <n v="4"/>
    <n v="0"/>
    <m/>
    <x v="1"/>
    <n v="0.15716469251542403"/>
  </r>
  <r>
    <x v="16"/>
    <x v="1"/>
    <x v="0"/>
    <x v="1"/>
    <x v="2"/>
    <x v="0"/>
    <x v="0"/>
    <x v="1"/>
    <x v="2"/>
    <x v="8"/>
    <n v="1"/>
    <n v="1"/>
    <n v="1"/>
    <m/>
    <x v="1"/>
    <n v="9.5887690107650039E-2"/>
  </r>
  <r>
    <x v="6"/>
    <x v="1"/>
    <x v="0"/>
    <x v="0"/>
    <x v="0"/>
    <x v="0"/>
    <x v="0"/>
    <x v="1"/>
    <x v="2"/>
    <x v="9"/>
    <n v="3"/>
    <n v="3"/>
    <n v="0"/>
    <m/>
    <x v="1"/>
    <n v="0.41036534188999013"/>
  </r>
  <r>
    <x v="13"/>
    <x v="0"/>
    <x v="0"/>
    <x v="0"/>
    <x v="0"/>
    <x v="0"/>
    <x v="0"/>
    <x v="0"/>
    <x v="1"/>
    <x v="7"/>
    <n v="7"/>
    <n v="8"/>
    <n v="0"/>
    <m/>
    <x v="1"/>
    <n v="0.23823860618235174"/>
  </r>
  <r>
    <x v="15"/>
    <x v="1"/>
    <x v="0"/>
    <x v="0"/>
    <x v="0"/>
    <x v="0"/>
    <x v="0"/>
    <x v="1"/>
    <x v="0"/>
    <x v="1"/>
    <n v="6"/>
    <n v="6"/>
    <n v="1"/>
    <n v="6"/>
    <x v="0"/>
    <n v="0.39546365418962082"/>
  </r>
  <r>
    <x v="5"/>
    <x v="0"/>
    <x v="0"/>
    <x v="0"/>
    <x v="0"/>
    <x v="0"/>
    <x v="1"/>
    <x v="1"/>
    <x v="1"/>
    <x v="6"/>
    <n v="16"/>
    <n v="19"/>
    <n v="0"/>
    <n v="16"/>
    <x v="0"/>
    <n v="0.27196831001951577"/>
  </r>
  <r>
    <x v="14"/>
    <x v="0"/>
    <x v="0"/>
    <x v="0"/>
    <x v="0"/>
    <x v="0"/>
    <x v="1"/>
    <x v="0"/>
    <x v="1"/>
    <x v="6"/>
    <n v="4"/>
    <n v="4"/>
    <n v="0"/>
    <m/>
    <x v="1"/>
    <n v="5.7256486319898048E-2"/>
  </r>
  <r>
    <x v="22"/>
    <x v="0"/>
    <x v="1"/>
    <x v="2"/>
    <x v="2"/>
    <x v="0"/>
    <x v="1"/>
    <x v="1"/>
    <x v="0"/>
    <x v="7"/>
    <n v="1"/>
    <n v="1"/>
    <n v="0"/>
    <n v="1"/>
    <x v="0"/>
    <n v="2.8751752763928138E-2"/>
  </r>
  <r>
    <x v="21"/>
    <x v="0"/>
    <x v="0"/>
    <x v="2"/>
    <x v="2"/>
    <x v="0"/>
    <x v="0"/>
    <x v="1"/>
    <x v="1"/>
    <x v="0"/>
    <n v="2"/>
    <n v="2"/>
    <n v="0"/>
    <m/>
    <x v="1"/>
    <n v="0.11187579774158009"/>
  </r>
  <r>
    <x v="14"/>
    <x v="0"/>
    <x v="1"/>
    <x v="1"/>
    <x v="1"/>
    <x v="0"/>
    <x v="0"/>
    <x v="1"/>
    <x v="1"/>
    <x v="6"/>
    <n v="8"/>
    <n v="8"/>
    <n v="0"/>
    <m/>
    <x v="1"/>
    <n v="0.11380585207079588"/>
  </r>
  <r>
    <x v="16"/>
    <x v="0"/>
    <x v="0"/>
    <x v="0"/>
    <x v="0"/>
    <x v="0"/>
    <x v="0"/>
    <x v="1"/>
    <x v="1"/>
    <x v="7"/>
    <n v="35"/>
    <n v="38"/>
    <n v="0"/>
    <m/>
    <x v="1"/>
    <n v="1.1316333793661706"/>
  </r>
  <r>
    <x v="2"/>
    <x v="0"/>
    <x v="0"/>
    <x v="0"/>
    <x v="0"/>
    <x v="0"/>
    <x v="0"/>
    <x v="1"/>
    <x v="0"/>
    <x v="0"/>
    <n v="8"/>
    <n v="9"/>
    <n v="1"/>
    <m/>
    <x v="1"/>
    <n v="0.40129808053568622"/>
  </r>
  <r>
    <x v="9"/>
    <x v="0"/>
    <x v="1"/>
    <x v="0"/>
    <x v="1"/>
    <x v="0"/>
    <x v="0"/>
    <x v="1"/>
    <x v="2"/>
    <x v="8"/>
    <n v="4"/>
    <n v="9"/>
    <n v="1"/>
    <n v="4"/>
    <x v="0"/>
    <n v="0.8775643328492817"/>
  </r>
  <r>
    <x v="17"/>
    <x v="1"/>
    <x v="0"/>
    <x v="0"/>
    <x v="0"/>
    <x v="0"/>
    <x v="0"/>
    <x v="1"/>
    <x v="2"/>
    <x v="9"/>
    <n v="4"/>
    <n v="4"/>
    <n v="0"/>
    <n v="4"/>
    <x v="0"/>
    <n v="0.54715378918665358"/>
  </r>
  <r>
    <x v="10"/>
    <x v="1"/>
    <x v="0"/>
    <x v="0"/>
    <x v="2"/>
    <x v="0"/>
    <x v="0"/>
    <x v="1"/>
    <x v="1"/>
    <x v="3"/>
    <n v="3"/>
    <n v="3"/>
    <n v="0"/>
    <m/>
    <x v="1"/>
    <n v="0.19127161148809305"/>
  </r>
  <r>
    <x v="5"/>
    <x v="1"/>
    <x v="0"/>
    <x v="2"/>
    <x v="2"/>
    <x v="0"/>
    <x v="0"/>
    <x v="1"/>
    <x v="2"/>
    <x v="9"/>
    <n v="8"/>
    <n v="10"/>
    <n v="1"/>
    <n v="8"/>
    <x v="0"/>
    <n v="2.3424723931098943"/>
  </r>
  <r>
    <x v="6"/>
    <x v="0"/>
    <x v="0"/>
    <x v="0"/>
    <x v="2"/>
    <x v="0"/>
    <x v="0"/>
    <x v="1"/>
    <x v="2"/>
    <x v="9"/>
    <n v="5"/>
    <n v="5"/>
    <n v="0"/>
    <m/>
    <x v="1"/>
    <n v="0.66649248612851397"/>
  </r>
  <r>
    <x v="16"/>
    <x v="0"/>
    <x v="0"/>
    <x v="0"/>
    <x v="2"/>
    <x v="0"/>
    <x v="0"/>
    <x v="1"/>
    <x v="1"/>
    <x v="2"/>
    <n v="8"/>
    <n v="12"/>
    <n v="0"/>
    <m/>
    <x v="1"/>
    <n v="0.51719699242888351"/>
  </r>
  <r>
    <x v="5"/>
    <x v="0"/>
    <x v="1"/>
    <x v="2"/>
    <x v="1"/>
    <x v="0"/>
    <x v="0"/>
    <x v="1"/>
    <x v="0"/>
    <x v="3"/>
    <n v="1"/>
    <n v="2"/>
    <n v="0"/>
    <n v="1"/>
    <x v="0"/>
    <n v="0.11904297598263569"/>
  </r>
  <r>
    <x v="3"/>
    <x v="0"/>
    <x v="1"/>
    <x v="0"/>
    <x v="2"/>
    <x v="0"/>
    <x v="0"/>
    <x v="1"/>
    <x v="2"/>
    <x v="8"/>
    <n v="5"/>
    <n v="6"/>
    <n v="0"/>
    <m/>
    <x v="1"/>
    <n v="0.57903419367377196"/>
  </r>
  <r>
    <x v="12"/>
    <x v="0"/>
    <x v="0"/>
    <x v="0"/>
    <x v="0"/>
    <x v="0"/>
    <x v="0"/>
    <x v="0"/>
    <x v="0"/>
    <x v="0"/>
    <n v="9"/>
    <n v="16"/>
    <n v="0"/>
    <m/>
    <x v="1"/>
    <n v="0.71341880984121997"/>
  </r>
  <r>
    <x v="14"/>
    <x v="1"/>
    <x v="1"/>
    <x v="0"/>
    <x v="0"/>
    <x v="0"/>
    <x v="0"/>
    <x v="1"/>
    <x v="1"/>
    <x v="4"/>
    <n v="2"/>
    <n v="4"/>
    <n v="0"/>
    <m/>
    <x v="1"/>
    <n v="0.12489355405692022"/>
  </r>
  <r>
    <x v="0"/>
    <x v="0"/>
    <x v="0"/>
    <x v="2"/>
    <x v="0"/>
    <x v="0"/>
    <x v="0"/>
    <x v="1"/>
    <x v="0"/>
    <x v="0"/>
    <n v="3"/>
    <n v="3"/>
    <n v="0"/>
    <n v="3"/>
    <x v="0"/>
    <n v="0.17353056900629477"/>
  </r>
  <r>
    <x v="1"/>
    <x v="1"/>
    <x v="1"/>
    <x v="0"/>
    <x v="1"/>
    <x v="0"/>
    <x v="0"/>
    <x v="1"/>
    <x v="1"/>
    <x v="0"/>
    <n v="21"/>
    <n v="23"/>
    <n v="0"/>
    <n v="21"/>
    <x v="0"/>
    <n v="1.0500530201396805"/>
  </r>
  <r>
    <x v="19"/>
    <x v="0"/>
    <x v="0"/>
    <x v="0"/>
    <x v="2"/>
    <x v="0"/>
    <x v="0"/>
    <x v="0"/>
    <x v="0"/>
    <x v="3"/>
    <n v="5"/>
    <n v="6"/>
    <n v="0"/>
    <m/>
    <x v="1"/>
    <n v="0.38456836622587587"/>
  </r>
  <r>
    <x v="0"/>
    <x v="0"/>
    <x v="1"/>
    <x v="0"/>
    <x v="2"/>
    <x v="1"/>
    <x v="0"/>
    <x v="1"/>
    <x v="0"/>
    <x v="8"/>
    <n v="2"/>
    <n v="2"/>
    <n v="1"/>
    <n v="2"/>
    <x v="0"/>
    <n v="0.17120094765474353"/>
  </r>
  <r>
    <x v="6"/>
    <x v="0"/>
    <x v="0"/>
    <x v="2"/>
    <x v="0"/>
    <x v="0"/>
    <x v="0"/>
    <x v="0"/>
    <x v="0"/>
    <x v="0"/>
    <n v="4"/>
    <n v="4"/>
    <n v="0"/>
    <m/>
    <x v="1"/>
    <n v="0.23137409200839304"/>
  </r>
  <r>
    <x v="0"/>
    <x v="1"/>
    <x v="1"/>
    <x v="2"/>
    <x v="0"/>
    <x v="0"/>
    <x v="0"/>
    <x v="1"/>
    <x v="1"/>
    <x v="4"/>
    <n v="4"/>
    <n v="5"/>
    <n v="0"/>
    <n v="4"/>
    <x v="0"/>
    <n v="0.20337145013265859"/>
  </r>
  <r>
    <x v="13"/>
    <x v="0"/>
    <x v="1"/>
    <x v="0"/>
    <x v="0"/>
    <x v="0"/>
    <x v="1"/>
    <x v="0"/>
    <x v="1"/>
    <x v="6"/>
    <n v="1"/>
    <n v="1"/>
    <n v="0"/>
    <m/>
    <x v="1"/>
    <n v="9.9848113487339026E-3"/>
  </r>
  <r>
    <x v="20"/>
    <x v="1"/>
    <x v="1"/>
    <x v="0"/>
    <x v="2"/>
    <x v="1"/>
    <x v="0"/>
    <x v="0"/>
    <x v="0"/>
    <x v="8"/>
    <n v="2"/>
    <n v="2"/>
    <n v="1"/>
    <n v="2"/>
    <x v="0"/>
    <n v="0.24797763750627652"/>
  </r>
  <r>
    <x v="5"/>
    <x v="1"/>
    <x v="0"/>
    <x v="0"/>
    <x v="2"/>
    <x v="0"/>
    <x v="0"/>
    <x v="0"/>
    <x v="0"/>
    <x v="8"/>
    <n v="3"/>
    <n v="3"/>
    <n v="1"/>
    <n v="3"/>
    <x v="0"/>
    <n v="0.28148475721603516"/>
  </r>
  <r>
    <x v="14"/>
    <x v="1"/>
    <x v="0"/>
    <x v="0"/>
    <x v="2"/>
    <x v="0"/>
    <x v="0"/>
    <x v="0"/>
    <x v="0"/>
    <x v="8"/>
    <n v="4"/>
    <n v="8"/>
    <n v="0"/>
    <m/>
    <x v="1"/>
    <n v="0.75062601924276051"/>
  </r>
  <r>
    <x v="11"/>
    <x v="0"/>
    <x v="0"/>
    <x v="1"/>
    <x v="3"/>
    <x v="1"/>
    <x v="0"/>
    <x v="1"/>
    <x v="2"/>
    <x v="9"/>
    <n v="1"/>
    <n v="2"/>
    <n v="0"/>
    <m/>
    <x v="1"/>
    <n v="0.31511600507796894"/>
  </r>
  <r>
    <x v="17"/>
    <x v="0"/>
    <x v="0"/>
    <x v="0"/>
    <x v="1"/>
    <x v="0"/>
    <x v="0"/>
    <x v="1"/>
    <x v="1"/>
    <x v="2"/>
    <n v="65"/>
    <n v="82"/>
    <n v="5"/>
    <n v="62"/>
    <x v="0"/>
    <n v="3.5730456647073292"/>
  </r>
  <r>
    <x v="4"/>
    <x v="1"/>
    <x v="0"/>
    <x v="0"/>
    <x v="0"/>
    <x v="0"/>
    <x v="0"/>
    <x v="0"/>
    <x v="1"/>
    <x v="0"/>
    <n v="35"/>
    <n v="44"/>
    <n v="0"/>
    <m/>
    <x v="1"/>
    <n v="1.9513561519619858"/>
  </r>
  <r>
    <x v="21"/>
    <x v="1"/>
    <x v="0"/>
    <x v="0"/>
    <x v="1"/>
    <x v="1"/>
    <x v="0"/>
    <x v="1"/>
    <x v="1"/>
    <x v="8"/>
    <n v="10"/>
    <n v="19"/>
    <n v="0"/>
    <m/>
    <x v="1"/>
    <n v="2.2684076926782324"/>
  </r>
  <r>
    <x v="10"/>
    <x v="0"/>
    <x v="0"/>
    <x v="1"/>
    <x v="0"/>
    <x v="0"/>
    <x v="1"/>
    <x v="0"/>
    <x v="1"/>
    <x v="6"/>
    <n v="3"/>
    <n v="3"/>
    <n v="0"/>
    <m/>
    <x v="1"/>
    <n v="1.9739333835198093E-2"/>
  </r>
  <r>
    <x v="3"/>
    <x v="0"/>
    <x v="0"/>
    <x v="2"/>
    <x v="1"/>
    <x v="1"/>
    <x v="0"/>
    <x v="1"/>
    <x v="0"/>
    <x v="9"/>
    <n v="1"/>
    <n v="3"/>
    <n v="0"/>
    <m/>
    <x v="1"/>
    <n v="0.45625225935569513"/>
  </r>
  <r>
    <x v="15"/>
    <x v="0"/>
    <x v="0"/>
    <x v="0"/>
    <x v="2"/>
    <x v="0"/>
    <x v="0"/>
    <x v="0"/>
    <x v="0"/>
    <x v="3"/>
    <n v="4"/>
    <n v="4"/>
    <n v="1"/>
    <n v="4"/>
    <x v="0"/>
    <n v="0.25637891081725062"/>
  </r>
  <r>
    <x v="12"/>
    <x v="0"/>
    <x v="0"/>
    <x v="0"/>
    <x v="1"/>
    <x v="1"/>
    <x v="0"/>
    <x v="1"/>
    <x v="2"/>
    <x v="9"/>
    <n v="6"/>
    <n v="9"/>
    <n v="0"/>
    <m/>
    <x v="1"/>
    <n v="2.1097602369964648"/>
  </r>
  <r>
    <x v="19"/>
    <x v="0"/>
    <x v="1"/>
    <x v="2"/>
    <x v="1"/>
    <x v="0"/>
    <x v="0"/>
    <x v="1"/>
    <x v="2"/>
    <x v="8"/>
    <n v="3"/>
    <n v="3"/>
    <n v="0"/>
    <m/>
    <x v="1"/>
    <n v="0.37333212001678878"/>
  </r>
  <r>
    <x v="11"/>
    <x v="0"/>
    <x v="0"/>
    <x v="2"/>
    <x v="2"/>
    <x v="0"/>
    <x v="0"/>
    <x v="0"/>
    <x v="1"/>
    <x v="0"/>
    <n v="1"/>
    <n v="1"/>
    <n v="0"/>
    <m/>
    <x v="1"/>
    <n v="5.5937898870790044E-2"/>
  </r>
  <r>
    <x v="15"/>
    <x v="1"/>
    <x v="0"/>
    <x v="2"/>
    <x v="0"/>
    <x v="0"/>
    <x v="0"/>
    <x v="0"/>
    <x v="1"/>
    <x v="0"/>
    <n v="15"/>
    <n v="17"/>
    <n v="3"/>
    <n v="13"/>
    <x v="0"/>
    <n v="0.97812720319834057"/>
  </r>
  <r>
    <x v="20"/>
    <x v="0"/>
    <x v="0"/>
    <x v="0"/>
    <x v="2"/>
    <x v="0"/>
    <x v="1"/>
    <x v="1"/>
    <x v="1"/>
    <x v="5"/>
    <n v="3"/>
    <n v="3"/>
    <n v="0"/>
    <n v="3"/>
    <x v="0"/>
    <n v="6.2595928273073934E-2"/>
  </r>
  <r>
    <x v="15"/>
    <x v="0"/>
    <x v="0"/>
    <x v="0"/>
    <x v="2"/>
    <x v="1"/>
    <x v="0"/>
    <x v="1"/>
    <x v="2"/>
    <x v="9"/>
    <n v="1"/>
    <n v="4"/>
    <n v="0"/>
    <m/>
    <x v="0"/>
    <n v="0.9294890506787874"/>
  </r>
  <r>
    <x v="15"/>
    <x v="0"/>
    <x v="1"/>
    <x v="0"/>
    <x v="2"/>
    <x v="0"/>
    <x v="0"/>
    <x v="1"/>
    <x v="2"/>
    <x v="8"/>
    <n v="2"/>
    <n v="2"/>
    <n v="0"/>
    <n v="2"/>
    <x v="0"/>
    <n v="0.19301139789125732"/>
  </r>
  <r>
    <x v="1"/>
    <x v="1"/>
    <x v="0"/>
    <x v="0"/>
    <x v="0"/>
    <x v="0"/>
    <x v="0"/>
    <x v="1"/>
    <x v="0"/>
    <x v="1"/>
    <n v="8"/>
    <n v="9"/>
    <n v="0"/>
    <n v="6"/>
    <x v="0"/>
    <n v="0.59319548128443123"/>
  </r>
  <r>
    <x v="20"/>
    <x v="0"/>
    <x v="0"/>
    <x v="2"/>
    <x v="2"/>
    <x v="0"/>
    <x v="0"/>
    <x v="1"/>
    <x v="0"/>
    <x v="1"/>
    <n v="2"/>
    <n v="2"/>
    <n v="0"/>
    <n v="2"/>
    <x v="0"/>
    <n v="0.16529306235547556"/>
  </r>
  <r>
    <x v="1"/>
    <x v="1"/>
    <x v="0"/>
    <x v="2"/>
    <x v="1"/>
    <x v="0"/>
    <x v="0"/>
    <x v="1"/>
    <x v="0"/>
    <x v="8"/>
    <n v="13"/>
    <n v="21"/>
    <n v="0"/>
    <n v="12"/>
    <x v="0"/>
    <n v="2.5430026347746648"/>
  </r>
  <r>
    <x v="5"/>
    <x v="0"/>
    <x v="0"/>
    <x v="2"/>
    <x v="1"/>
    <x v="1"/>
    <x v="0"/>
    <x v="1"/>
    <x v="0"/>
    <x v="9"/>
    <n v="5"/>
    <n v="7"/>
    <n v="1"/>
    <n v="5"/>
    <x v="0"/>
    <n v="1.0645886051632885"/>
  </r>
  <r>
    <x v="10"/>
    <x v="0"/>
    <x v="0"/>
    <x v="1"/>
    <x v="1"/>
    <x v="0"/>
    <x v="0"/>
    <x v="1"/>
    <x v="1"/>
    <x v="5"/>
    <n v="6"/>
    <n v="8"/>
    <n v="0"/>
    <m/>
    <x v="1"/>
    <n v="0.16284841566825123"/>
  </r>
  <r>
    <x v="17"/>
    <x v="1"/>
    <x v="1"/>
    <x v="0"/>
    <x v="0"/>
    <x v="1"/>
    <x v="0"/>
    <x v="1"/>
    <x v="1"/>
    <x v="3"/>
    <n v="1"/>
    <n v="2"/>
    <n v="0"/>
    <n v="1"/>
    <x v="0"/>
    <n v="0.11930345952328165"/>
  </r>
  <r>
    <x v="14"/>
    <x v="0"/>
    <x v="1"/>
    <x v="0"/>
    <x v="0"/>
    <x v="0"/>
    <x v="1"/>
    <x v="1"/>
    <x v="1"/>
    <x v="6"/>
    <n v="4"/>
    <n v="5"/>
    <n v="0"/>
    <m/>
    <x v="1"/>
    <n v="4.9924056743669509E-2"/>
  </r>
  <r>
    <x v="15"/>
    <x v="0"/>
    <x v="1"/>
    <x v="0"/>
    <x v="0"/>
    <x v="0"/>
    <x v="0"/>
    <x v="1"/>
    <x v="2"/>
    <x v="1"/>
    <n v="3"/>
    <n v="3"/>
    <n v="0"/>
    <n v="3"/>
    <x v="0"/>
    <n v="0.20355317631477285"/>
  </r>
  <r>
    <x v="1"/>
    <x v="0"/>
    <x v="0"/>
    <x v="0"/>
    <x v="3"/>
    <x v="1"/>
    <x v="0"/>
    <x v="0"/>
    <x v="1"/>
    <x v="8"/>
    <n v="2"/>
    <n v="2"/>
    <n v="0"/>
    <n v="2"/>
    <x v="0"/>
    <n v="0.21442651361065859"/>
  </r>
  <r>
    <x v="15"/>
    <x v="1"/>
    <x v="0"/>
    <x v="0"/>
    <x v="0"/>
    <x v="0"/>
    <x v="1"/>
    <x v="1"/>
    <x v="1"/>
    <x v="7"/>
    <n v="19"/>
    <n v="19"/>
    <n v="0"/>
    <n v="19"/>
    <x v="0"/>
    <n v="0.40820671607223852"/>
  </r>
  <r>
    <x v="15"/>
    <x v="1"/>
    <x v="0"/>
    <x v="1"/>
    <x v="0"/>
    <x v="0"/>
    <x v="1"/>
    <x v="1"/>
    <x v="1"/>
    <x v="6"/>
    <n v="6"/>
    <n v="6"/>
    <n v="0"/>
    <n v="5"/>
    <x v="0"/>
    <n v="5.9488738734538769E-2"/>
  </r>
  <r>
    <x v="9"/>
    <x v="0"/>
    <x v="0"/>
    <x v="1"/>
    <x v="3"/>
    <x v="1"/>
    <x v="1"/>
    <x v="1"/>
    <x v="0"/>
    <x v="4"/>
    <n v="1"/>
    <n v="1"/>
    <n v="0"/>
    <n v="1"/>
    <x v="0"/>
    <n v="3.7907598023617026E-2"/>
  </r>
  <r>
    <x v="20"/>
    <x v="0"/>
    <x v="0"/>
    <x v="1"/>
    <x v="0"/>
    <x v="0"/>
    <x v="0"/>
    <x v="1"/>
    <x v="1"/>
    <x v="6"/>
    <n v="11"/>
    <n v="12"/>
    <n v="0"/>
    <n v="10"/>
    <x v="0"/>
    <n v="0.16567140279999587"/>
  </r>
  <r>
    <x v="2"/>
    <x v="1"/>
    <x v="0"/>
    <x v="0"/>
    <x v="1"/>
    <x v="0"/>
    <x v="0"/>
    <x v="1"/>
    <x v="1"/>
    <x v="3"/>
    <n v="66"/>
    <n v="90"/>
    <n v="1"/>
    <m/>
    <x v="1"/>
    <n v="5.7998752021555013"/>
  </r>
  <r>
    <x v="20"/>
    <x v="0"/>
    <x v="0"/>
    <x v="0"/>
    <x v="0"/>
    <x v="0"/>
    <x v="1"/>
    <x v="1"/>
    <x v="1"/>
    <x v="6"/>
    <n v="12"/>
    <n v="12"/>
    <n v="0"/>
    <n v="10"/>
    <x v="0"/>
    <n v="0.17176945895969414"/>
  </r>
  <r>
    <x v="12"/>
    <x v="0"/>
    <x v="1"/>
    <x v="0"/>
    <x v="2"/>
    <x v="0"/>
    <x v="0"/>
    <x v="1"/>
    <x v="1"/>
    <x v="7"/>
    <n v="5"/>
    <n v="5"/>
    <n v="0"/>
    <m/>
    <x v="1"/>
    <n v="0.15166065419930277"/>
  </r>
  <r>
    <x v="17"/>
    <x v="1"/>
    <x v="1"/>
    <x v="2"/>
    <x v="0"/>
    <x v="0"/>
    <x v="0"/>
    <x v="0"/>
    <x v="0"/>
    <x v="3"/>
    <n v="1"/>
    <n v="2"/>
    <n v="0"/>
    <n v="1"/>
    <x v="0"/>
    <n v="0.12112508691129635"/>
  </r>
  <r>
    <x v="20"/>
    <x v="0"/>
    <x v="0"/>
    <x v="2"/>
    <x v="1"/>
    <x v="0"/>
    <x v="0"/>
    <x v="1"/>
    <x v="1"/>
    <x v="0"/>
    <n v="16"/>
    <n v="19"/>
    <n v="0"/>
    <n v="16"/>
    <x v="0"/>
    <n v="1.0743496520081364"/>
  </r>
  <r>
    <x v="5"/>
    <x v="1"/>
    <x v="1"/>
    <x v="2"/>
    <x v="0"/>
    <x v="0"/>
    <x v="1"/>
    <x v="0"/>
    <x v="1"/>
    <x v="5"/>
    <n v="2"/>
    <n v="2"/>
    <n v="0"/>
    <n v="2"/>
    <x v="0"/>
    <n v="3.9330778607370831E-2"/>
  </r>
  <r>
    <x v="8"/>
    <x v="1"/>
    <x v="0"/>
    <x v="0"/>
    <x v="2"/>
    <x v="1"/>
    <x v="0"/>
    <x v="1"/>
    <x v="1"/>
    <x v="8"/>
    <n v="4"/>
    <n v="5"/>
    <n v="0"/>
    <m/>
    <x v="1"/>
    <n v="0.59096557957999007"/>
  </r>
  <r>
    <x v="7"/>
    <x v="1"/>
    <x v="1"/>
    <x v="0"/>
    <x v="1"/>
    <x v="0"/>
    <x v="0"/>
    <x v="1"/>
    <x v="1"/>
    <x v="0"/>
    <n v="15"/>
    <n v="18"/>
    <n v="0"/>
    <m/>
    <x v="1"/>
    <n v="0.8217806244571414"/>
  </r>
  <r>
    <x v="22"/>
    <x v="1"/>
    <x v="1"/>
    <x v="2"/>
    <x v="0"/>
    <x v="0"/>
    <x v="0"/>
    <x v="1"/>
    <x v="1"/>
    <x v="4"/>
    <n v="1"/>
    <n v="1"/>
    <n v="0"/>
    <n v="1"/>
    <x v="0"/>
    <n v="4.0674290026531716E-2"/>
  </r>
  <r>
    <x v="4"/>
    <x v="0"/>
    <x v="1"/>
    <x v="0"/>
    <x v="2"/>
    <x v="0"/>
    <x v="0"/>
    <x v="0"/>
    <x v="0"/>
    <x v="0"/>
    <n v="2"/>
    <n v="2"/>
    <n v="0"/>
    <m/>
    <x v="1"/>
    <n v="9.080555443469232E-2"/>
  </r>
  <r>
    <x v="19"/>
    <x v="0"/>
    <x v="1"/>
    <x v="0"/>
    <x v="1"/>
    <x v="1"/>
    <x v="0"/>
    <x v="1"/>
    <x v="0"/>
    <x v="8"/>
    <n v="4"/>
    <n v="6"/>
    <n v="0"/>
    <m/>
    <x v="1"/>
    <n v="0.51899755583712992"/>
  </r>
  <r>
    <x v="0"/>
    <x v="1"/>
    <x v="0"/>
    <x v="0"/>
    <x v="1"/>
    <x v="1"/>
    <x v="0"/>
    <x v="1"/>
    <x v="0"/>
    <x v="9"/>
    <n v="6"/>
    <n v="7"/>
    <n v="0"/>
    <n v="6"/>
    <x v="0"/>
    <n v="1.1963708613448287"/>
  </r>
  <r>
    <x v="16"/>
    <x v="0"/>
    <x v="0"/>
    <x v="2"/>
    <x v="0"/>
    <x v="0"/>
    <x v="0"/>
    <x v="1"/>
    <x v="0"/>
    <x v="0"/>
    <n v="2"/>
    <n v="3"/>
    <n v="0"/>
    <m/>
    <x v="1"/>
    <n v="0.17353056900629477"/>
  </r>
  <r>
    <x v="6"/>
    <x v="0"/>
    <x v="1"/>
    <x v="0"/>
    <x v="0"/>
    <x v="0"/>
    <x v="0"/>
    <x v="1"/>
    <x v="1"/>
    <x v="5"/>
    <n v="11"/>
    <n v="11"/>
    <n v="0"/>
    <m/>
    <x v="1"/>
    <n v="0.22959153158244705"/>
  </r>
  <r>
    <x v="16"/>
    <x v="1"/>
    <x v="0"/>
    <x v="0"/>
    <x v="1"/>
    <x v="0"/>
    <x v="0"/>
    <x v="1"/>
    <x v="0"/>
    <x v="8"/>
    <n v="18"/>
    <n v="25"/>
    <n v="1"/>
    <m/>
    <x v="1"/>
    <n v="2.3701208213007821"/>
  </r>
  <r>
    <x v="5"/>
    <x v="1"/>
    <x v="0"/>
    <x v="0"/>
    <x v="1"/>
    <x v="1"/>
    <x v="0"/>
    <x v="1"/>
    <x v="1"/>
    <x v="8"/>
    <n v="11"/>
    <n v="16"/>
    <n v="0"/>
    <n v="11"/>
    <x v="0"/>
    <n v="1.9102380569921957"/>
  </r>
  <r>
    <x v="11"/>
    <x v="1"/>
    <x v="0"/>
    <x v="1"/>
    <x v="0"/>
    <x v="0"/>
    <x v="1"/>
    <x v="0"/>
    <x v="2"/>
    <x v="4"/>
    <n v="1"/>
    <n v="1"/>
    <n v="0"/>
    <m/>
    <x v="1"/>
    <n v="3.306406644322489E-2"/>
  </r>
  <r>
    <x v="16"/>
    <x v="0"/>
    <x v="0"/>
    <x v="0"/>
    <x v="0"/>
    <x v="0"/>
    <x v="1"/>
    <x v="1"/>
    <x v="1"/>
    <x v="6"/>
    <n v="13"/>
    <n v="16"/>
    <n v="0"/>
    <m/>
    <x v="1"/>
    <n v="0.22902594527959219"/>
  </r>
  <r>
    <x v="7"/>
    <x v="0"/>
    <x v="1"/>
    <x v="0"/>
    <x v="0"/>
    <x v="0"/>
    <x v="0"/>
    <x v="1"/>
    <x v="1"/>
    <x v="5"/>
    <n v="6"/>
    <n v="7"/>
    <n v="0"/>
    <m/>
    <x v="1"/>
    <n v="0.14610370191610264"/>
  </r>
  <r>
    <x v="0"/>
    <x v="0"/>
    <x v="1"/>
    <x v="1"/>
    <x v="1"/>
    <x v="0"/>
    <x v="0"/>
    <x v="1"/>
    <x v="0"/>
    <x v="5"/>
    <n v="2"/>
    <n v="2"/>
    <n v="0"/>
    <n v="2"/>
    <x v="0"/>
    <n v="4.2942086682100908E-2"/>
  </r>
  <r>
    <x v="2"/>
    <x v="1"/>
    <x v="1"/>
    <x v="2"/>
    <x v="1"/>
    <x v="0"/>
    <x v="0"/>
    <x v="1"/>
    <x v="1"/>
    <x v="3"/>
    <n v="11"/>
    <n v="11"/>
    <n v="0"/>
    <m/>
    <x v="1"/>
    <n v="0.65127175702636475"/>
  </r>
  <r>
    <x v="10"/>
    <x v="1"/>
    <x v="0"/>
    <x v="0"/>
    <x v="1"/>
    <x v="0"/>
    <x v="0"/>
    <x v="1"/>
    <x v="0"/>
    <x v="8"/>
    <n v="23"/>
    <n v="35"/>
    <n v="0"/>
    <m/>
    <x v="1"/>
    <n v="3.3181691498210948"/>
  </r>
  <r>
    <x v="12"/>
    <x v="1"/>
    <x v="0"/>
    <x v="0"/>
    <x v="0"/>
    <x v="1"/>
    <x v="1"/>
    <x v="1"/>
    <x v="1"/>
    <x v="4"/>
    <n v="6"/>
    <n v="6"/>
    <n v="0"/>
    <m/>
    <x v="1"/>
    <n v="0.24855020241463296"/>
  </r>
  <r>
    <x v="8"/>
    <x v="1"/>
    <x v="0"/>
    <x v="0"/>
    <x v="2"/>
    <x v="0"/>
    <x v="0"/>
    <x v="1"/>
    <x v="1"/>
    <x v="3"/>
    <n v="6"/>
    <n v="9"/>
    <n v="1"/>
    <m/>
    <x v="1"/>
    <n v="0.57381483446427917"/>
  </r>
  <r>
    <x v="1"/>
    <x v="0"/>
    <x v="0"/>
    <x v="0"/>
    <x v="2"/>
    <x v="1"/>
    <x v="1"/>
    <x v="1"/>
    <x v="1"/>
    <x v="4"/>
    <n v="2"/>
    <n v="4"/>
    <n v="0"/>
    <n v="2"/>
    <x v="0"/>
    <n v="0.16101869871273908"/>
  </r>
  <r>
    <x v="22"/>
    <x v="1"/>
    <x v="0"/>
    <x v="0"/>
    <x v="1"/>
    <x v="1"/>
    <x v="0"/>
    <x v="1"/>
    <x v="2"/>
    <x v="9"/>
    <n v="4"/>
    <n v="6"/>
    <n v="3"/>
    <n v="4"/>
    <x v="0"/>
    <n v="1.8986899967529538"/>
  </r>
  <r>
    <x v="16"/>
    <x v="0"/>
    <x v="0"/>
    <x v="0"/>
    <x v="0"/>
    <x v="0"/>
    <x v="1"/>
    <x v="1"/>
    <x v="0"/>
    <x v="7"/>
    <n v="3"/>
    <n v="3"/>
    <n v="0"/>
    <m/>
    <x v="1"/>
    <n v="6.4810394424951609E-2"/>
  </r>
  <r>
    <x v="20"/>
    <x v="1"/>
    <x v="0"/>
    <x v="2"/>
    <x v="1"/>
    <x v="1"/>
    <x v="0"/>
    <x v="1"/>
    <x v="1"/>
    <x v="9"/>
    <n v="10"/>
    <n v="12"/>
    <n v="1"/>
    <n v="10"/>
    <x v="0"/>
    <n v="1.8162977334270287"/>
  </r>
  <r>
    <x v="14"/>
    <x v="0"/>
    <x v="1"/>
    <x v="0"/>
    <x v="1"/>
    <x v="0"/>
    <x v="0"/>
    <x v="1"/>
    <x v="2"/>
    <x v="8"/>
    <n v="4"/>
    <n v="11"/>
    <n v="0"/>
    <m/>
    <x v="1"/>
    <n v="1.072578629038011"/>
  </r>
  <r>
    <x v="7"/>
    <x v="0"/>
    <x v="1"/>
    <x v="0"/>
    <x v="1"/>
    <x v="0"/>
    <x v="0"/>
    <x v="1"/>
    <x v="2"/>
    <x v="8"/>
    <n v="7"/>
    <n v="13"/>
    <n v="0"/>
    <m/>
    <x v="1"/>
    <n v="1.2675929252267402"/>
  </r>
  <r>
    <x v="15"/>
    <x v="1"/>
    <x v="0"/>
    <x v="2"/>
    <x v="0"/>
    <x v="0"/>
    <x v="0"/>
    <x v="1"/>
    <x v="1"/>
    <x v="0"/>
    <n v="13"/>
    <n v="16"/>
    <n v="1"/>
    <n v="13"/>
    <x v="0"/>
    <n v="0.92059030889255578"/>
  </r>
  <r>
    <x v="16"/>
    <x v="0"/>
    <x v="0"/>
    <x v="0"/>
    <x v="0"/>
    <x v="0"/>
    <x v="0"/>
    <x v="1"/>
    <x v="0"/>
    <x v="0"/>
    <n v="7"/>
    <n v="9"/>
    <n v="0"/>
    <m/>
    <x v="1"/>
    <n v="0.40129808053568622"/>
  </r>
  <r>
    <x v="4"/>
    <x v="0"/>
    <x v="1"/>
    <x v="0"/>
    <x v="1"/>
    <x v="1"/>
    <x v="0"/>
    <x v="1"/>
    <x v="0"/>
    <x v="8"/>
    <n v="4"/>
    <n v="5"/>
    <n v="0"/>
    <m/>
    <x v="1"/>
    <n v="0.43249796319760819"/>
  </r>
  <r>
    <x v="14"/>
    <x v="0"/>
    <x v="0"/>
    <x v="1"/>
    <x v="0"/>
    <x v="0"/>
    <x v="0"/>
    <x v="0"/>
    <x v="1"/>
    <x v="6"/>
    <n v="7"/>
    <n v="7"/>
    <n v="0"/>
    <m/>
    <x v="1"/>
    <n v="9.6641651633330924E-2"/>
  </r>
  <r>
    <x v="4"/>
    <x v="0"/>
    <x v="0"/>
    <x v="0"/>
    <x v="0"/>
    <x v="0"/>
    <x v="0"/>
    <x v="1"/>
    <x v="0"/>
    <x v="0"/>
    <n v="6"/>
    <n v="7"/>
    <n v="0"/>
    <m/>
    <x v="1"/>
    <n v="0.31212072930553375"/>
  </r>
  <r>
    <x v="15"/>
    <x v="0"/>
    <x v="0"/>
    <x v="2"/>
    <x v="1"/>
    <x v="0"/>
    <x v="0"/>
    <x v="1"/>
    <x v="2"/>
    <x v="9"/>
    <n v="7"/>
    <n v="8"/>
    <n v="1"/>
    <n v="7"/>
    <x v="0"/>
    <n v="1.3590841068659696"/>
  </r>
  <r>
    <x v="5"/>
    <x v="0"/>
    <x v="0"/>
    <x v="0"/>
    <x v="0"/>
    <x v="0"/>
    <x v="0"/>
    <x v="1"/>
    <x v="1"/>
    <x v="7"/>
    <n v="33"/>
    <n v="37"/>
    <n v="2"/>
    <n v="32"/>
    <x v="0"/>
    <n v="1.1018535535933767"/>
  </r>
  <r>
    <x v="21"/>
    <x v="0"/>
    <x v="0"/>
    <x v="0"/>
    <x v="2"/>
    <x v="0"/>
    <x v="1"/>
    <x v="1"/>
    <x v="2"/>
    <x v="1"/>
    <n v="3"/>
    <n v="6"/>
    <n v="0"/>
    <m/>
    <x v="1"/>
    <n v="0.4069829036054648"/>
  </r>
  <r>
    <x v="0"/>
    <x v="0"/>
    <x v="1"/>
    <x v="0"/>
    <x v="2"/>
    <x v="1"/>
    <x v="0"/>
    <x v="0"/>
    <x v="2"/>
    <x v="9"/>
    <n v="1"/>
    <n v="3"/>
    <n v="0"/>
    <n v="1"/>
    <x v="0"/>
    <n v="0.52114303200208556"/>
  </r>
  <r>
    <x v="19"/>
    <x v="0"/>
    <x v="0"/>
    <x v="0"/>
    <x v="0"/>
    <x v="1"/>
    <x v="0"/>
    <x v="0"/>
    <x v="1"/>
    <x v="0"/>
    <n v="8"/>
    <n v="8"/>
    <n v="0"/>
    <m/>
    <x v="1"/>
    <n v="0.45576897136652189"/>
  </r>
  <r>
    <x v="1"/>
    <x v="1"/>
    <x v="1"/>
    <x v="1"/>
    <x v="0"/>
    <x v="0"/>
    <x v="0"/>
    <x v="0"/>
    <x v="1"/>
    <x v="6"/>
    <n v="5"/>
    <n v="6"/>
    <n v="0"/>
    <n v="5"/>
    <x v="0"/>
    <n v="8.6920492850315265E-2"/>
  </r>
  <r>
    <x v="4"/>
    <x v="0"/>
    <x v="0"/>
    <x v="0"/>
    <x v="1"/>
    <x v="1"/>
    <x v="0"/>
    <x v="1"/>
    <x v="0"/>
    <x v="8"/>
    <n v="5"/>
    <n v="8"/>
    <n v="0"/>
    <m/>
    <x v="1"/>
    <n v="0.95987338039054237"/>
  </r>
  <r>
    <x v="17"/>
    <x v="0"/>
    <x v="0"/>
    <x v="0"/>
    <x v="2"/>
    <x v="1"/>
    <x v="0"/>
    <x v="1"/>
    <x v="0"/>
    <x v="8"/>
    <n v="2"/>
    <n v="2"/>
    <n v="0"/>
    <n v="2"/>
    <x v="0"/>
    <n v="0.23756451250297758"/>
  </r>
  <r>
    <x v="14"/>
    <x v="0"/>
    <x v="0"/>
    <x v="0"/>
    <x v="0"/>
    <x v="1"/>
    <x v="0"/>
    <x v="0"/>
    <x v="1"/>
    <x v="0"/>
    <n v="5"/>
    <n v="6"/>
    <n v="0"/>
    <m/>
    <x v="1"/>
    <n v="0.34182672852489143"/>
  </r>
  <r>
    <x v="19"/>
    <x v="0"/>
    <x v="0"/>
    <x v="0"/>
    <x v="2"/>
    <x v="0"/>
    <x v="0"/>
    <x v="1"/>
    <x v="0"/>
    <x v="3"/>
    <n v="11"/>
    <n v="12"/>
    <n v="0"/>
    <m/>
    <x v="1"/>
    <n v="0.76913673245175174"/>
  </r>
  <r>
    <x v="2"/>
    <x v="1"/>
    <x v="1"/>
    <x v="2"/>
    <x v="0"/>
    <x v="0"/>
    <x v="0"/>
    <x v="1"/>
    <x v="2"/>
    <x v="9"/>
    <n v="1"/>
    <n v="1"/>
    <n v="0"/>
    <m/>
    <x v="1"/>
    <n v="0.12646792194996428"/>
  </r>
  <r>
    <x v="12"/>
    <x v="0"/>
    <x v="0"/>
    <x v="0"/>
    <x v="0"/>
    <x v="1"/>
    <x v="0"/>
    <x v="0"/>
    <x v="0"/>
    <x v="1"/>
    <n v="4"/>
    <n v="4"/>
    <n v="0"/>
    <m/>
    <x v="1"/>
    <n v="0.33651649218445329"/>
  </r>
  <r>
    <x v="1"/>
    <x v="1"/>
    <x v="1"/>
    <x v="2"/>
    <x v="1"/>
    <x v="0"/>
    <x v="0"/>
    <x v="1"/>
    <x v="2"/>
    <x v="9"/>
    <n v="4"/>
    <n v="6"/>
    <n v="2"/>
    <n v="4"/>
    <x v="0"/>
    <n v="1.061294712790863"/>
  </r>
  <r>
    <x v="0"/>
    <x v="1"/>
    <x v="0"/>
    <x v="2"/>
    <x v="2"/>
    <x v="1"/>
    <x v="0"/>
    <x v="1"/>
    <x v="0"/>
    <x v="9"/>
    <n v="1"/>
    <n v="3"/>
    <n v="0"/>
    <n v="1"/>
    <x v="0"/>
    <n v="0.63425796525198197"/>
  </r>
  <r>
    <x v="0"/>
    <x v="0"/>
    <x v="0"/>
    <x v="0"/>
    <x v="2"/>
    <x v="0"/>
    <x v="0"/>
    <x v="1"/>
    <x v="1"/>
    <x v="2"/>
    <n v="8"/>
    <n v="11"/>
    <n v="0"/>
    <n v="8"/>
    <x v="0"/>
    <n v="0.47409724305980988"/>
  </r>
  <r>
    <x v="5"/>
    <x v="0"/>
    <x v="0"/>
    <x v="0"/>
    <x v="0"/>
    <x v="0"/>
    <x v="0"/>
    <x v="1"/>
    <x v="0"/>
    <x v="0"/>
    <n v="11"/>
    <n v="12"/>
    <n v="3"/>
    <n v="11"/>
    <x v="0"/>
    <n v="0.53506410738091503"/>
  </r>
  <r>
    <x v="11"/>
    <x v="0"/>
    <x v="0"/>
    <x v="2"/>
    <x v="1"/>
    <x v="0"/>
    <x v="0"/>
    <x v="1"/>
    <x v="0"/>
    <x v="1"/>
    <n v="16"/>
    <n v="17"/>
    <n v="0"/>
    <m/>
    <x v="1"/>
    <n v="1.4197967632236366"/>
  </r>
  <r>
    <x v="3"/>
    <x v="0"/>
    <x v="1"/>
    <x v="1"/>
    <x v="2"/>
    <x v="0"/>
    <x v="1"/>
    <x v="1"/>
    <x v="2"/>
    <x v="7"/>
    <n v="2"/>
    <n v="2"/>
    <n v="0"/>
    <m/>
    <x v="1"/>
    <n v="4.5059612351109467E-2"/>
  </r>
  <r>
    <x v="16"/>
    <x v="1"/>
    <x v="0"/>
    <x v="0"/>
    <x v="0"/>
    <x v="0"/>
    <x v="0"/>
    <x v="0"/>
    <x v="0"/>
    <x v="1"/>
    <n v="15"/>
    <n v="18"/>
    <n v="0"/>
    <m/>
    <x v="1"/>
    <n v="1.1863909625688625"/>
  </r>
  <r>
    <x v="3"/>
    <x v="0"/>
    <x v="1"/>
    <x v="0"/>
    <x v="1"/>
    <x v="0"/>
    <x v="0"/>
    <x v="1"/>
    <x v="2"/>
    <x v="8"/>
    <n v="9"/>
    <n v="12"/>
    <n v="0"/>
    <m/>
    <x v="1"/>
    <n v="1.1700857771323756"/>
  </r>
  <r>
    <x v="14"/>
    <x v="1"/>
    <x v="0"/>
    <x v="0"/>
    <x v="0"/>
    <x v="0"/>
    <x v="1"/>
    <x v="0"/>
    <x v="0"/>
    <x v="4"/>
    <n v="5"/>
    <n v="6"/>
    <n v="0"/>
    <m/>
    <x v="1"/>
    <n v="0.19383429830193535"/>
  </r>
  <r>
    <x v="1"/>
    <x v="1"/>
    <x v="1"/>
    <x v="0"/>
    <x v="3"/>
    <x v="1"/>
    <x v="0"/>
    <x v="1"/>
    <x v="1"/>
    <x v="8"/>
    <n v="2"/>
    <n v="2"/>
    <n v="0"/>
    <n v="2"/>
    <x v="0"/>
    <n v="0.22395431047086944"/>
  </r>
  <r>
    <x v="8"/>
    <x v="1"/>
    <x v="0"/>
    <x v="0"/>
    <x v="2"/>
    <x v="0"/>
    <x v="0"/>
    <x v="0"/>
    <x v="0"/>
    <x v="8"/>
    <n v="2"/>
    <n v="3"/>
    <n v="0"/>
    <m/>
    <x v="1"/>
    <n v="0.28148475721603516"/>
  </r>
  <r>
    <x v="21"/>
    <x v="1"/>
    <x v="0"/>
    <x v="2"/>
    <x v="0"/>
    <x v="0"/>
    <x v="1"/>
    <x v="1"/>
    <x v="1"/>
    <x v="7"/>
    <n v="1"/>
    <n v="3"/>
    <n v="0"/>
    <m/>
    <x v="1"/>
    <n v="8.4219225168211037E-2"/>
  </r>
  <r>
    <x v="1"/>
    <x v="1"/>
    <x v="0"/>
    <x v="0"/>
    <x v="1"/>
    <x v="1"/>
    <x v="0"/>
    <x v="1"/>
    <x v="1"/>
    <x v="8"/>
    <n v="29"/>
    <n v="30"/>
    <n v="0"/>
    <n v="28"/>
    <x v="0"/>
    <n v="3.581696356860367"/>
  </r>
  <r>
    <x v="1"/>
    <x v="0"/>
    <x v="0"/>
    <x v="0"/>
    <x v="2"/>
    <x v="0"/>
    <x v="0"/>
    <x v="0"/>
    <x v="1"/>
    <x v="2"/>
    <n v="5"/>
    <n v="6"/>
    <n v="1"/>
    <n v="5"/>
    <x v="0"/>
    <n v="0.25859849621444175"/>
  </r>
  <r>
    <x v="12"/>
    <x v="1"/>
    <x v="0"/>
    <x v="0"/>
    <x v="0"/>
    <x v="0"/>
    <x v="0"/>
    <x v="0"/>
    <x v="2"/>
    <x v="9"/>
    <n v="6"/>
    <n v="7"/>
    <n v="0"/>
    <m/>
    <x v="1"/>
    <n v="0.95751913107664366"/>
  </r>
  <r>
    <x v="15"/>
    <x v="1"/>
    <x v="1"/>
    <x v="1"/>
    <x v="0"/>
    <x v="1"/>
    <x v="1"/>
    <x v="0"/>
    <x v="1"/>
    <x v="6"/>
    <n v="1"/>
    <n v="1"/>
    <n v="0"/>
    <n v="1"/>
    <x v="0"/>
    <n v="1.350380369724709E-2"/>
  </r>
  <r>
    <x v="20"/>
    <x v="0"/>
    <x v="1"/>
    <x v="2"/>
    <x v="0"/>
    <x v="0"/>
    <x v="0"/>
    <x v="0"/>
    <x v="1"/>
    <x v="7"/>
    <n v="4"/>
    <n v="4"/>
    <n v="0"/>
    <n v="4"/>
    <x v="0"/>
    <n v="0.10911136800135676"/>
  </r>
  <r>
    <x v="5"/>
    <x v="0"/>
    <x v="0"/>
    <x v="1"/>
    <x v="0"/>
    <x v="0"/>
    <x v="0"/>
    <x v="0"/>
    <x v="1"/>
    <x v="6"/>
    <n v="6"/>
    <n v="7"/>
    <n v="0"/>
    <n v="6"/>
    <x v="0"/>
    <n v="9.6641651633330924E-2"/>
  </r>
  <r>
    <x v="5"/>
    <x v="0"/>
    <x v="0"/>
    <x v="1"/>
    <x v="0"/>
    <x v="0"/>
    <x v="1"/>
    <x v="1"/>
    <x v="2"/>
    <x v="7"/>
    <n v="1"/>
    <n v="1"/>
    <n v="0"/>
    <n v="1"/>
    <x v="0"/>
    <n v="2.2116330033594731E-2"/>
  </r>
  <r>
    <x v="22"/>
    <x v="0"/>
    <x v="0"/>
    <x v="0"/>
    <x v="2"/>
    <x v="0"/>
    <x v="1"/>
    <x v="1"/>
    <x v="2"/>
    <x v="1"/>
    <n v="6"/>
    <n v="8"/>
    <n v="0"/>
    <n v="6"/>
    <x v="0"/>
    <n v="0.54264387147395299"/>
  </r>
  <r>
    <x v="19"/>
    <x v="0"/>
    <x v="1"/>
    <x v="0"/>
    <x v="0"/>
    <x v="0"/>
    <x v="0"/>
    <x v="1"/>
    <x v="0"/>
    <x v="4"/>
    <n v="4"/>
    <n v="5"/>
    <n v="0"/>
    <m/>
    <x v="1"/>
    <n v="0.15697228561877108"/>
  </r>
  <r>
    <x v="14"/>
    <x v="1"/>
    <x v="1"/>
    <x v="0"/>
    <x v="2"/>
    <x v="0"/>
    <x v="1"/>
    <x v="1"/>
    <x v="0"/>
    <x v="4"/>
    <n v="1"/>
    <n v="2"/>
    <n v="0"/>
    <m/>
    <x v="1"/>
    <n v="6.5806557275802507E-2"/>
  </r>
  <r>
    <x v="21"/>
    <x v="1"/>
    <x v="0"/>
    <x v="0"/>
    <x v="1"/>
    <x v="0"/>
    <x v="0"/>
    <x v="1"/>
    <x v="0"/>
    <x v="8"/>
    <n v="13"/>
    <n v="31"/>
    <n v="1"/>
    <m/>
    <x v="1"/>
    <n v="2.9389498184129699"/>
  </r>
  <r>
    <x v="11"/>
    <x v="0"/>
    <x v="0"/>
    <x v="0"/>
    <x v="2"/>
    <x v="0"/>
    <x v="0"/>
    <x v="0"/>
    <x v="1"/>
    <x v="2"/>
    <n v="5"/>
    <n v="7"/>
    <n v="0"/>
    <m/>
    <x v="1"/>
    <n v="0.30169824558351538"/>
  </r>
  <r>
    <x v="1"/>
    <x v="0"/>
    <x v="1"/>
    <x v="0"/>
    <x v="3"/>
    <x v="0"/>
    <x v="1"/>
    <x v="1"/>
    <x v="2"/>
    <x v="3"/>
    <n v="2"/>
    <n v="2"/>
    <n v="0"/>
    <n v="2"/>
    <x v="0"/>
    <n v="0.12814145198905752"/>
  </r>
  <r>
    <x v="12"/>
    <x v="0"/>
    <x v="0"/>
    <x v="1"/>
    <x v="1"/>
    <x v="0"/>
    <x v="0"/>
    <x v="1"/>
    <x v="1"/>
    <x v="5"/>
    <n v="13"/>
    <n v="14"/>
    <n v="0"/>
    <m/>
    <x v="1"/>
    <n v="0.28498472741943964"/>
  </r>
  <r>
    <x v="18"/>
    <x v="0"/>
    <x v="1"/>
    <x v="1"/>
    <x v="1"/>
    <x v="1"/>
    <x v="0"/>
    <x v="1"/>
    <x v="0"/>
    <x v="4"/>
    <n v="1"/>
    <n v="2"/>
    <n v="0"/>
    <m/>
    <x v="1"/>
    <n v="8.2798990131375066E-2"/>
  </r>
  <r>
    <x v="7"/>
    <x v="1"/>
    <x v="0"/>
    <x v="0"/>
    <x v="0"/>
    <x v="0"/>
    <x v="0"/>
    <x v="0"/>
    <x v="2"/>
    <x v="9"/>
    <n v="7"/>
    <n v="14"/>
    <n v="0"/>
    <m/>
    <x v="1"/>
    <n v="1.9150382621532873"/>
  </r>
  <r>
    <x v="1"/>
    <x v="1"/>
    <x v="0"/>
    <x v="0"/>
    <x v="2"/>
    <x v="0"/>
    <x v="0"/>
    <x v="0"/>
    <x v="2"/>
    <x v="9"/>
    <n v="2"/>
    <n v="3"/>
    <n v="0"/>
    <n v="2"/>
    <x v="0"/>
    <n v="0.56599211530489102"/>
  </r>
  <r>
    <x v="2"/>
    <x v="1"/>
    <x v="0"/>
    <x v="2"/>
    <x v="2"/>
    <x v="0"/>
    <x v="0"/>
    <x v="1"/>
    <x v="1"/>
    <x v="1"/>
    <n v="6"/>
    <n v="7"/>
    <n v="0"/>
    <m/>
    <x v="1"/>
    <n v="0.57553926987170656"/>
  </r>
  <r>
    <x v="5"/>
    <x v="1"/>
    <x v="1"/>
    <x v="2"/>
    <x v="1"/>
    <x v="1"/>
    <x v="0"/>
    <x v="1"/>
    <x v="1"/>
    <x v="8"/>
    <n v="2"/>
    <n v="4"/>
    <n v="1"/>
    <n v="1"/>
    <x v="0"/>
    <n v="0.44085779762072891"/>
  </r>
  <r>
    <x v="3"/>
    <x v="0"/>
    <x v="1"/>
    <x v="1"/>
    <x v="0"/>
    <x v="0"/>
    <x v="1"/>
    <x v="1"/>
    <x v="1"/>
    <x v="6"/>
    <n v="1"/>
    <n v="1"/>
    <n v="0"/>
    <m/>
    <x v="1"/>
    <n v="4.5788555386867564E-3"/>
  </r>
  <r>
    <x v="21"/>
    <x v="1"/>
    <x v="0"/>
    <x v="0"/>
    <x v="0"/>
    <x v="0"/>
    <x v="1"/>
    <x v="0"/>
    <x v="1"/>
    <x v="7"/>
    <n v="7"/>
    <n v="8"/>
    <n v="0"/>
    <m/>
    <x v="1"/>
    <n v="0.17187651203041621"/>
  </r>
  <r>
    <x v="1"/>
    <x v="0"/>
    <x v="0"/>
    <x v="1"/>
    <x v="1"/>
    <x v="1"/>
    <x v="0"/>
    <x v="1"/>
    <x v="1"/>
    <x v="4"/>
    <n v="6"/>
    <n v="7"/>
    <n v="0"/>
    <n v="6"/>
    <x v="0"/>
    <n v="0.27503821190199207"/>
  </r>
  <r>
    <x v="21"/>
    <x v="0"/>
    <x v="0"/>
    <x v="0"/>
    <x v="2"/>
    <x v="0"/>
    <x v="0"/>
    <x v="1"/>
    <x v="0"/>
    <x v="3"/>
    <n v="5"/>
    <n v="9"/>
    <n v="0"/>
    <m/>
    <x v="1"/>
    <n v="0.5768525493388138"/>
  </r>
  <r>
    <x v="8"/>
    <x v="1"/>
    <x v="0"/>
    <x v="1"/>
    <x v="0"/>
    <x v="0"/>
    <x v="1"/>
    <x v="0"/>
    <x v="1"/>
    <x v="6"/>
    <n v="3"/>
    <n v="3"/>
    <n v="0"/>
    <m/>
    <x v="1"/>
    <n v="2.9744369367269385E-2"/>
  </r>
  <r>
    <x v="18"/>
    <x v="0"/>
    <x v="0"/>
    <x v="0"/>
    <x v="1"/>
    <x v="1"/>
    <x v="0"/>
    <x v="1"/>
    <x v="1"/>
    <x v="1"/>
    <n v="4"/>
    <n v="5"/>
    <n v="0"/>
    <m/>
    <x v="1"/>
    <n v="0.4114582968811476"/>
  </r>
  <r>
    <x v="5"/>
    <x v="1"/>
    <x v="1"/>
    <x v="0"/>
    <x v="0"/>
    <x v="0"/>
    <x v="1"/>
    <x v="0"/>
    <x v="2"/>
    <x v="0"/>
    <n v="1"/>
    <n v="1"/>
    <n v="0"/>
    <n v="1"/>
    <x v="0"/>
    <n v="4.9491902792675999E-2"/>
  </r>
  <r>
    <x v="3"/>
    <x v="0"/>
    <x v="0"/>
    <x v="1"/>
    <x v="0"/>
    <x v="0"/>
    <x v="0"/>
    <x v="0"/>
    <x v="1"/>
    <x v="6"/>
    <n v="7"/>
    <n v="7"/>
    <n v="0"/>
    <m/>
    <x v="1"/>
    <n v="9.6641651633330924E-2"/>
  </r>
  <r>
    <x v="7"/>
    <x v="1"/>
    <x v="0"/>
    <x v="0"/>
    <x v="2"/>
    <x v="1"/>
    <x v="0"/>
    <x v="1"/>
    <x v="0"/>
    <x v="9"/>
    <n v="1"/>
    <n v="2"/>
    <n v="0"/>
    <m/>
    <x v="1"/>
    <n v="0.33859241347985619"/>
  </r>
  <r>
    <x v="5"/>
    <x v="0"/>
    <x v="0"/>
    <x v="2"/>
    <x v="2"/>
    <x v="1"/>
    <x v="1"/>
    <x v="0"/>
    <x v="2"/>
    <x v="9"/>
    <n v="1"/>
    <n v="1"/>
    <n v="0"/>
    <n v="1"/>
    <x v="0"/>
    <n v="0.15854002300480582"/>
  </r>
  <r>
    <x v="8"/>
    <x v="0"/>
    <x v="1"/>
    <x v="2"/>
    <x v="2"/>
    <x v="0"/>
    <x v="1"/>
    <x v="1"/>
    <x v="2"/>
    <x v="3"/>
    <n v="1"/>
    <n v="1"/>
    <n v="0"/>
    <m/>
    <x v="1"/>
    <n v="6.2337033552238463E-2"/>
  </r>
  <r>
    <x v="7"/>
    <x v="0"/>
    <x v="1"/>
    <x v="2"/>
    <x v="3"/>
    <x v="1"/>
    <x v="0"/>
    <x v="1"/>
    <x v="0"/>
    <x v="9"/>
    <n v="1"/>
    <n v="1"/>
    <n v="0"/>
    <m/>
    <x v="1"/>
    <n v="0.1429710012122066"/>
  </r>
  <r>
    <x v="14"/>
    <x v="0"/>
    <x v="1"/>
    <x v="0"/>
    <x v="0"/>
    <x v="0"/>
    <x v="1"/>
    <x v="0"/>
    <x v="0"/>
    <x v="5"/>
    <n v="1"/>
    <n v="1"/>
    <n v="0"/>
    <m/>
    <x v="1"/>
    <n v="1.5103271786810353E-2"/>
  </r>
  <r>
    <x v="17"/>
    <x v="0"/>
    <x v="0"/>
    <x v="0"/>
    <x v="1"/>
    <x v="1"/>
    <x v="0"/>
    <x v="1"/>
    <x v="2"/>
    <x v="9"/>
    <n v="10"/>
    <n v="11"/>
    <n v="5"/>
    <n v="10"/>
    <x v="0"/>
    <n v="2.5785958452179014"/>
  </r>
  <r>
    <x v="15"/>
    <x v="1"/>
    <x v="1"/>
    <x v="0"/>
    <x v="2"/>
    <x v="0"/>
    <x v="0"/>
    <x v="0"/>
    <x v="0"/>
    <x v="1"/>
    <n v="1"/>
    <n v="1"/>
    <n v="0"/>
    <n v="1"/>
    <x v="0"/>
    <n v="6.7086671775585666E-2"/>
  </r>
  <r>
    <x v="15"/>
    <x v="0"/>
    <x v="1"/>
    <x v="0"/>
    <x v="1"/>
    <x v="0"/>
    <x v="0"/>
    <x v="1"/>
    <x v="0"/>
    <x v="0"/>
    <n v="13"/>
    <n v="13"/>
    <n v="1"/>
    <n v="13"/>
    <x v="0"/>
    <n v="0.59671127781490729"/>
  </r>
  <r>
    <x v="9"/>
    <x v="0"/>
    <x v="0"/>
    <x v="2"/>
    <x v="0"/>
    <x v="1"/>
    <x v="0"/>
    <x v="0"/>
    <x v="1"/>
    <x v="1"/>
    <n v="2"/>
    <n v="2"/>
    <n v="0"/>
    <n v="2"/>
    <x v="0"/>
    <n v="0.14724648342003765"/>
  </r>
  <r>
    <x v="15"/>
    <x v="0"/>
    <x v="0"/>
    <x v="2"/>
    <x v="0"/>
    <x v="0"/>
    <x v="0"/>
    <x v="0"/>
    <x v="0"/>
    <x v="0"/>
    <n v="4"/>
    <n v="5"/>
    <n v="2"/>
    <n v="4"/>
    <x v="0"/>
    <n v="0.28921761501049131"/>
  </r>
  <r>
    <x v="12"/>
    <x v="0"/>
    <x v="1"/>
    <x v="0"/>
    <x v="0"/>
    <x v="0"/>
    <x v="1"/>
    <x v="0"/>
    <x v="0"/>
    <x v="5"/>
    <n v="1"/>
    <n v="1"/>
    <n v="0"/>
    <m/>
    <x v="1"/>
    <n v="1.5103271786810353E-2"/>
  </r>
  <r>
    <x v="16"/>
    <x v="0"/>
    <x v="1"/>
    <x v="0"/>
    <x v="1"/>
    <x v="0"/>
    <x v="0"/>
    <x v="1"/>
    <x v="0"/>
    <x v="0"/>
    <n v="10"/>
    <n v="13"/>
    <n v="0"/>
    <m/>
    <x v="1"/>
    <n v="0.59671127781490729"/>
  </r>
  <r>
    <x v="11"/>
    <x v="1"/>
    <x v="1"/>
    <x v="2"/>
    <x v="0"/>
    <x v="0"/>
    <x v="1"/>
    <x v="1"/>
    <x v="1"/>
    <x v="5"/>
    <n v="1"/>
    <n v="1"/>
    <n v="0"/>
    <m/>
    <x v="1"/>
    <n v="1.9665389303685415E-2"/>
  </r>
  <r>
    <x v="12"/>
    <x v="0"/>
    <x v="0"/>
    <x v="1"/>
    <x v="0"/>
    <x v="0"/>
    <x v="1"/>
    <x v="0"/>
    <x v="1"/>
    <x v="6"/>
    <n v="3"/>
    <n v="3"/>
    <n v="0"/>
    <m/>
    <x v="1"/>
    <n v="1.9739333835198093E-2"/>
  </r>
  <r>
    <x v="0"/>
    <x v="1"/>
    <x v="0"/>
    <x v="0"/>
    <x v="1"/>
    <x v="0"/>
    <x v="0"/>
    <x v="1"/>
    <x v="0"/>
    <x v="8"/>
    <n v="26"/>
    <n v="33"/>
    <n v="1"/>
    <n v="26"/>
    <x v="0"/>
    <n v="3.1285594841170323"/>
  </r>
  <r>
    <x v="20"/>
    <x v="1"/>
    <x v="1"/>
    <x v="0"/>
    <x v="0"/>
    <x v="0"/>
    <x v="0"/>
    <x v="0"/>
    <x v="1"/>
    <x v="4"/>
    <n v="12"/>
    <n v="16"/>
    <n v="0"/>
    <n v="11"/>
    <x v="0"/>
    <n v="0.49957421622768089"/>
  </r>
  <r>
    <x v="16"/>
    <x v="1"/>
    <x v="0"/>
    <x v="0"/>
    <x v="0"/>
    <x v="0"/>
    <x v="1"/>
    <x v="1"/>
    <x v="0"/>
    <x v="4"/>
    <n v="3"/>
    <n v="4"/>
    <n v="0"/>
    <m/>
    <x v="1"/>
    <n v="0.12922286553462359"/>
  </r>
  <r>
    <x v="13"/>
    <x v="0"/>
    <x v="1"/>
    <x v="0"/>
    <x v="0"/>
    <x v="0"/>
    <x v="0"/>
    <x v="0"/>
    <x v="1"/>
    <x v="5"/>
    <n v="1"/>
    <n v="1"/>
    <n v="0"/>
    <m/>
    <x v="1"/>
    <n v="2.0871957416586092E-2"/>
  </r>
  <r>
    <x v="1"/>
    <x v="1"/>
    <x v="0"/>
    <x v="2"/>
    <x v="0"/>
    <x v="0"/>
    <x v="0"/>
    <x v="1"/>
    <x v="1"/>
    <x v="0"/>
    <n v="21"/>
    <n v="23"/>
    <n v="2"/>
    <n v="21"/>
    <x v="0"/>
    <n v="1.3233485690330491"/>
  </r>
  <r>
    <x v="21"/>
    <x v="0"/>
    <x v="0"/>
    <x v="1"/>
    <x v="0"/>
    <x v="1"/>
    <x v="0"/>
    <x v="0"/>
    <x v="0"/>
    <x v="4"/>
    <n v="1"/>
    <n v="1"/>
    <n v="0"/>
    <m/>
    <x v="1"/>
    <n v="4.0210562870550678E-2"/>
  </r>
  <r>
    <x v="3"/>
    <x v="0"/>
    <x v="0"/>
    <x v="0"/>
    <x v="1"/>
    <x v="1"/>
    <x v="0"/>
    <x v="1"/>
    <x v="2"/>
    <x v="9"/>
    <n v="10"/>
    <n v="16"/>
    <n v="0"/>
    <m/>
    <x v="1"/>
    <n v="3.7506848657714928"/>
  </r>
  <r>
    <x v="20"/>
    <x v="0"/>
    <x v="0"/>
    <x v="1"/>
    <x v="0"/>
    <x v="0"/>
    <x v="1"/>
    <x v="0"/>
    <x v="1"/>
    <x v="6"/>
    <n v="3"/>
    <n v="3"/>
    <n v="0"/>
    <n v="3"/>
    <x v="0"/>
    <n v="1.9739333835198093E-2"/>
  </r>
  <r>
    <x v="12"/>
    <x v="1"/>
    <x v="1"/>
    <x v="0"/>
    <x v="1"/>
    <x v="1"/>
    <x v="0"/>
    <x v="1"/>
    <x v="0"/>
    <x v="9"/>
    <n v="4"/>
    <n v="6"/>
    <n v="2"/>
    <m/>
    <x v="1"/>
    <n v="0.75141558746038417"/>
  </r>
  <r>
    <x v="14"/>
    <x v="0"/>
    <x v="1"/>
    <x v="0"/>
    <x v="0"/>
    <x v="1"/>
    <x v="1"/>
    <x v="0"/>
    <x v="0"/>
    <x v="7"/>
    <n v="2"/>
    <n v="2"/>
    <n v="0"/>
    <m/>
    <x v="1"/>
    <n v="5.8596814211230981E-2"/>
  </r>
  <r>
    <x v="1"/>
    <x v="0"/>
    <x v="0"/>
    <x v="0"/>
    <x v="3"/>
    <x v="1"/>
    <x v="0"/>
    <x v="1"/>
    <x v="2"/>
    <x v="9"/>
    <n v="3"/>
    <n v="5"/>
    <n v="1"/>
    <n v="3"/>
    <x v="0"/>
    <n v="1.4540539177142675"/>
  </r>
  <r>
    <x v="4"/>
    <x v="1"/>
    <x v="0"/>
    <x v="2"/>
    <x v="2"/>
    <x v="0"/>
    <x v="1"/>
    <x v="0"/>
    <x v="1"/>
    <x v="4"/>
    <n v="1"/>
    <n v="1"/>
    <n v="0"/>
    <m/>
    <x v="1"/>
    <n v="4.066159666363986E-2"/>
  </r>
  <r>
    <x v="5"/>
    <x v="0"/>
    <x v="0"/>
    <x v="2"/>
    <x v="1"/>
    <x v="0"/>
    <x v="0"/>
    <x v="1"/>
    <x v="1"/>
    <x v="0"/>
    <n v="15"/>
    <n v="22"/>
    <n v="0"/>
    <n v="15"/>
    <x v="0"/>
    <n v="1.2439838075883685"/>
  </r>
  <r>
    <x v="18"/>
    <x v="0"/>
    <x v="0"/>
    <x v="0"/>
    <x v="2"/>
    <x v="0"/>
    <x v="0"/>
    <x v="1"/>
    <x v="0"/>
    <x v="3"/>
    <n v="3"/>
    <n v="3"/>
    <n v="0"/>
    <m/>
    <x v="1"/>
    <n v="0.19228418311293793"/>
  </r>
  <r>
    <x v="11"/>
    <x v="1"/>
    <x v="1"/>
    <x v="0"/>
    <x v="0"/>
    <x v="0"/>
    <x v="0"/>
    <x v="0"/>
    <x v="0"/>
    <x v="0"/>
    <n v="4"/>
    <n v="5"/>
    <n v="0"/>
    <m/>
    <x v="1"/>
    <n v="0.23357763046412891"/>
  </r>
  <r>
    <x v="13"/>
    <x v="1"/>
    <x v="0"/>
    <x v="2"/>
    <x v="1"/>
    <x v="0"/>
    <x v="0"/>
    <x v="1"/>
    <x v="0"/>
    <x v="8"/>
    <n v="3"/>
    <n v="4"/>
    <n v="0"/>
    <m/>
    <x v="1"/>
    <n v="0.48438145424279333"/>
  </r>
  <r>
    <x v="0"/>
    <x v="0"/>
    <x v="0"/>
    <x v="0"/>
    <x v="0"/>
    <x v="0"/>
    <x v="0"/>
    <x v="1"/>
    <x v="0"/>
    <x v="0"/>
    <n v="7"/>
    <n v="9"/>
    <n v="1"/>
    <n v="7"/>
    <x v="0"/>
    <n v="0.40129808053568622"/>
  </r>
  <r>
    <x v="1"/>
    <x v="0"/>
    <x v="1"/>
    <x v="0"/>
    <x v="3"/>
    <x v="0"/>
    <x v="0"/>
    <x v="1"/>
    <x v="0"/>
    <x v="3"/>
    <n v="1"/>
    <n v="1"/>
    <n v="0"/>
    <n v="1"/>
    <x v="0"/>
    <n v="6.0528592439100186E-2"/>
  </r>
  <r>
    <x v="5"/>
    <x v="1"/>
    <x v="0"/>
    <x v="2"/>
    <x v="3"/>
    <x v="1"/>
    <x v="0"/>
    <x v="1"/>
    <x v="2"/>
    <x v="9"/>
    <n v="2"/>
    <n v="2"/>
    <n v="1"/>
    <n v="2"/>
    <x v="0"/>
    <n v="0.89843734259705377"/>
  </r>
  <r>
    <x v="14"/>
    <x v="1"/>
    <x v="0"/>
    <x v="0"/>
    <x v="2"/>
    <x v="1"/>
    <x v="0"/>
    <x v="0"/>
    <x v="1"/>
    <x v="8"/>
    <n v="1"/>
    <n v="3"/>
    <n v="0"/>
    <m/>
    <x v="1"/>
    <n v="0.35457934774799399"/>
  </r>
  <r>
    <x v="19"/>
    <x v="1"/>
    <x v="0"/>
    <x v="0"/>
    <x v="3"/>
    <x v="0"/>
    <x v="0"/>
    <x v="1"/>
    <x v="2"/>
    <x v="9"/>
    <n v="1"/>
    <n v="2"/>
    <n v="0"/>
    <m/>
    <x v="1"/>
    <n v="0.47908124645836453"/>
  </r>
  <r>
    <x v="18"/>
    <x v="0"/>
    <x v="0"/>
    <x v="2"/>
    <x v="1"/>
    <x v="0"/>
    <x v="0"/>
    <x v="1"/>
    <x v="2"/>
    <x v="9"/>
    <n v="3"/>
    <n v="3"/>
    <n v="0"/>
    <m/>
    <x v="1"/>
    <n v="0.5096565400747386"/>
  </r>
  <r>
    <x v="7"/>
    <x v="1"/>
    <x v="0"/>
    <x v="1"/>
    <x v="0"/>
    <x v="0"/>
    <x v="1"/>
    <x v="1"/>
    <x v="1"/>
    <x v="6"/>
    <n v="4"/>
    <n v="4"/>
    <n v="0"/>
    <m/>
    <x v="1"/>
    <n v="3.9659159156359182E-2"/>
  </r>
  <r>
    <x v="15"/>
    <x v="0"/>
    <x v="1"/>
    <x v="0"/>
    <x v="1"/>
    <x v="1"/>
    <x v="0"/>
    <x v="1"/>
    <x v="1"/>
    <x v="0"/>
    <n v="20"/>
    <n v="22"/>
    <n v="1"/>
    <n v="20"/>
    <x v="0"/>
    <n v="1.2897577861075162"/>
  </r>
  <r>
    <x v="15"/>
    <x v="0"/>
    <x v="1"/>
    <x v="2"/>
    <x v="0"/>
    <x v="0"/>
    <x v="0"/>
    <x v="0"/>
    <x v="0"/>
    <x v="4"/>
    <n v="1"/>
    <n v="1"/>
    <n v="0"/>
    <n v="1"/>
    <x v="0"/>
    <n v="4.089495301709424E-2"/>
  </r>
  <r>
    <x v="10"/>
    <x v="1"/>
    <x v="1"/>
    <x v="1"/>
    <x v="0"/>
    <x v="0"/>
    <x v="1"/>
    <x v="0"/>
    <x v="1"/>
    <x v="6"/>
    <n v="2"/>
    <n v="2"/>
    <n v="0"/>
    <m/>
    <x v="1"/>
    <n v="1.3813470643303788E-2"/>
  </r>
  <r>
    <x v="22"/>
    <x v="1"/>
    <x v="0"/>
    <x v="0"/>
    <x v="2"/>
    <x v="0"/>
    <x v="0"/>
    <x v="0"/>
    <x v="2"/>
    <x v="9"/>
    <n v="2"/>
    <n v="2"/>
    <n v="0"/>
    <n v="1"/>
    <x v="0"/>
    <n v="0.37732807686992731"/>
  </r>
  <r>
    <x v="15"/>
    <x v="0"/>
    <x v="0"/>
    <x v="0"/>
    <x v="2"/>
    <x v="0"/>
    <x v="0"/>
    <x v="0"/>
    <x v="1"/>
    <x v="2"/>
    <n v="5"/>
    <n v="6"/>
    <n v="0"/>
    <n v="5"/>
    <x v="0"/>
    <n v="0.25859849621444175"/>
  </r>
  <r>
    <x v="5"/>
    <x v="1"/>
    <x v="0"/>
    <x v="0"/>
    <x v="2"/>
    <x v="0"/>
    <x v="0"/>
    <x v="0"/>
    <x v="2"/>
    <x v="9"/>
    <n v="3"/>
    <n v="4"/>
    <n v="0"/>
    <n v="2"/>
    <x v="0"/>
    <n v="0.75465615373985462"/>
  </r>
  <r>
    <x v="3"/>
    <x v="1"/>
    <x v="0"/>
    <x v="0"/>
    <x v="0"/>
    <x v="0"/>
    <x v="0"/>
    <x v="1"/>
    <x v="1"/>
    <x v="0"/>
    <n v="15"/>
    <n v="22"/>
    <n v="0"/>
    <m/>
    <x v="1"/>
    <n v="0.97567807598099288"/>
  </r>
  <r>
    <x v="21"/>
    <x v="0"/>
    <x v="0"/>
    <x v="1"/>
    <x v="0"/>
    <x v="0"/>
    <x v="0"/>
    <x v="0"/>
    <x v="1"/>
    <x v="6"/>
    <n v="4"/>
    <n v="4"/>
    <n v="0"/>
    <m/>
    <x v="1"/>
    <n v="5.5223800933331964E-2"/>
  </r>
  <r>
    <x v="22"/>
    <x v="0"/>
    <x v="1"/>
    <x v="1"/>
    <x v="1"/>
    <x v="0"/>
    <x v="0"/>
    <x v="1"/>
    <x v="0"/>
    <x v="5"/>
    <n v="2"/>
    <n v="2"/>
    <n v="0"/>
    <n v="2"/>
    <x v="0"/>
    <n v="4.2942086682100908E-2"/>
  </r>
  <r>
    <x v="4"/>
    <x v="1"/>
    <x v="1"/>
    <x v="0"/>
    <x v="1"/>
    <x v="1"/>
    <x v="0"/>
    <x v="1"/>
    <x v="0"/>
    <x v="9"/>
    <n v="1"/>
    <n v="2"/>
    <n v="0"/>
    <m/>
    <x v="1"/>
    <n v="0.25047186248679471"/>
  </r>
  <r>
    <x v="4"/>
    <x v="0"/>
    <x v="1"/>
    <x v="0"/>
    <x v="0"/>
    <x v="0"/>
    <x v="1"/>
    <x v="1"/>
    <x v="2"/>
    <x v="4"/>
    <n v="1"/>
    <n v="1"/>
    <n v="0"/>
    <m/>
    <x v="1"/>
    <n v="3.3292078574409821E-2"/>
  </r>
  <r>
    <x v="3"/>
    <x v="1"/>
    <x v="0"/>
    <x v="0"/>
    <x v="1"/>
    <x v="1"/>
    <x v="0"/>
    <x v="1"/>
    <x v="1"/>
    <x v="8"/>
    <n v="18"/>
    <n v="29"/>
    <n v="0"/>
    <m/>
    <x v="1"/>
    <n v="3.4623064782983546"/>
  </r>
  <r>
    <x v="9"/>
    <x v="0"/>
    <x v="0"/>
    <x v="0"/>
    <x v="2"/>
    <x v="1"/>
    <x v="0"/>
    <x v="0"/>
    <x v="1"/>
    <x v="1"/>
    <n v="9"/>
    <n v="9"/>
    <n v="0"/>
    <n v="9"/>
    <x v="0"/>
    <n v="0.73289142724351941"/>
  </r>
  <r>
    <x v="16"/>
    <x v="1"/>
    <x v="1"/>
    <x v="1"/>
    <x v="0"/>
    <x v="1"/>
    <x v="1"/>
    <x v="0"/>
    <x v="1"/>
    <x v="6"/>
    <n v="1"/>
    <n v="1"/>
    <n v="0"/>
    <m/>
    <x v="1"/>
    <n v="1.350380369724709E-2"/>
  </r>
  <r>
    <x v="3"/>
    <x v="0"/>
    <x v="0"/>
    <x v="0"/>
    <x v="3"/>
    <x v="1"/>
    <x v="0"/>
    <x v="1"/>
    <x v="2"/>
    <x v="9"/>
    <n v="6"/>
    <n v="7"/>
    <n v="0"/>
    <m/>
    <x v="1"/>
    <n v="2.0356754847999747"/>
  </r>
  <r>
    <x v="5"/>
    <x v="0"/>
    <x v="0"/>
    <x v="0"/>
    <x v="0"/>
    <x v="0"/>
    <x v="1"/>
    <x v="0"/>
    <x v="1"/>
    <x v="6"/>
    <n v="9"/>
    <n v="10"/>
    <n v="0"/>
    <n v="7"/>
    <x v="0"/>
    <n v="0.14314121579974512"/>
  </r>
  <r>
    <x v="2"/>
    <x v="1"/>
    <x v="0"/>
    <x v="0"/>
    <x v="2"/>
    <x v="0"/>
    <x v="0"/>
    <x v="0"/>
    <x v="1"/>
    <x v="3"/>
    <n v="2"/>
    <n v="3"/>
    <n v="0"/>
    <m/>
    <x v="1"/>
    <n v="0.19127161148809305"/>
  </r>
  <r>
    <x v="20"/>
    <x v="1"/>
    <x v="1"/>
    <x v="2"/>
    <x v="3"/>
    <x v="0"/>
    <x v="0"/>
    <x v="1"/>
    <x v="0"/>
    <x v="8"/>
    <n v="1"/>
    <n v="1"/>
    <n v="0"/>
    <n v="1"/>
    <x v="0"/>
    <n v="0.1135904083592236"/>
  </r>
  <r>
    <x v="9"/>
    <x v="0"/>
    <x v="1"/>
    <x v="1"/>
    <x v="0"/>
    <x v="1"/>
    <x v="1"/>
    <x v="0"/>
    <x v="0"/>
    <x v="6"/>
    <n v="1"/>
    <n v="1"/>
    <n v="0"/>
    <n v="1"/>
    <x v="0"/>
    <n v="1.3579149957578668E-2"/>
  </r>
  <r>
    <x v="18"/>
    <x v="0"/>
    <x v="0"/>
    <x v="2"/>
    <x v="1"/>
    <x v="0"/>
    <x v="0"/>
    <x v="1"/>
    <x v="1"/>
    <x v="0"/>
    <n v="3"/>
    <n v="3"/>
    <n v="0"/>
    <m/>
    <x v="1"/>
    <n v="0.16963415558023207"/>
  </r>
  <r>
    <x v="1"/>
    <x v="1"/>
    <x v="0"/>
    <x v="0"/>
    <x v="0"/>
    <x v="0"/>
    <x v="0"/>
    <x v="1"/>
    <x v="2"/>
    <x v="9"/>
    <n v="6"/>
    <n v="9"/>
    <n v="0"/>
    <n v="6"/>
    <x v="0"/>
    <n v="1.2310960256699703"/>
  </r>
  <r>
    <x v="17"/>
    <x v="0"/>
    <x v="0"/>
    <x v="1"/>
    <x v="0"/>
    <x v="0"/>
    <x v="0"/>
    <x v="1"/>
    <x v="1"/>
    <x v="6"/>
    <n v="4"/>
    <n v="5"/>
    <n v="0"/>
    <n v="4"/>
    <x v="0"/>
    <n v="6.9029751166664946E-2"/>
  </r>
  <r>
    <x v="11"/>
    <x v="1"/>
    <x v="0"/>
    <x v="0"/>
    <x v="0"/>
    <x v="0"/>
    <x v="1"/>
    <x v="0"/>
    <x v="0"/>
    <x v="4"/>
    <n v="3"/>
    <n v="3"/>
    <n v="0"/>
    <m/>
    <x v="1"/>
    <n v="9.6917149150967677E-2"/>
  </r>
  <r>
    <x v="20"/>
    <x v="0"/>
    <x v="0"/>
    <x v="0"/>
    <x v="3"/>
    <x v="1"/>
    <x v="1"/>
    <x v="1"/>
    <x v="0"/>
    <x v="1"/>
    <n v="2"/>
    <n v="2"/>
    <n v="0"/>
    <n v="2"/>
    <x v="0"/>
    <n v="0.15903844711423848"/>
  </r>
  <r>
    <x v="12"/>
    <x v="1"/>
    <x v="0"/>
    <x v="0"/>
    <x v="2"/>
    <x v="0"/>
    <x v="1"/>
    <x v="1"/>
    <x v="2"/>
    <x v="8"/>
    <n v="2"/>
    <n v="2"/>
    <n v="0"/>
    <m/>
    <x v="1"/>
    <n v="0.19822699262559396"/>
  </r>
  <r>
    <x v="15"/>
    <x v="0"/>
    <x v="0"/>
    <x v="0"/>
    <x v="2"/>
    <x v="0"/>
    <x v="1"/>
    <x v="1"/>
    <x v="1"/>
    <x v="5"/>
    <n v="4"/>
    <n v="5"/>
    <n v="0"/>
    <n v="4"/>
    <x v="0"/>
    <n v="0.1043265471217899"/>
  </r>
  <r>
    <x v="1"/>
    <x v="0"/>
    <x v="1"/>
    <x v="0"/>
    <x v="1"/>
    <x v="0"/>
    <x v="0"/>
    <x v="1"/>
    <x v="0"/>
    <x v="0"/>
    <n v="7"/>
    <n v="7"/>
    <n v="0"/>
    <n v="7"/>
    <x v="0"/>
    <n v="0.3213060726695654"/>
  </r>
  <r>
    <x v="2"/>
    <x v="1"/>
    <x v="1"/>
    <x v="0"/>
    <x v="0"/>
    <x v="1"/>
    <x v="0"/>
    <x v="0"/>
    <x v="0"/>
    <x v="8"/>
    <n v="1"/>
    <n v="1"/>
    <n v="0"/>
    <m/>
    <x v="1"/>
    <n v="8.7968370705737417E-2"/>
  </r>
  <r>
    <x v="22"/>
    <x v="0"/>
    <x v="0"/>
    <x v="2"/>
    <x v="2"/>
    <x v="0"/>
    <x v="0"/>
    <x v="0"/>
    <x v="0"/>
    <x v="1"/>
    <n v="1"/>
    <n v="1"/>
    <n v="0"/>
    <n v="1"/>
    <x v="0"/>
    <n v="8.2646531177737778E-2"/>
  </r>
  <r>
    <x v="14"/>
    <x v="0"/>
    <x v="1"/>
    <x v="0"/>
    <x v="3"/>
    <x v="0"/>
    <x v="1"/>
    <x v="1"/>
    <x v="1"/>
    <x v="5"/>
    <n v="1"/>
    <n v="1"/>
    <n v="0"/>
    <m/>
    <x v="1"/>
    <n v="1.9653885350930222E-2"/>
  </r>
  <r>
    <x v="10"/>
    <x v="1"/>
    <x v="0"/>
    <x v="0"/>
    <x v="0"/>
    <x v="0"/>
    <x v="1"/>
    <x v="0"/>
    <x v="2"/>
    <x v="1"/>
    <n v="1"/>
    <n v="2"/>
    <n v="0"/>
    <m/>
    <x v="1"/>
    <n v="0.13948863320885782"/>
  </r>
  <r>
    <x v="11"/>
    <x v="0"/>
    <x v="1"/>
    <x v="0"/>
    <x v="1"/>
    <x v="1"/>
    <x v="0"/>
    <x v="1"/>
    <x v="2"/>
    <x v="9"/>
    <n v="1"/>
    <n v="6"/>
    <n v="0"/>
    <m/>
    <x v="1"/>
    <n v="1.0521689256352613"/>
  </r>
  <r>
    <x v="16"/>
    <x v="1"/>
    <x v="0"/>
    <x v="0"/>
    <x v="0"/>
    <x v="0"/>
    <x v="0"/>
    <x v="1"/>
    <x v="0"/>
    <x v="1"/>
    <n v="4"/>
    <n v="5"/>
    <n v="0"/>
    <m/>
    <x v="1"/>
    <n v="0.32955304515801731"/>
  </r>
  <r>
    <x v="11"/>
    <x v="1"/>
    <x v="0"/>
    <x v="0"/>
    <x v="3"/>
    <x v="0"/>
    <x v="0"/>
    <x v="0"/>
    <x v="2"/>
    <x v="9"/>
    <n v="1"/>
    <n v="1"/>
    <n v="0"/>
    <m/>
    <x v="1"/>
    <n v="0.23954062322918226"/>
  </r>
  <r>
    <x v="2"/>
    <x v="1"/>
    <x v="1"/>
    <x v="2"/>
    <x v="1"/>
    <x v="0"/>
    <x v="0"/>
    <x v="1"/>
    <x v="0"/>
    <x v="8"/>
    <n v="2"/>
    <n v="3"/>
    <n v="0"/>
    <m/>
    <x v="1"/>
    <n v="0.26199435739053284"/>
  </r>
  <r>
    <x v="4"/>
    <x v="0"/>
    <x v="0"/>
    <x v="2"/>
    <x v="2"/>
    <x v="0"/>
    <x v="1"/>
    <x v="0"/>
    <x v="0"/>
    <x v="4"/>
    <n v="1"/>
    <n v="1"/>
    <n v="0"/>
    <m/>
    <x v="1"/>
    <n v="4.088219372579513E-2"/>
  </r>
  <r>
    <x v="2"/>
    <x v="0"/>
    <x v="1"/>
    <x v="0"/>
    <x v="3"/>
    <x v="1"/>
    <x v="0"/>
    <x v="1"/>
    <x v="2"/>
    <x v="9"/>
    <n v="3"/>
    <n v="4"/>
    <n v="0"/>
    <m/>
    <x v="1"/>
    <n v="0.88664356510221809"/>
  </r>
  <r>
    <x v="10"/>
    <x v="1"/>
    <x v="0"/>
    <x v="2"/>
    <x v="1"/>
    <x v="0"/>
    <x v="0"/>
    <x v="1"/>
    <x v="0"/>
    <x v="8"/>
    <n v="8"/>
    <n v="13"/>
    <n v="0"/>
    <m/>
    <x v="1"/>
    <n v="1.5742397262890782"/>
  </r>
  <r>
    <x v="1"/>
    <x v="1"/>
    <x v="0"/>
    <x v="0"/>
    <x v="1"/>
    <x v="0"/>
    <x v="0"/>
    <x v="1"/>
    <x v="2"/>
    <x v="9"/>
    <n v="19"/>
    <n v="24"/>
    <n v="3"/>
    <n v="18"/>
    <x v="0"/>
    <n v="4.5700863971295691"/>
  </r>
  <r>
    <x v="9"/>
    <x v="1"/>
    <x v="0"/>
    <x v="1"/>
    <x v="1"/>
    <x v="0"/>
    <x v="0"/>
    <x v="1"/>
    <x v="1"/>
    <x v="4"/>
    <n v="8"/>
    <n v="8"/>
    <n v="0"/>
    <n v="8"/>
    <x v="0"/>
    <n v="0.24367663802929052"/>
  </r>
  <r>
    <x v="12"/>
    <x v="1"/>
    <x v="0"/>
    <x v="0"/>
    <x v="3"/>
    <x v="1"/>
    <x v="1"/>
    <x v="1"/>
    <x v="0"/>
    <x v="8"/>
    <n v="2"/>
    <n v="2"/>
    <n v="0"/>
    <m/>
    <x v="1"/>
    <n v="0.23104985380022963"/>
  </r>
  <r>
    <x v="14"/>
    <x v="0"/>
    <x v="0"/>
    <x v="0"/>
    <x v="0"/>
    <x v="0"/>
    <x v="1"/>
    <x v="1"/>
    <x v="0"/>
    <x v="7"/>
    <n v="3"/>
    <n v="3"/>
    <n v="0"/>
    <m/>
    <x v="1"/>
    <n v="6.4810394424951609E-2"/>
  </r>
  <r>
    <x v="12"/>
    <x v="0"/>
    <x v="0"/>
    <x v="0"/>
    <x v="2"/>
    <x v="1"/>
    <x v="1"/>
    <x v="1"/>
    <x v="1"/>
    <x v="4"/>
    <n v="5"/>
    <n v="6"/>
    <n v="0"/>
    <m/>
    <x v="1"/>
    <n v="0.2415280480691086"/>
  </r>
  <r>
    <x v="21"/>
    <x v="0"/>
    <x v="1"/>
    <x v="1"/>
    <x v="0"/>
    <x v="0"/>
    <x v="1"/>
    <x v="1"/>
    <x v="1"/>
    <x v="6"/>
    <n v="3"/>
    <n v="3"/>
    <n v="0"/>
    <m/>
    <x v="1"/>
    <n v="1.3736566616060271E-2"/>
  </r>
  <r>
    <x v="14"/>
    <x v="0"/>
    <x v="0"/>
    <x v="0"/>
    <x v="0"/>
    <x v="0"/>
    <x v="1"/>
    <x v="1"/>
    <x v="2"/>
    <x v="0"/>
    <n v="2"/>
    <n v="3"/>
    <n v="0"/>
    <m/>
    <x v="1"/>
    <n v="0.14173474431519847"/>
  </r>
  <r>
    <x v="7"/>
    <x v="1"/>
    <x v="1"/>
    <x v="2"/>
    <x v="2"/>
    <x v="0"/>
    <x v="0"/>
    <x v="0"/>
    <x v="1"/>
    <x v="0"/>
    <n v="1"/>
    <n v="1"/>
    <n v="0"/>
    <m/>
    <x v="1"/>
    <n v="5.857291153169402E-2"/>
  </r>
  <r>
    <x v="3"/>
    <x v="0"/>
    <x v="1"/>
    <x v="0"/>
    <x v="0"/>
    <x v="0"/>
    <x v="0"/>
    <x v="1"/>
    <x v="2"/>
    <x v="1"/>
    <n v="5"/>
    <n v="5"/>
    <n v="0"/>
    <m/>
    <x v="1"/>
    <n v="0.33925529385795472"/>
  </r>
  <r>
    <x v="8"/>
    <x v="0"/>
    <x v="1"/>
    <x v="0"/>
    <x v="1"/>
    <x v="0"/>
    <x v="0"/>
    <x v="1"/>
    <x v="2"/>
    <x v="8"/>
    <n v="8"/>
    <n v="13"/>
    <n v="1"/>
    <m/>
    <x v="1"/>
    <n v="1.2675929252267402"/>
  </r>
  <r>
    <x v="2"/>
    <x v="1"/>
    <x v="0"/>
    <x v="2"/>
    <x v="0"/>
    <x v="0"/>
    <x v="0"/>
    <x v="0"/>
    <x v="2"/>
    <x v="9"/>
    <n v="2"/>
    <n v="5"/>
    <n v="0"/>
    <m/>
    <x v="1"/>
    <n v="0.86251411436826875"/>
  </r>
  <r>
    <x v="11"/>
    <x v="0"/>
    <x v="0"/>
    <x v="0"/>
    <x v="2"/>
    <x v="0"/>
    <x v="1"/>
    <x v="1"/>
    <x v="0"/>
    <x v="4"/>
    <n v="3"/>
    <n v="3"/>
    <n v="0"/>
    <m/>
    <x v="1"/>
    <n v="9.4153695020008865E-2"/>
  </r>
  <r>
    <x v="1"/>
    <x v="1"/>
    <x v="1"/>
    <x v="0"/>
    <x v="1"/>
    <x v="1"/>
    <x v="0"/>
    <x v="1"/>
    <x v="2"/>
    <x v="9"/>
    <n v="3"/>
    <n v="3"/>
    <n v="2"/>
    <n v="3"/>
    <x v="0"/>
    <n v="0.72988083396058068"/>
  </r>
  <r>
    <x v="15"/>
    <x v="1"/>
    <x v="0"/>
    <x v="0"/>
    <x v="0"/>
    <x v="0"/>
    <x v="1"/>
    <x v="0"/>
    <x v="1"/>
    <x v="7"/>
    <n v="12"/>
    <n v="12"/>
    <n v="0"/>
    <n v="11"/>
    <x v="0"/>
    <n v="0.25781476804562431"/>
  </r>
  <r>
    <x v="6"/>
    <x v="0"/>
    <x v="0"/>
    <x v="0"/>
    <x v="1"/>
    <x v="1"/>
    <x v="0"/>
    <x v="1"/>
    <x v="0"/>
    <x v="8"/>
    <n v="6"/>
    <n v="7"/>
    <n v="0"/>
    <m/>
    <x v="1"/>
    <n v="0.83988920784172461"/>
  </r>
  <r>
    <x v="15"/>
    <x v="1"/>
    <x v="0"/>
    <x v="0"/>
    <x v="2"/>
    <x v="0"/>
    <x v="0"/>
    <x v="0"/>
    <x v="0"/>
    <x v="8"/>
    <n v="2"/>
    <n v="2"/>
    <n v="1"/>
    <n v="2"/>
    <x v="0"/>
    <n v="0.18765650481069013"/>
  </r>
  <r>
    <x v="1"/>
    <x v="0"/>
    <x v="1"/>
    <x v="2"/>
    <x v="0"/>
    <x v="0"/>
    <x v="1"/>
    <x v="0"/>
    <x v="1"/>
    <x v="6"/>
    <n v="4"/>
    <n v="4"/>
    <n v="0"/>
    <n v="3"/>
    <x v="0"/>
    <n v="5.2375877247450145E-2"/>
  </r>
  <r>
    <x v="17"/>
    <x v="0"/>
    <x v="0"/>
    <x v="1"/>
    <x v="2"/>
    <x v="1"/>
    <x v="0"/>
    <x v="0"/>
    <x v="1"/>
    <x v="4"/>
    <n v="1"/>
    <n v="1"/>
    <n v="0"/>
    <n v="1"/>
    <x v="0"/>
    <n v="3.8861886041588509E-2"/>
  </r>
  <r>
    <x v="12"/>
    <x v="1"/>
    <x v="1"/>
    <x v="2"/>
    <x v="0"/>
    <x v="0"/>
    <x v="0"/>
    <x v="1"/>
    <x v="1"/>
    <x v="4"/>
    <n v="3"/>
    <n v="3"/>
    <n v="0"/>
    <m/>
    <x v="1"/>
    <n v="0.12202287007959514"/>
  </r>
  <r>
    <x v="3"/>
    <x v="0"/>
    <x v="1"/>
    <x v="2"/>
    <x v="1"/>
    <x v="0"/>
    <x v="0"/>
    <x v="1"/>
    <x v="1"/>
    <x v="4"/>
    <n v="7"/>
    <n v="8"/>
    <n v="0"/>
    <m/>
    <x v="1"/>
    <n v="0.31968453298545912"/>
  </r>
  <r>
    <x v="2"/>
    <x v="1"/>
    <x v="0"/>
    <x v="2"/>
    <x v="1"/>
    <x v="1"/>
    <x v="0"/>
    <x v="1"/>
    <x v="1"/>
    <x v="9"/>
    <n v="6"/>
    <n v="9"/>
    <n v="0"/>
    <m/>
    <x v="1"/>
    <n v="1.3622233000702715"/>
  </r>
  <r>
    <x v="10"/>
    <x v="0"/>
    <x v="0"/>
    <x v="0"/>
    <x v="0"/>
    <x v="1"/>
    <x v="1"/>
    <x v="0"/>
    <x v="1"/>
    <x v="7"/>
    <n v="3"/>
    <n v="3"/>
    <n v="0"/>
    <m/>
    <x v="1"/>
    <n v="8.3365451563734885E-2"/>
  </r>
  <r>
    <x v="4"/>
    <x v="0"/>
    <x v="0"/>
    <x v="0"/>
    <x v="3"/>
    <x v="1"/>
    <x v="1"/>
    <x v="1"/>
    <x v="2"/>
    <x v="9"/>
    <n v="1"/>
    <n v="1"/>
    <n v="0"/>
    <m/>
    <x v="1"/>
    <n v="0.16248563228241489"/>
  </r>
  <r>
    <x v="12"/>
    <x v="1"/>
    <x v="0"/>
    <x v="1"/>
    <x v="1"/>
    <x v="0"/>
    <x v="0"/>
    <x v="1"/>
    <x v="1"/>
    <x v="4"/>
    <n v="3"/>
    <n v="4"/>
    <n v="1"/>
    <m/>
    <x v="1"/>
    <n v="0.12183831901464526"/>
  </r>
  <r>
    <x v="22"/>
    <x v="1"/>
    <x v="1"/>
    <x v="0"/>
    <x v="2"/>
    <x v="0"/>
    <x v="1"/>
    <x v="1"/>
    <x v="2"/>
    <x v="1"/>
    <n v="2"/>
    <n v="3"/>
    <n v="1"/>
    <n v="2"/>
    <x v="0"/>
    <n v="0.21295076104061192"/>
  </r>
  <r>
    <x v="21"/>
    <x v="0"/>
    <x v="0"/>
    <x v="0"/>
    <x v="2"/>
    <x v="0"/>
    <x v="0"/>
    <x v="0"/>
    <x v="0"/>
    <x v="3"/>
    <n v="2"/>
    <n v="5"/>
    <n v="0"/>
    <m/>
    <x v="1"/>
    <n v="0.32047363852156324"/>
  </r>
  <r>
    <x v="4"/>
    <x v="0"/>
    <x v="1"/>
    <x v="2"/>
    <x v="1"/>
    <x v="0"/>
    <x v="0"/>
    <x v="1"/>
    <x v="1"/>
    <x v="4"/>
    <n v="7"/>
    <n v="8"/>
    <n v="0"/>
    <m/>
    <x v="1"/>
    <n v="0.31968453298545912"/>
  </r>
  <r>
    <x v="14"/>
    <x v="0"/>
    <x v="0"/>
    <x v="0"/>
    <x v="3"/>
    <x v="1"/>
    <x v="0"/>
    <x v="1"/>
    <x v="0"/>
    <x v="9"/>
    <n v="1"/>
    <n v="1"/>
    <n v="0"/>
    <m/>
    <x v="1"/>
    <n v="0.15440023172603565"/>
  </r>
  <r>
    <x v="3"/>
    <x v="0"/>
    <x v="0"/>
    <x v="0"/>
    <x v="3"/>
    <x v="1"/>
    <x v="1"/>
    <x v="1"/>
    <x v="0"/>
    <x v="1"/>
    <n v="1"/>
    <n v="1"/>
    <n v="0"/>
    <m/>
    <x v="1"/>
    <n v="7.951922355711924E-2"/>
  </r>
  <r>
    <x v="15"/>
    <x v="1"/>
    <x v="0"/>
    <x v="2"/>
    <x v="2"/>
    <x v="1"/>
    <x v="1"/>
    <x v="1"/>
    <x v="2"/>
    <x v="9"/>
    <n v="1"/>
    <n v="1"/>
    <n v="0"/>
    <n v="1"/>
    <x v="0"/>
    <n v="0.22170774237791363"/>
  </r>
  <r>
    <x v="20"/>
    <x v="1"/>
    <x v="0"/>
    <x v="0"/>
    <x v="1"/>
    <x v="1"/>
    <x v="0"/>
    <x v="1"/>
    <x v="0"/>
    <x v="9"/>
    <n v="8"/>
    <n v="11"/>
    <n v="1"/>
    <n v="8"/>
    <x v="0"/>
    <n v="1.8800113535418737"/>
  </r>
  <r>
    <x v="18"/>
    <x v="0"/>
    <x v="1"/>
    <x v="1"/>
    <x v="1"/>
    <x v="0"/>
    <x v="0"/>
    <x v="1"/>
    <x v="1"/>
    <x v="6"/>
    <n v="2"/>
    <n v="2"/>
    <n v="0"/>
    <m/>
    <x v="1"/>
    <n v="2.8451463017698971E-2"/>
  </r>
  <r>
    <x v="1"/>
    <x v="1"/>
    <x v="1"/>
    <x v="2"/>
    <x v="2"/>
    <x v="0"/>
    <x v="0"/>
    <x v="0"/>
    <x v="0"/>
    <x v="8"/>
    <n v="1"/>
    <n v="1"/>
    <n v="0"/>
    <n v="1"/>
    <x v="0"/>
    <n v="8.6424504948779526E-2"/>
  </r>
  <r>
    <x v="4"/>
    <x v="1"/>
    <x v="1"/>
    <x v="0"/>
    <x v="0"/>
    <x v="0"/>
    <x v="0"/>
    <x v="1"/>
    <x v="1"/>
    <x v="4"/>
    <n v="1"/>
    <n v="2"/>
    <n v="0"/>
    <m/>
    <x v="1"/>
    <n v="6.2446777028460111E-2"/>
  </r>
  <r>
    <x v="16"/>
    <x v="1"/>
    <x v="0"/>
    <x v="1"/>
    <x v="2"/>
    <x v="0"/>
    <x v="0"/>
    <x v="1"/>
    <x v="0"/>
    <x v="0"/>
    <n v="3"/>
    <n v="3"/>
    <n v="1"/>
    <m/>
    <x v="1"/>
    <n v="0.13528707026262599"/>
  </r>
  <r>
    <x v="5"/>
    <x v="0"/>
    <x v="0"/>
    <x v="0"/>
    <x v="0"/>
    <x v="0"/>
    <x v="0"/>
    <x v="1"/>
    <x v="2"/>
    <x v="8"/>
    <n v="3"/>
    <n v="3"/>
    <n v="0"/>
    <n v="3"/>
    <x v="0"/>
    <n v="0.28459904918602935"/>
  </r>
  <r>
    <x v="22"/>
    <x v="1"/>
    <x v="0"/>
    <x v="2"/>
    <x v="3"/>
    <x v="1"/>
    <x v="0"/>
    <x v="0"/>
    <x v="1"/>
    <x v="9"/>
    <n v="1"/>
    <n v="1"/>
    <n v="0"/>
    <n v="1"/>
    <x v="0"/>
    <n v="0.19280182250464545"/>
  </r>
  <r>
    <x v="17"/>
    <x v="0"/>
    <x v="1"/>
    <x v="2"/>
    <x v="0"/>
    <x v="0"/>
    <x v="0"/>
    <x v="0"/>
    <x v="0"/>
    <x v="4"/>
    <n v="3"/>
    <n v="3"/>
    <n v="0"/>
    <n v="3"/>
    <x v="0"/>
    <n v="0.12268485905128272"/>
  </r>
  <r>
    <x v="4"/>
    <x v="0"/>
    <x v="0"/>
    <x v="0"/>
    <x v="0"/>
    <x v="1"/>
    <x v="0"/>
    <x v="1"/>
    <x v="1"/>
    <x v="0"/>
    <n v="1"/>
    <n v="2"/>
    <n v="0"/>
    <m/>
    <x v="1"/>
    <n v="0.11394224284163047"/>
  </r>
  <r>
    <x v="10"/>
    <x v="1"/>
    <x v="0"/>
    <x v="1"/>
    <x v="0"/>
    <x v="1"/>
    <x v="1"/>
    <x v="0"/>
    <x v="2"/>
    <x v="3"/>
    <n v="1"/>
    <n v="1"/>
    <n v="0"/>
    <m/>
    <x v="1"/>
    <n v="6.3059224965250613E-2"/>
  </r>
  <r>
    <x v="0"/>
    <x v="0"/>
    <x v="1"/>
    <x v="1"/>
    <x v="0"/>
    <x v="0"/>
    <x v="1"/>
    <x v="1"/>
    <x v="1"/>
    <x v="6"/>
    <n v="2"/>
    <n v="2"/>
    <n v="0"/>
    <n v="1"/>
    <x v="0"/>
    <n v="9.1577110773735128E-3"/>
  </r>
  <r>
    <x v="16"/>
    <x v="1"/>
    <x v="1"/>
    <x v="0"/>
    <x v="0"/>
    <x v="0"/>
    <x v="1"/>
    <x v="1"/>
    <x v="1"/>
    <x v="5"/>
    <n v="6"/>
    <n v="9"/>
    <n v="1"/>
    <m/>
    <x v="1"/>
    <n v="0.13517637696167822"/>
  </r>
  <r>
    <x v="16"/>
    <x v="1"/>
    <x v="0"/>
    <x v="0"/>
    <x v="0"/>
    <x v="0"/>
    <x v="1"/>
    <x v="0"/>
    <x v="2"/>
    <x v="1"/>
    <n v="3"/>
    <n v="4"/>
    <n v="0"/>
    <m/>
    <x v="1"/>
    <n v="0.27897726641771564"/>
  </r>
  <r>
    <x v="3"/>
    <x v="0"/>
    <x v="1"/>
    <x v="1"/>
    <x v="2"/>
    <x v="1"/>
    <x v="1"/>
    <x v="1"/>
    <x v="1"/>
    <x v="6"/>
    <n v="2"/>
    <n v="2"/>
    <n v="0"/>
    <m/>
    <x v="1"/>
    <n v="2.6222996299441883E-2"/>
  </r>
  <r>
    <x v="1"/>
    <x v="0"/>
    <x v="1"/>
    <x v="0"/>
    <x v="0"/>
    <x v="0"/>
    <x v="1"/>
    <x v="1"/>
    <x v="0"/>
    <x v="5"/>
    <n v="1"/>
    <n v="1"/>
    <n v="0"/>
    <n v="1"/>
    <x v="0"/>
    <n v="1.5103271786810353E-2"/>
  </r>
  <r>
    <x v="12"/>
    <x v="0"/>
    <x v="0"/>
    <x v="2"/>
    <x v="2"/>
    <x v="0"/>
    <x v="0"/>
    <x v="1"/>
    <x v="1"/>
    <x v="0"/>
    <n v="1"/>
    <n v="1"/>
    <n v="0"/>
    <m/>
    <x v="1"/>
    <n v="5.5937898870790044E-2"/>
  </r>
  <r>
    <x v="8"/>
    <x v="0"/>
    <x v="0"/>
    <x v="0"/>
    <x v="2"/>
    <x v="1"/>
    <x v="1"/>
    <x v="1"/>
    <x v="1"/>
    <x v="4"/>
    <n v="4"/>
    <n v="5"/>
    <n v="0"/>
    <m/>
    <x v="1"/>
    <n v="0.20127337339092383"/>
  </r>
  <r>
    <x v="10"/>
    <x v="0"/>
    <x v="1"/>
    <x v="0"/>
    <x v="3"/>
    <x v="0"/>
    <x v="0"/>
    <x v="1"/>
    <x v="2"/>
    <x v="9"/>
    <n v="1"/>
    <n v="1"/>
    <n v="0"/>
    <m/>
    <x v="1"/>
    <n v="0.1264019958894318"/>
  </r>
  <r>
    <x v="12"/>
    <x v="0"/>
    <x v="0"/>
    <x v="0"/>
    <x v="2"/>
    <x v="1"/>
    <x v="0"/>
    <x v="1"/>
    <x v="0"/>
    <x v="8"/>
    <n v="2"/>
    <n v="2"/>
    <n v="0"/>
    <m/>
    <x v="1"/>
    <n v="0.23756451250297758"/>
  </r>
  <r>
    <x v="2"/>
    <x v="0"/>
    <x v="0"/>
    <x v="1"/>
    <x v="0"/>
    <x v="0"/>
    <x v="0"/>
    <x v="0"/>
    <x v="2"/>
    <x v="0"/>
    <n v="4"/>
    <n v="4"/>
    <n v="0"/>
    <m/>
    <x v="1"/>
    <n v="0.18248705857086062"/>
  </r>
  <r>
    <x v="14"/>
    <x v="0"/>
    <x v="0"/>
    <x v="1"/>
    <x v="0"/>
    <x v="0"/>
    <x v="0"/>
    <x v="1"/>
    <x v="1"/>
    <x v="6"/>
    <n v="3"/>
    <n v="4"/>
    <n v="0"/>
    <m/>
    <x v="1"/>
    <n v="5.5223800933331964E-2"/>
  </r>
  <r>
    <x v="11"/>
    <x v="0"/>
    <x v="1"/>
    <x v="2"/>
    <x v="0"/>
    <x v="0"/>
    <x v="0"/>
    <x v="1"/>
    <x v="1"/>
    <x v="7"/>
    <n v="3"/>
    <n v="3"/>
    <n v="0"/>
    <m/>
    <x v="1"/>
    <n v="8.1833526001017565E-2"/>
  </r>
  <r>
    <x v="1"/>
    <x v="1"/>
    <x v="0"/>
    <x v="2"/>
    <x v="0"/>
    <x v="0"/>
    <x v="1"/>
    <x v="1"/>
    <x v="1"/>
    <x v="7"/>
    <n v="5"/>
    <n v="7"/>
    <n v="0"/>
    <n v="5"/>
    <x v="0"/>
    <n v="0.19651152539249242"/>
  </r>
  <r>
    <x v="3"/>
    <x v="0"/>
    <x v="1"/>
    <x v="0"/>
    <x v="3"/>
    <x v="0"/>
    <x v="1"/>
    <x v="1"/>
    <x v="2"/>
    <x v="3"/>
    <n v="1"/>
    <n v="1"/>
    <n v="0"/>
    <m/>
    <x v="1"/>
    <n v="6.407072599452876E-2"/>
  </r>
  <r>
    <x v="8"/>
    <x v="0"/>
    <x v="1"/>
    <x v="1"/>
    <x v="0"/>
    <x v="0"/>
    <x v="0"/>
    <x v="0"/>
    <x v="1"/>
    <x v="6"/>
    <n v="3"/>
    <n v="4"/>
    <n v="0"/>
    <m/>
    <x v="1"/>
    <n v="3.8515340652904961E-2"/>
  </r>
  <r>
    <x v="19"/>
    <x v="0"/>
    <x v="1"/>
    <x v="0"/>
    <x v="2"/>
    <x v="1"/>
    <x v="1"/>
    <x v="1"/>
    <x v="1"/>
    <x v="7"/>
    <n v="1"/>
    <n v="2"/>
    <n v="0"/>
    <m/>
    <x v="1"/>
    <n v="5.6609868750299878E-2"/>
  </r>
  <r>
    <x v="20"/>
    <x v="0"/>
    <x v="1"/>
    <x v="2"/>
    <x v="0"/>
    <x v="0"/>
    <x v="1"/>
    <x v="1"/>
    <x v="1"/>
    <x v="6"/>
    <n v="1"/>
    <n v="1"/>
    <n v="0"/>
    <n v="1"/>
    <x v="0"/>
    <n v="1.3093969311862536E-2"/>
  </r>
  <r>
    <x v="10"/>
    <x v="1"/>
    <x v="0"/>
    <x v="0"/>
    <x v="3"/>
    <x v="0"/>
    <x v="1"/>
    <x v="1"/>
    <x v="2"/>
    <x v="9"/>
    <n v="2"/>
    <n v="2"/>
    <n v="0"/>
    <m/>
    <x v="1"/>
    <n v="0.25940336775922235"/>
  </r>
  <r>
    <x v="7"/>
    <x v="0"/>
    <x v="1"/>
    <x v="0"/>
    <x v="0"/>
    <x v="0"/>
    <x v="1"/>
    <x v="1"/>
    <x v="1"/>
    <x v="6"/>
    <n v="4"/>
    <n v="4"/>
    <n v="0"/>
    <m/>
    <x v="1"/>
    <n v="3.993924539493561E-2"/>
  </r>
  <r>
    <x v="1"/>
    <x v="0"/>
    <x v="0"/>
    <x v="0"/>
    <x v="2"/>
    <x v="0"/>
    <x v="0"/>
    <x v="1"/>
    <x v="1"/>
    <x v="2"/>
    <n v="3"/>
    <n v="3"/>
    <n v="0"/>
    <n v="2"/>
    <x v="0"/>
    <n v="0.12929924810722088"/>
  </r>
  <r>
    <x v="20"/>
    <x v="0"/>
    <x v="0"/>
    <x v="1"/>
    <x v="0"/>
    <x v="0"/>
    <x v="0"/>
    <x v="0"/>
    <x v="1"/>
    <x v="6"/>
    <n v="5"/>
    <n v="5"/>
    <n v="0"/>
    <n v="5"/>
    <x v="0"/>
    <n v="6.9029751166664946E-2"/>
  </r>
  <r>
    <x v="16"/>
    <x v="0"/>
    <x v="1"/>
    <x v="0"/>
    <x v="2"/>
    <x v="1"/>
    <x v="0"/>
    <x v="1"/>
    <x v="1"/>
    <x v="0"/>
    <n v="5"/>
    <n v="6"/>
    <n v="0"/>
    <m/>
    <x v="1"/>
    <n v="0.34798546906036548"/>
  </r>
  <r>
    <x v="9"/>
    <x v="1"/>
    <x v="1"/>
    <x v="2"/>
    <x v="1"/>
    <x v="1"/>
    <x v="0"/>
    <x v="1"/>
    <x v="1"/>
    <x v="8"/>
    <n v="2"/>
    <n v="2"/>
    <n v="0"/>
    <n v="1"/>
    <x v="0"/>
    <n v="0.22042889881036445"/>
  </r>
  <r>
    <x v="21"/>
    <x v="1"/>
    <x v="0"/>
    <x v="1"/>
    <x v="0"/>
    <x v="0"/>
    <x v="1"/>
    <x v="0"/>
    <x v="1"/>
    <x v="6"/>
    <n v="2"/>
    <n v="2"/>
    <n v="0"/>
    <m/>
    <x v="1"/>
    <n v="1.9829579578179591E-2"/>
  </r>
  <r>
    <x v="12"/>
    <x v="1"/>
    <x v="0"/>
    <x v="1"/>
    <x v="1"/>
    <x v="0"/>
    <x v="0"/>
    <x v="1"/>
    <x v="2"/>
    <x v="8"/>
    <n v="1"/>
    <n v="2"/>
    <n v="0"/>
    <m/>
    <x v="1"/>
    <n v="0.19376682762166147"/>
  </r>
  <r>
    <x v="10"/>
    <x v="0"/>
    <x v="0"/>
    <x v="2"/>
    <x v="0"/>
    <x v="0"/>
    <x v="0"/>
    <x v="0"/>
    <x v="0"/>
    <x v="0"/>
    <n v="3"/>
    <n v="3"/>
    <n v="0"/>
    <m/>
    <x v="1"/>
    <n v="0.17353056900629477"/>
  </r>
  <r>
    <x v="12"/>
    <x v="1"/>
    <x v="1"/>
    <x v="1"/>
    <x v="1"/>
    <x v="1"/>
    <x v="0"/>
    <x v="1"/>
    <x v="1"/>
    <x v="4"/>
    <n v="1"/>
    <n v="1"/>
    <n v="0"/>
    <m/>
    <x v="1"/>
    <n v="4.1176226521704343E-2"/>
  </r>
  <r>
    <x v="7"/>
    <x v="0"/>
    <x v="0"/>
    <x v="0"/>
    <x v="0"/>
    <x v="1"/>
    <x v="0"/>
    <x v="1"/>
    <x v="1"/>
    <x v="0"/>
    <n v="2"/>
    <n v="3"/>
    <n v="0"/>
    <m/>
    <x v="1"/>
    <n v="0.17091336426244572"/>
  </r>
  <r>
    <x v="0"/>
    <x v="1"/>
    <x v="0"/>
    <x v="1"/>
    <x v="0"/>
    <x v="0"/>
    <x v="1"/>
    <x v="1"/>
    <x v="1"/>
    <x v="6"/>
    <n v="4"/>
    <n v="4"/>
    <n v="0"/>
    <n v="4"/>
    <x v="0"/>
    <n v="3.9659159156359182E-2"/>
  </r>
  <r>
    <x v="5"/>
    <x v="1"/>
    <x v="1"/>
    <x v="2"/>
    <x v="0"/>
    <x v="0"/>
    <x v="0"/>
    <x v="1"/>
    <x v="2"/>
    <x v="9"/>
    <n v="1"/>
    <n v="2"/>
    <n v="0"/>
    <n v="1"/>
    <x v="0"/>
    <n v="0.25293584389992857"/>
  </r>
  <r>
    <x v="21"/>
    <x v="1"/>
    <x v="0"/>
    <x v="1"/>
    <x v="3"/>
    <x v="0"/>
    <x v="0"/>
    <x v="1"/>
    <x v="2"/>
    <x v="9"/>
    <n v="1"/>
    <n v="1"/>
    <n v="0"/>
    <m/>
    <x v="1"/>
    <n v="0.12561915426424905"/>
  </r>
  <r>
    <x v="12"/>
    <x v="0"/>
    <x v="1"/>
    <x v="1"/>
    <x v="0"/>
    <x v="0"/>
    <x v="0"/>
    <x v="0"/>
    <x v="0"/>
    <x v="5"/>
    <n v="1"/>
    <n v="1"/>
    <n v="0"/>
    <m/>
    <x v="1"/>
    <n v="1.4567498552386326E-2"/>
  </r>
  <r>
    <x v="7"/>
    <x v="0"/>
    <x v="0"/>
    <x v="2"/>
    <x v="1"/>
    <x v="1"/>
    <x v="0"/>
    <x v="1"/>
    <x v="2"/>
    <x v="9"/>
    <n v="2"/>
    <n v="5"/>
    <n v="0"/>
    <m/>
    <x v="1"/>
    <n v="1.4357160912539346"/>
  </r>
  <r>
    <x v="8"/>
    <x v="1"/>
    <x v="0"/>
    <x v="1"/>
    <x v="2"/>
    <x v="0"/>
    <x v="1"/>
    <x v="1"/>
    <x v="2"/>
    <x v="0"/>
    <n v="1"/>
    <n v="2"/>
    <n v="0"/>
    <m/>
    <x v="1"/>
    <n v="9.556124525383998E-2"/>
  </r>
  <r>
    <x v="21"/>
    <x v="0"/>
    <x v="0"/>
    <x v="0"/>
    <x v="2"/>
    <x v="0"/>
    <x v="0"/>
    <x v="1"/>
    <x v="1"/>
    <x v="2"/>
    <n v="3"/>
    <n v="6"/>
    <n v="0"/>
    <m/>
    <x v="1"/>
    <n v="0.25859849621444175"/>
  </r>
  <r>
    <x v="14"/>
    <x v="1"/>
    <x v="1"/>
    <x v="0"/>
    <x v="2"/>
    <x v="0"/>
    <x v="1"/>
    <x v="1"/>
    <x v="2"/>
    <x v="1"/>
    <n v="3"/>
    <n v="3"/>
    <n v="0"/>
    <m/>
    <x v="1"/>
    <n v="0.21295076104061192"/>
  </r>
  <r>
    <x v="3"/>
    <x v="0"/>
    <x v="0"/>
    <x v="2"/>
    <x v="0"/>
    <x v="0"/>
    <x v="0"/>
    <x v="1"/>
    <x v="1"/>
    <x v="4"/>
    <n v="6"/>
    <n v="8"/>
    <n v="0"/>
    <m/>
    <x v="1"/>
    <n v="0.31049028178639992"/>
  </r>
  <r>
    <x v="22"/>
    <x v="1"/>
    <x v="0"/>
    <x v="0"/>
    <x v="1"/>
    <x v="1"/>
    <x v="0"/>
    <x v="1"/>
    <x v="0"/>
    <x v="9"/>
    <n v="1"/>
    <n v="2"/>
    <n v="0"/>
    <n v="1"/>
    <x v="0"/>
    <n v="0.34182024609852252"/>
  </r>
  <r>
    <x v="14"/>
    <x v="0"/>
    <x v="1"/>
    <x v="0"/>
    <x v="2"/>
    <x v="0"/>
    <x v="0"/>
    <x v="0"/>
    <x v="1"/>
    <x v="7"/>
    <n v="1"/>
    <n v="1"/>
    <n v="0"/>
    <m/>
    <x v="1"/>
    <n v="3.0332130839860555E-2"/>
  </r>
  <r>
    <x v="10"/>
    <x v="0"/>
    <x v="0"/>
    <x v="1"/>
    <x v="0"/>
    <x v="0"/>
    <x v="0"/>
    <x v="1"/>
    <x v="1"/>
    <x v="6"/>
    <n v="2"/>
    <n v="3"/>
    <n v="0"/>
    <m/>
    <x v="1"/>
    <n v="4.1417850699998968E-2"/>
  </r>
  <r>
    <x v="0"/>
    <x v="1"/>
    <x v="0"/>
    <x v="2"/>
    <x v="0"/>
    <x v="0"/>
    <x v="0"/>
    <x v="0"/>
    <x v="0"/>
    <x v="8"/>
    <n v="5"/>
    <n v="6"/>
    <n v="0"/>
    <n v="5"/>
    <x v="0"/>
    <n v="0.5096418357291469"/>
  </r>
  <r>
    <x v="1"/>
    <x v="0"/>
    <x v="1"/>
    <x v="0"/>
    <x v="1"/>
    <x v="1"/>
    <x v="0"/>
    <x v="1"/>
    <x v="2"/>
    <x v="9"/>
    <n v="7"/>
    <n v="10"/>
    <n v="2"/>
    <n v="6"/>
    <x v="0"/>
    <n v="1.7536148760587689"/>
  </r>
  <r>
    <x v="10"/>
    <x v="0"/>
    <x v="0"/>
    <x v="2"/>
    <x v="0"/>
    <x v="0"/>
    <x v="0"/>
    <x v="1"/>
    <x v="2"/>
    <x v="8"/>
    <n v="2"/>
    <n v="3"/>
    <n v="0"/>
    <m/>
    <x v="1"/>
    <n v="0.36351496861088656"/>
  </r>
  <r>
    <x v="16"/>
    <x v="1"/>
    <x v="0"/>
    <x v="0"/>
    <x v="2"/>
    <x v="1"/>
    <x v="1"/>
    <x v="1"/>
    <x v="1"/>
    <x v="3"/>
    <n v="2"/>
    <n v="2"/>
    <n v="0"/>
    <m/>
    <x v="1"/>
    <n v="0.11926696437941101"/>
  </r>
  <r>
    <x v="22"/>
    <x v="0"/>
    <x v="0"/>
    <x v="2"/>
    <x v="0"/>
    <x v="0"/>
    <x v="0"/>
    <x v="0"/>
    <x v="0"/>
    <x v="0"/>
    <n v="2"/>
    <n v="3"/>
    <n v="0"/>
    <n v="1"/>
    <x v="0"/>
    <n v="0.17353056900629477"/>
  </r>
  <r>
    <x v="0"/>
    <x v="0"/>
    <x v="0"/>
    <x v="0"/>
    <x v="2"/>
    <x v="0"/>
    <x v="1"/>
    <x v="1"/>
    <x v="2"/>
    <x v="1"/>
    <n v="4"/>
    <n v="4"/>
    <n v="0"/>
    <n v="4"/>
    <x v="0"/>
    <n v="0.27132193573697649"/>
  </r>
  <r>
    <x v="0"/>
    <x v="1"/>
    <x v="1"/>
    <x v="2"/>
    <x v="0"/>
    <x v="0"/>
    <x v="0"/>
    <x v="1"/>
    <x v="2"/>
    <x v="9"/>
    <n v="1"/>
    <n v="4"/>
    <n v="0"/>
    <n v="1"/>
    <x v="0"/>
    <n v="0.50587168779985714"/>
  </r>
  <r>
    <x v="1"/>
    <x v="0"/>
    <x v="0"/>
    <x v="0"/>
    <x v="3"/>
    <x v="0"/>
    <x v="0"/>
    <x v="1"/>
    <x v="0"/>
    <x v="8"/>
    <n v="2"/>
    <n v="2"/>
    <n v="0"/>
    <n v="2"/>
    <x v="0"/>
    <n v="0.16978784771798305"/>
  </r>
  <r>
    <x v="22"/>
    <x v="0"/>
    <x v="1"/>
    <x v="0"/>
    <x v="2"/>
    <x v="0"/>
    <x v="0"/>
    <x v="1"/>
    <x v="1"/>
    <x v="7"/>
    <n v="1"/>
    <n v="2"/>
    <n v="0"/>
    <n v="1"/>
    <x v="0"/>
    <n v="6.066426167972111E-2"/>
  </r>
  <r>
    <x v="7"/>
    <x v="0"/>
    <x v="0"/>
    <x v="0"/>
    <x v="0"/>
    <x v="1"/>
    <x v="0"/>
    <x v="0"/>
    <x v="0"/>
    <x v="1"/>
    <n v="1"/>
    <n v="2"/>
    <n v="0"/>
    <m/>
    <x v="1"/>
    <n v="0.16825824609222664"/>
  </r>
  <r>
    <x v="14"/>
    <x v="0"/>
    <x v="1"/>
    <x v="1"/>
    <x v="0"/>
    <x v="0"/>
    <x v="1"/>
    <x v="1"/>
    <x v="0"/>
    <x v="6"/>
    <n v="3"/>
    <n v="4"/>
    <n v="0"/>
    <m/>
    <x v="1"/>
    <n v="2.7782126099537091E-2"/>
  </r>
  <r>
    <x v="21"/>
    <x v="0"/>
    <x v="1"/>
    <x v="2"/>
    <x v="0"/>
    <x v="0"/>
    <x v="0"/>
    <x v="0"/>
    <x v="2"/>
    <x v="8"/>
    <n v="1"/>
    <n v="1"/>
    <n v="0"/>
    <m/>
    <x v="1"/>
    <n v="8.7388588178664475E-2"/>
  </r>
  <r>
    <x v="21"/>
    <x v="0"/>
    <x v="0"/>
    <x v="1"/>
    <x v="1"/>
    <x v="1"/>
    <x v="0"/>
    <x v="1"/>
    <x v="0"/>
    <x v="0"/>
    <n v="2"/>
    <n v="4"/>
    <n v="0"/>
    <m/>
    <x v="1"/>
    <n v="0.2341776178765175"/>
  </r>
  <r>
    <x v="1"/>
    <x v="1"/>
    <x v="0"/>
    <x v="2"/>
    <x v="1"/>
    <x v="1"/>
    <x v="0"/>
    <x v="1"/>
    <x v="0"/>
    <x v="9"/>
    <n v="1"/>
    <n v="3"/>
    <n v="0"/>
    <n v="1"/>
    <x v="0"/>
    <n v="0.63999503015723158"/>
  </r>
  <r>
    <x v="5"/>
    <x v="0"/>
    <x v="0"/>
    <x v="2"/>
    <x v="2"/>
    <x v="0"/>
    <x v="0"/>
    <x v="0"/>
    <x v="2"/>
    <x v="9"/>
    <n v="1"/>
    <n v="1"/>
    <n v="0"/>
    <n v="1"/>
    <x v="0"/>
    <n v="0.1682793086942907"/>
  </r>
  <r>
    <x v="8"/>
    <x v="0"/>
    <x v="1"/>
    <x v="1"/>
    <x v="1"/>
    <x v="0"/>
    <x v="0"/>
    <x v="1"/>
    <x v="2"/>
    <x v="0"/>
    <n v="1"/>
    <n v="2"/>
    <n v="0"/>
    <m/>
    <x v="1"/>
    <n v="9.3925729422400503E-2"/>
  </r>
  <r>
    <x v="19"/>
    <x v="0"/>
    <x v="1"/>
    <x v="0"/>
    <x v="2"/>
    <x v="0"/>
    <x v="1"/>
    <x v="1"/>
    <x v="2"/>
    <x v="0"/>
    <n v="1"/>
    <n v="1"/>
    <n v="0"/>
    <m/>
    <x v="1"/>
    <n v="4.8105072216363585E-2"/>
  </r>
  <r>
    <x v="17"/>
    <x v="0"/>
    <x v="0"/>
    <x v="1"/>
    <x v="0"/>
    <x v="0"/>
    <x v="0"/>
    <x v="0"/>
    <x v="0"/>
    <x v="5"/>
    <n v="2"/>
    <n v="2"/>
    <n v="0"/>
    <n v="2"/>
    <x v="0"/>
    <n v="4.168396685840825E-2"/>
  </r>
  <r>
    <x v="14"/>
    <x v="1"/>
    <x v="0"/>
    <x v="0"/>
    <x v="3"/>
    <x v="1"/>
    <x v="0"/>
    <x v="1"/>
    <x v="1"/>
    <x v="9"/>
    <n v="1"/>
    <n v="2"/>
    <n v="0"/>
    <m/>
    <x v="1"/>
    <n v="0.30733047533081592"/>
  </r>
  <r>
    <x v="16"/>
    <x v="0"/>
    <x v="0"/>
    <x v="0"/>
    <x v="3"/>
    <x v="1"/>
    <x v="0"/>
    <x v="0"/>
    <x v="2"/>
    <x v="9"/>
    <n v="1"/>
    <n v="1"/>
    <n v="0"/>
    <m/>
    <x v="1"/>
    <n v="0.29081078354285356"/>
  </r>
  <r>
    <x v="0"/>
    <x v="1"/>
    <x v="0"/>
    <x v="0"/>
    <x v="0"/>
    <x v="1"/>
    <x v="1"/>
    <x v="1"/>
    <x v="1"/>
    <x v="4"/>
    <n v="1"/>
    <n v="1"/>
    <n v="0"/>
    <n v="1"/>
    <x v="0"/>
    <n v="4.1425033735772165E-2"/>
  </r>
  <r>
    <x v="15"/>
    <x v="0"/>
    <x v="1"/>
    <x v="1"/>
    <x v="0"/>
    <x v="1"/>
    <x v="0"/>
    <x v="0"/>
    <x v="2"/>
    <x v="3"/>
    <n v="1"/>
    <n v="1"/>
    <n v="0"/>
    <n v="1"/>
    <x v="0"/>
    <n v="6.1335473442694889E-2"/>
  </r>
  <r>
    <x v="3"/>
    <x v="0"/>
    <x v="0"/>
    <x v="0"/>
    <x v="3"/>
    <x v="1"/>
    <x v="0"/>
    <x v="1"/>
    <x v="0"/>
    <x v="9"/>
    <n v="4"/>
    <n v="4"/>
    <n v="0"/>
    <m/>
    <x v="1"/>
    <n v="0.61760092690414259"/>
  </r>
  <r>
    <x v="8"/>
    <x v="1"/>
    <x v="0"/>
    <x v="1"/>
    <x v="0"/>
    <x v="0"/>
    <x v="0"/>
    <x v="1"/>
    <x v="1"/>
    <x v="5"/>
    <n v="4"/>
    <n v="4"/>
    <n v="0"/>
    <m/>
    <x v="1"/>
    <n v="8.2908739469652437E-2"/>
  </r>
  <r>
    <x v="14"/>
    <x v="0"/>
    <x v="1"/>
    <x v="0"/>
    <x v="2"/>
    <x v="0"/>
    <x v="0"/>
    <x v="0"/>
    <x v="0"/>
    <x v="0"/>
    <n v="3"/>
    <n v="3"/>
    <n v="0"/>
    <m/>
    <x v="1"/>
    <n v="0.13620833165203847"/>
  </r>
  <r>
    <x v="0"/>
    <x v="1"/>
    <x v="1"/>
    <x v="2"/>
    <x v="2"/>
    <x v="0"/>
    <x v="0"/>
    <x v="1"/>
    <x v="2"/>
    <x v="9"/>
    <n v="1"/>
    <n v="3"/>
    <n v="1"/>
    <n v="1"/>
    <x v="0"/>
    <n v="0.52567217385903053"/>
  </r>
  <r>
    <x v="21"/>
    <x v="0"/>
    <x v="0"/>
    <x v="0"/>
    <x v="3"/>
    <x v="0"/>
    <x v="0"/>
    <x v="1"/>
    <x v="0"/>
    <x v="8"/>
    <n v="3"/>
    <n v="3"/>
    <n v="0"/>
    <m/>
    <x v="1"/>
    <n v="0.25468177157697458"/>
  </r>
  <r>
    <x v="12"/>
    <x v="0"/>
    <x v="0"/>
    <x v="2"/>
    <x v="2"/>
    <x v="1"/>
    <x v="1"/>
    <x v="1"/>
    <x v="1"/>
    <x v="0"/>
    <n v="1"/>
    <n v="1"/>
    <n v="0"/>
    <m/>
    <x v="1"/>
    <n v="5.2291671314483069E-2"/>
  </r>
  <r>
    <x v="9"/>
    <x v="0"/>
    <x v="0"/>
    <x v="2"/>
    <x v="2"/>
    <x v="0"/>
    <x v="1"/>
    <x v="1"/>
    <x v="0"/>
    <x v="4"/>
    <n v="1"/>
    <n v="1"/>
    <n v="0"/>
    <n v="1"/>
    <x v="0"/>
    <n v="4.088219372579513E-2"/>
  </r>
  <r>
    <x v="15"/>
    <x v="1"/>
    <x v="1"/>
    <x v="2"/>
    <x v="0"/>
    <x v="0"/>
    <x v="1"/>
    <x v="0"/>
    <x v="1"/>
    <x v="5"/>
    <n v="1"/>
    <n v="1"/>
    <n v="0"/>
    <n v="1"/>
    <x v="0"/>
    <n v="1.9665389303685415E-2"/>
  </r>
  <r>
    <x v="4"/>
    <x v="1"/>
    <x v="0"/>
    <x v="0"/>
    <x v="2"/>
    <x v="0"/>
    <x v="1"/>
    <x v="1"/>
    <x v="1"/>
    <x v="4"/>
    <n v="2"/>
    <n v="3"/>
    <n v="0"/>
    <m/>
    <x v="1"/>
    <n v="9.3640645687039739E-2"/>
  </r>
  <r>
    <x v="19"/>
    <x v="1"/>
    <x v="0"/>
    <x v="2"/>
    <x v="2"/>
    <x v="0"/>
    <x v="0"/>
    <x v="1"/>
    <x v="2"/>
    <x v="9"/>
    <n v="3"/>
    <n v="4"/>
    <n v="0"/>
    <m/>
    <x v="1"/>
    <n v="0.93698895724395781"/>
  </r>
  <r>
    <x v="3"/>
    <x v="1"/>
    <x v="0"/>
    <x v="0"/>
    <x v="2"/>
    <x v="0"/>
    <x v="0"/>
    <x v="0"/>
    <x v="2"/>
    <x v="9"/>
    <n v="4"/>
    <n v="6"/>
    <n v="0"/>
    <m/>
    <x v="1"/>
    <n v="1.1319842306097818"/>
  </r>
  <r>
    <x v="7"/>
    <x v="0"/>
    <x v="0"/>
    <x v="2"/>
    <x v="0"/>
    <x v="1"/>
    <x v="0"/>
    <x v="1"/>
    <x v="1"/>
    <x v="1"/>
    <n v="1"/>
    <n v="1"/>
    <n v="0"/>
    <m/>
    <x v="1"/>
    <n v="7.3623241710018827E-2"/>
  </r>
  <r>
    <x v="19"/>
    <x v="0"/>
    <x v="0"/>
    <x v="0"/>
    <x v="2"/>
    <x v="0"/>
    <x v="0"/>
    <x v="0"/>
    <x v="1"/>
    <x v="2"/>
    <n v="5"/>
    <n v="6"/>
    <n v="0"/>
    <m/>
    <x v="1"/>
    <n v="0.25859849621444175"/>
  </r>
  <r>
    <x v="8"/>
    <x v="1"/>
    <x v="1"/>
    <x v="0"/>
    <x v="0"/>
    <x v="0"/>
    <x v="0"/>
    <x v="1"/>
    <x v="1"/>
    <x v="4"/>
    <n v="9"/>
    <n v="10"/>
    <n v="0"/>
    <m/>
    <x v="1"/>
    <n v="0.31223388514230055"/>
  </r>
  <r>
    <x v="9"/>
    <x v="0"/>
    <x v="1"/>
    <x v="1"/>
    <x v="2"/>
    <x v="0"/>
    <x v="0"/>
    <x v="0"/>
    <x v="1"/>
    <x v="6"/>
    <n v="3"/>
    <n v="3"/>
    <n v="0"/>
    <n v="3"/>
    <x v="0"/>
    <n v="4.2198883264988253E-2"/>
  </r>
  <r>
    <x v="20"/>
    <x v="1"/>
    <x v="0"/>
    <x v="0"/>
    <x v="2"/>
    <x v="0"/>
    <x v="0"/>
    <x v="0"/>
    <x v="0"/>
    <x v="8"/>
    <n v="1"/>
    <n v="3"/>
    <n v="1"/>
    <n v="1"/>
    <x v="0"/>
    <n v="0.28148475721603516"/>
  </r>
  <r>
    <x v="3"/>
    <x v="1"/>
    <x v="0"/>
    <x v="2"/>
    <x v="0"/>
    <x v="0"/>
    <x v="1"/>
    <x v="1"/>
    <x v="0"/>
    <x v="2"/>
    <n v="1"/>
    <n v="1"/>
    <n v="0"/>
    <m/>
    <x v="1"/>
    <n v="4.2069997453546046E-2"/>
  </r>
  <r>
    <x v="20"/>
    <x v="0"/>
    <x v="1"/>
    <x v="1"/>
    <x v="0"/>
    <x v="1"/>
    <x v="1"/>
    <x v="0"/>
    <x v="1"/>
    <x v="6"/>
    <n v="1"/>
    <n v="1"/>
    <n v="0"/>
    <n v="1"/>
    <x v="0"/>
    <n v="8.972504978647905E-3"/>
  </r>
  <r>
    <x v="15"/>
    <x v="0"/>
    <x v="0"/>
    <x v="2"/>
    <x v="2"/>
    <x v="1"/>
    <x v="1"/>
    <x v="1"/>
    <x v="1"/>
    <x v="0"/>
    <n v="1"/>
    <n v="1"/>
    <n v="0"/>
    <n v="1"/>
    <x v="0"/>
    <n v="5.2291671314483069E-2"/>
  </r>
  <r>
    <x v="15"/>
    <x v="1"/>
    <x v="1"/>
    <x v="1"/>
    <x v="0"/>
    <x v="0"/>
    <x v="0"/>
    <x v="0"/>
    <x v="0"/>
    <x v="7"/>
    <n v="1"/>
    <n v="1"/>
    <n v="0"/>
    <n v="1"/>
    <x v="0"/>
    <n v="2.1862051188270244E-2"/>
  </r>
  <r>
    <x v="5"/>
    <x v="0"/>
    <x v="1"/>
    <x v="0"/>
    <x v="3"/>
    <x v="1"/>
    <x v="0"/>
    <x v="1"/>
    <x v="0"/>
    <x v="8"/>
    <n v="1"/>
    <n v="1"/>
    <n v="0"/>
    <n v="1"/>
    <x v="0"/>
    <n v="0.11253926602183867"/>
  </r>
  <r>
    <x v="11"/>
    <x v="0"/>
    <x v="0"/>
    <x v="1"/>
    <x v="2"/>
    <x v="0"/>
    <x v="1"/>
    <x v="1"/>
    <x v="0"/>
    <x v="5"/>
    <n v="1"/>
    <n v="1"/>
    <n v="0"/>
    <m/>
    <x v="1"/>
    <n v="1.4562828746708278E-2"/>
  </r>
  <r>
    <x v="7"/>
    <x v="0"/>
    <x v="0"/>
    <x v="0"/>
    <x v="1"/>
    <x v="1"/>
    <x v="0"/>
    <x v="1"/>
    <x v="2"/>
    <x v="9"/>
    <n v="5"/>
    <n v="10"/>
    <n v="0"/>
    <m/>
    <x v="1"/>
    <n v="2.3441780411071833"/>
  </r>
  <r>
    <x v="15"/>
    <x v="1"/>
    <x v="0"/>
    <x v="1"/>
    <x v="1"/>
    <x v="0"/>
    <x v="0"/>
    <x v="1"/>
    <x v="2"/>
    <x v="8"/>
    <n v="2"/>
    <n v="2"/>
    <n v="0"/>
    <n v="2"/>
    <x v="0"/>
    <n v="0.19376682762166147"/>
  </r>
  <r>
    <x v="2"/>
    <x v="0"/>
    <x v="0"/>
    <x v="0"/>
    <x v="2"/>
    <x v="1"/>
    <x v="1"/>
    <x v="1"/>
    <x v="1"/>
    <x v="4"/>
    <n v="8"/>
    <n v="8"/>
    <n v="0"/>
    <m/>
    <x v="1"/>
    <n v="0.32203739742547816"/>
  </r>
  <r>
    <x v="20"/>
    <x v="1"/>
    <x v="1"/>
    <x v="1"/>
    <x v="0"/>
    <x v="0"/>
    <x v="0"/>
    <x v="0"/>
    <x v="1"/>
    <x v="6"/>
    <n v="3"/>
    <n v="3"/>
    <n v="0"/>
    <n v="3"/>
    <x v="0"/>
    <n v="4.3460246425157632E-2"/>
  </r>
  <r>
    <x v="16"/>
    <x v="0"/>
    <x v="0"/>
    <x v="0"/>
    <x v="0"/>
    <x v="1"/>
    <x v="0"/>
    <x v="0"/>
    <x v="0"/>
    <x v="1"/>
    <n v="1"/>
    <n v="2"/>
    <n v="0"/>
    <m/>
    <x v="1"/>
    <n v="0.16825824609222664"/>
  </r>
  <r>
    <x v="3"/>
    <x v="0"/>
    <x v="0"/>
    <x v="1"/>
    <x v="0"/>
    <x v="0"/>
    <x v="0"/>
    <x v="0"/>
    <x v="0"/>
    <x v="5"/>
    <n v="2"/>
    <n v="2"/>
    <n v="0"/>
    <m/>
    <x v="1"/>
    <n v="4.168396685840825E-2"/>
  </r>
  <r>
    <x v="10"/>
    <x v="1"/>
    <x v="0"/>
    <x v="2"/>
    <x v="2"/>
    <x v="1"/>
    <x v="0"/>
    <x v="1"/>
    <x v="1"/>
    <x v="9"/>
    <n v="1"/>
    <n v="3"/>
    <n v="0"/>
    <m/>
    <x v="1"/>
    <n v="0.44968643551146698"/>
  </r>
  <r>
    <x v="7"/>
    <x v="1"/>
    <x v="0"/>
    <x v="2"/>
    <x v="0"/>
    <x v="0"/>
    <x v="1"/>
    <x v="1"/>
    <x v="1"/>
    <x v="7"/>
    <n v="1"/>
    <n v="1"/>
    <n v="0"/>
    <m/>
    <x v="1"/>
    <n v="2.8073075056070349E-2"/>
  </r>
  <r>
    <x v="10"/>
    <x v="0"/>
    <x v="0"/>
    <x v="1"/>
    <x v="0"/>
    <x v="1"/>
    <x v="0"/>
    <x v="1"/>
    <x v="1"/>
    <x v="7"/>
    <n v="1"/>
    <n v="1"/>
    <n v="0"/>
    <m/>
    <x v="1"/>
    <n v="2.6814967241158918E-2"/>
  </r>
  <r>
    <x v="2"/>
    <x v="1"/>
    <x v="0"/>
    <x v="2"/>
    <x v="2"/>
    <x v="0"/>
    <x v="0"/>
    <x v="0"/>
    <x v="1"/>
    <x v="1"/>
    <n v="2"/>
    <n v="3"/>
    <n v="0"/>
    <m/>
    <x v="1"/>
    <n v="0.24665968708787422"/>
  </r>
  <r>
    <x v="9"/>
    <x v="1"/>
    <x v="0"/>
    <x v="0"/>
    <x v="0"/>
    <x v="0"/>
    <x v="1"/>
    <x v="1"/>
    <x v="0"/>
    <x v="4"/>
    <n v="1"/>
    <n v="1"/>
    <n v="0"/>
    <n v="1"/>
    <x v="0"/>
    <n v="3.2305716383655897E-2"/>
  </r>
  <r>
    <x v="16"/>
    <x v="0"/>
    <x v="1"/>
    <x v="2"/>
    <x v="0"/>
    <x v="0"/>
    <x v="0"/>
    <x v="1"/>
    <x v="1"/>
    <x v="7"/>
    <n v="2"/>
    <n v="3"/>
    <n v="0"/>
    <m/>
    <x v="1"/>
    <n v="8.1833526001017565E-2"/>
  </r>
  <r>
    <x v="3"/>
    <x v="0"/>
    <x v="0"/>
    <x v="0"/>
    <x v="0"/>
    <x v="0"/>
    <x v="1"/>
    <x v="1"/>
    <x v="0"/>
    <x v="7"/>
    <n v="5"/>
    <n v="7"/>
    <n v="0"/>
    <m/>
    <x v="1"/>
    <n v="0.15122425365822043"/>
  </r>
  <r>
    <x v="4"/>
    <x v="0"/>
    <x v="0"/>
    <x v="0"/>
    <x v="2"/>
    <x v="0"/>
    <x v="0"/>
    <x v="0"/>
    <x v="1"/>
    <x v="2"/>
    <n v="4"/>
    <n v="5"/>
    <n v="0"/>
    <m/>
    <x v="1"/>
    <n v="0.21549874684536813"/>
  </r>
  <r>
    <x v="8"/>
    <x v="0"/>
    <x v="1"/>
    <x v="0"/>
    <x v="3"/>
    <x v="1"/>
    <x v="0"/>
    <x v="1"/>
    <x v="1"/>
    <x v="1"/>
    <n v="1"/>
    <n v="1"/>
    <n v="0"/>
    <m/>
    <x v="1"/>
    <n v="7.6980948887072007E-2"/>
  </r>
  <r>
    <x v="11"/>
    <x v="1"/>
    <x v="0"/>
    <x v="0"/>
    <x v="0"/>
    <x v="1"/>
    <x v="0"/>
    <x v="0"/>
    <x v="1"/>
    <x v="1"/>
    <n v="3"/>
    <n v="4"/>
    <n v="0"/>
    <m/>
    <x v="1"/>
    <n v="0.33478212974472921"/>
  </r>
  <r>
    <x v="14"/>
    <x v="1"/>
    <x v="0"/>
    <x v="0"/>
    <x v="1"/>
    <x v="0"/>
    <x v="0"/>
    <x v="1"/>
    <x v="2"/>
    <x v="9"/>
    <n v="13"/>
    <n v="33"/>
    <n v="0"/>
    <m/>
    <x v="1"/>
    <n v="6.2838687960531576"/>
  </r>
  <r>
    <x v="9"/>
    <x v="0"/>
    <x v="0"/>
    <x v="2"/>
    <x v="0"/>
    <x v="0"/>
    <x v="0"/>
    <x v="1"/>
    <x v="1"/>
    <x v="4"/>
    <n v="8"/>
    <n v="8"/>
    <n v="1"/>
    <n v="8"/>
    <x v="0"/>
    <n v="0.31049028178639992"/>
  </r>
  <r>
    <x v="3"/>
    <x v="1"/>
    <x v="0"/>
    <x v="1"/>
    <x v="2"/>
    <x v="0"/>
    <x v="0"/>
    <x v="1"/>
    <x v="1"/>
    <x v="7"/>
    <n v="1"/>
    <n v="1"/>
    <n v="0"/>
    <m/>
    <x v="1"/>
    <n v="3.012375921220177E-2"/>
  </r>
  <r>
    <x v="15"/>
    <x v="0"/>
    <x v="0"/>
    <x v="0"/>
    <x v="2"/>
    <x v="1"/>
    <x v="0"/>
    <x v="1"/>
    <x v="0"/>
    <x v="8"/>
    <n v="1"/>
    <n v="1"/>
    <n v="0"/>
    <n v="1"/>
    <x v="0"/>
    <n v="0.11878225625148879"/>
  </r>
  <r>
    <x v="14"/>
    <x v="0"/>
    <x v="0"/>
    <x v="1"/>
    <x v="1"/>
    <x v="1"/>
    <x v="0"/>
    <x v="1"/>
    <x v="2"/>
    <x v="8"/>
    <n v="1"/>
    <n v="1"/>
    <n v="0"/>
    <m/>
    <x v="1"/>
    <n v="0.12254007280701143"/>
  </r>
  <r>
    <x v="4"/>
    <x v="0"/>
    <x v="0"/>
    <x v="0"/>
    <x v="2"/>
    <x v="0"/>
    <x v="1"/>
    <x v="1"/>
    <x v="2"/>
    <x v="1"/>
    <n v="3"/>
    <n v="7"/>
    <n v="0"/>
    <m/>
    <x v="1"/>
    <n v="0.47481338753970892"/>
  </r>
  <r>
    <x v="13"/>
    <x v="0"/>
    <x v="0"/>
    <x v="1"/>
    <x v="1"/>
    <x v="1"/>
    <x v="0"/>
    <x v="1"/>
    <x v="1"/>
    <x v="4"/>
    <n v="1"/>
    <n v="1"/>
    <n v="0"/>
    <m/>
    <x v="1"/>
    <n v="3.9291173128856008E-2"/>
  </r>
  <r>
    <x v="20"/>
    <x v="0"/>
    <x v="1"/>
    <x v="0"/>
    <x v="2"/>
    <x v="0"/>
    <x v="0"/>
    <x v="0"/>
    <x v="2"/>
    <x v="8"/>
    <n v="1"/>
    <n v="1"/>
    <n v="0"/>
    <n v="1"/>
    <x v="0"/>
    <n v="9.650569894562866E-2"/>
  </r>
  <r>
    <x v="6"/>
    <x v="1"/>
    <x v="0"/>
    <x v="1"/>
    <x v="0"/>
    <x v="0"/>
    <x v="1"/>
    <x v="1"/>
    <x v="1"/>
    <x v="6"/>
    <n v="2"/>
    <n v="2"/>
    <n v="0"/>
    <m/>
    <x v="1"/>
    <n v="1.9829579578179591E-2"/>
  </r>
  <r>
    <x v="4"/>
    <x v="1"/>
    <x v="1"/>
    <x v="1"/>
    <x v="2"/>
    <x v="1"/>
    <x v="0"/>
    <x v="1"/>
    <x v="1"/>
    <x v="4"/>
    <n v="1"/>
    <n v="1"/>
    <n v="0"/>
    <m/>
    <x v="1"/>
    <n v="4.0727216848803351E-2"/>
  </r>
  <r>
    <x v="10"/>
    <x v="0"/>
    <x v="0"/>
    <x v="2"/>
    <x v="0"/>
    <x v="0"/>
    <x v="0"/>
    <x v="1"/>
    <x v="0"/>
    <x v="0"/>
    <n v="3"/>
    <n v="5"/>
    <n v="0"/>
    <m/>
    <x v="1"/>
    <n v="0.28921761501049131"/>
  </r>
  <r>
    <x v="1"/>
    <x v="1"/>
    <x v="0"/>
    <x v="2"/>
    <x v="0"/>
    <x v="0"/>
    <x v="1"/>
    <x v="0"/>
    <x v="2"/>
    <x v="8"/>
    <n v="1"/>
    <n v="1"/>
    <n v="0"/>
    <n v="1"/>
    <x v="0"/>
    <n v="8.9774500731891763E-2"/>
  </r>
  <r>
    <x v="17"/>
    <x v="0"/>
    <x v="0"/>
    <x v="1"/>
    <x v="1"/>
    <x v="0"/>
    <x v="0"/>
    <x v="1"/>
    <x v="0"/>
    <x v="4"/>
    <n v="3"/>
    <n v="4"/>
    <n v="0"/>
    <n v="3"/>
    <x v="0"/>
    <n v="0.12250638343225755"/>
  </r>
  <r>
    <x v="18"/>
    <x v="1"/>
    <x v="0"/>
    <x v="0"/>
    <x v="1"/>
    <x v="0"/>
    <x v="0"/>
    <x v="1"/>
    <x v="0"/>
    <x v="8"/>
    <n v="7"/>
    <n v="9"/>
    <n v="0"/>
    <m/>
    <x v="1"/>
    <n v="0.85324349566828162"/>
  </r>
  <r>
    <x v="3"/>
    <x v="1"/>
    <x v="0"/>
    <x v="0"/>
    <x v="2"/>
    <x v="0"/>
    <x v="1"/>
    <x v="1"/>
    <x v="2"/>
    <x v="8"/>
    <n v="6"/>
    <n v="10"/>
    <n v="0"/>
    <m/>
    <x v="1"/>
    <n v="0.99113496312796989"/>
  </r>
  <r>
    <x v="8"/>
    <x v="0"/>
    <x v="1"/>
    <x v="0"/>
    <x v="0"/>
    <x v="0"/>
    <x v="1"/>
    <x v="1"/>
    <x v="2"/>
    <x v="4"/>
    <n v="1"/>
    <n v="1"/>
    <n v="0"/>
    <m/>
    <x v="1"/>
    <n v="3.3292078574409821E-2"/>
  </r>
  <r>
    <x v="1"/>
    <x v="1"/>
    <x v="1"/>
    <x v="0"/>
    <x v="3"/>
    <x v="1"/>
    <x v="0"/>
    <x v="0"/>
    <x v="0"/>
    <x v="9"/>
    <n v="1"/>
    <n v="1"/>
    <n v="0"/>
    <n v="1"/>
    <x v="0"/>
    <n v="0.16088299756810187"/>
  </r>
  <r>
    <x v="22"/>
    <x v="1"/>
    <x v="1"/>
    <x v="0"/>
    <x v="0"/>
    <x v="0"/>
    <x v="0"/>
    <x v="1"/>
    <x v="2"/>
    <x v="8"/>
    <n v="2"/>
    <n v="2"/>
    <n v="0"/>
    <n v="2"/>
    <x v="0"/>
    <n v="0.19828510184622405"/>
  </r>
  <r>
    <x v="15"/>
    <x v="1"/>
    <x v="0"/>
    <x v="2"/>
    <x v="3"/>
    <x v="0"/>
    <x v="0"/>
    <x v="1"/>
    <x v="2"/>
    <x v="9"/>
    <n v="1"/>
    <n v="1"/>
    <n v="0"/>
    <n v="1"/>
    <x v="0"/>
    <n v="0.2929773242473675"/>
  </r>
  <r>
    <x v="17"/>
    <x v="0"/>
    <x v="1"/>
    <x v="0"/>
    <x v="0"/>
    <x v="0"/>
    <x v="0"/>
    <x v="0"/>
    <x v="0"/>
    <x v="4"/>
    <n v="3"/>
    <n v="3"/>
    <n v="0"/>
    <n v="2"/>
    <x v="0"/>
    <n v="9.4183371371262647E-2"/>
  </r>
  <r>
    <x v="12"/>
    <x v="0"/>
    <x v="1"/>
    <x v="1"/>
    <x v="0"/>
    <x v="0"/>
    <x v="1"/>
    <x v="0"/>
    <x v="1"/>
    <x v="6"/>
    <n v="1"/>
    <n v="1"/>
    <n v="0"/>
    <m/>
    <x v="1"/>
    <n v="4.5788555386867564E-3"/>
  </r>
  <r>
    <x v="2"/>
    <x v="0"/>
    <x v="1"/>
    <x v="0"/>
    <x v="3"/>
    <x v="1"/>
    <x v="0"/>
    <x v="0"/>
    <x v="1"/>
    <x v="1"/>
    <n v="1"/>
    <n v="2"/>
    <n v="0"/>
    <m/>
    <x v="1"/>
    <n v="0.15396189777414401"/>
  </r>
  <r>
    <x v="2"/>
    <x v="1"/>
    <x v="0"/>
    <x v="0"/>
    <x v="0"/>
    <x v="0"/>
    <x v="1"/>
    <x v="0"/>
    <x v="0"/>
    <x v="4"/>
    <n v="2"/>
    <n v="2"/>
    <n v="0"/>
    <m/>
    <x v="1"/>
    <n v="6.4611432767311794E-2"/>
  </r>
  <r>
    <x v="21"/>
    <x v="0"/>
    <x v="0"/>
    <x v="1"/>
    <x v="0"/>
    <x v="0"/>
    <x v="1"/>
    <x v="0"/>
    <x v="1"/>
    <x v="6"/>
    <n v="1"/>
    <n v="1"/>
    <n v="0"/>
    <m/>
    <x v="1"/>
    <n v="6.57977794506603E-3"/>
  </r>
  <r>
    <x v="14"/>
    <x v="0"/>
    <x v="0"/>
    <x v="0"/>
    <x v="1"/>
    <x v="1"/>
    <x v="0"/>
    <x v="1"/>
    <x v="2"/>
    <x v="9"/>
    <n v="4"/>
    <n v="11"/>
    <n v="0"/>
    <m/>
    <x v="1"/>
    <n v="2.5785958452179014"/>
  </r>
  <r>
    <x v="6"/>
    <x v="0"/>
    <x v="0"/>
    <x v="0"/>
    <x v="3"/>
    <x v="1"/>
    <x v="1"/>
    <x v="1"/>
    <x v="1"/>
    <x v="0"/>
    <n v="1"/>
    <n v="1"/>
    <n v="0"/>
    <m/>
    <x v="1"/>
    <n v="5.3762004632525763E-2"/>
  </r>
  <r>
    <x v="8"/>
    <x v="0"/>
    <x v="0"/>
    <x v="0"/>
    <x v="0"/>
    <x v="1"/>
    <x v="1"/>
    <x v="1"/>
    <x v="1"/>
    <x v="7"/>
    <n v="1"/>
    <n v="2"/>
    <n v="0"/>
    <m/>
    <x v="1"/>
    <n v="5.5576967709156593E-2"/>
  </r>
  <r>
    <x v="3"/>
    <x v="1"/>
    <x v="0"/>
    <x v="2"/>
    <x v="0"/>
    <x v="0"/>
    <x v="0"/>
    <x v="0"/>
    <x v="0"/>
    <x v="8"/>
    <n v="6"/>
    <n v="7"/>
    <n v="0"/>
    <m/>
    <x v="1"/>
    <n v="0.59458214168400458"/>
  </r>
  <r>
    <x v="1"/>
    <x v="0"/>
    <x v="0"/>
    <x v="2"/>
    <x v="0"/>
    <x v="0"/>
    <x v="1"/>
    <x v="1"/>
    <x v="0"/>
    <x v="7"/>
    <n v="1"/>
    <n v="1"/>
    <n v="0"/>
    <n v="1"/>
    <x v="0"/>
    <n v="2.8227386446598338E-2"/>
  </r>
  <r>
    <x v="4"/>
    <x v="1"/>
    <x v="1"/>
    <x v="1"/>
    <x v="0"/>
    <x v="0"/>
    <x v="1"/>
    <x v="1"/>
    <x v="1"/>
    <x v="6"/>
    <n v="1"/>
    <n v="1"/>
    <n v="0"/>
    <m/>
    <x v="1"/>
    <n v="6.9067353216518941E-3"/>
  </r>
  <r>
    <x v="16"/>
    <x v="1"/>
    <x v="1"/>
    <x v="0"/>
    <x v="2"/>
    <x v="1"/>
    <x v="0"/>
    <x v="0"/>
    <x v="0"/>
    <x v="8"/>
    <n v="1"/>
    <n v="1"/>
    <n v="0"/>
    <m/>
    <x v="1"/>
    <n v="0.12398881875313826"/>
  </r>
  <r>
    <x v="3"/>
    <x v="1"/>
    <x v="0"/>
    <x v="0"/>
    <x v="2"/>
    <x v="1"/>
    <x v="0"/>
    <x v="1"/>
    <x v="1"/>
    <x v="8"/>
    <n v="4"/>
    <n v="6"/>
    <n v="0"/>
    <m/>
    <x v="1"/>
    <n v="0.70915869549598798"/>
  </r>
  <r>
    <x v="8"/>
    <x v="0"/>
    <x v="1"/>
    <x v="1"/>
    <x v="1"/>
    <x v="0"/>
    <x v="0"/>
    <x v="1"/>
    <x v="1"/>
    <x v="6"/>
    <n v="5"/>
    <n v="5"/>
    <n v="0"/>
    <m/>
    <x v="1"/>
    <n v="7.1128657544247423E-2"/>
  </r>
  <r>
    <x v="17"/>
    <x v="0"/>
    <x v="0"/>
    <x v="1"/>
    <x v="0"/>
    <x v="0"/>
    <x v="0"/>
    <x v="0"/>
    <x v="1"/>
    <x v="6"/>
    <n v="3"/>
    <n v="3"/>
    <n v="0"/>
    <n v="2"/>
    <x v="0"/>
    <n v="4.1417850699998968E-2"/>
  </r>
  <r>
    <x v="1"/>
    <x v="0"/>
    <x v="0"/>
    <x v="1"/>
    <x v="2"/>
    <x v="1"/>
    <x v="0"/>
    <x v="0"/>
    <x v="0"/>
    <x v="0"/>
    <n v="1"/>
    <n v="2"/>
    <n v="0"/>
    <n v="1"/>
    <x v="0"/>
    <n v="0.11583488445771037"/>
  </r>
  <r>
    <x v="22"/>
    <x v="0"/>
    <x v="0"/>
    <x v="2"/>
    <x v="2"/>
    <x v="1"/>
    <x v="0"/>
    <x v="1"/>
    <x v="2"/>
    <x v="9"/>
    <n v="1"/>
    <n v="1"/>
    <n v="0"/>
    <n v="1"/>
    <x v="0"/>
    <n v="0.28480875100254455"/>
  </r>
  <r>
    <x v="0"/>
    <x v="1"/>
    <x v="0"/>
    <x v="2"/>
    <x v="0"/>
    <x v="0"/>
    <x v="0"/>
    <x v="1"/>
    <x v="2"/>
    <x v="9"/>
    <n v="1"/>
    <n v="1"/>
    <n v="0"/>
    <n v="1"/>
    <x v="0"/>
    <n v="0.17250282287365376"/>
  </r>
  <r>
    <x v="6"/>
    <x v="1"/>
    <x v="1"/>
    <x v="0"/>
    <x v="3"/>
    <x v="0"/>
    <x v="0"/>
    <x v="1"/>
    <x v="0"/>
    <x v="8"/>
    <n v="1"/>
    <n v="1"/>
    <n v="0"/>
    <m/>
    <x v="1"/>
    <n v="8.8764690714321179E-2"/>
  </r>
  <r>
    <x v="1"/>
    <x v="1"/>
    <x v="0"/>
    <x v="0"/>
    <x v="0"/>
    <x v="1"/>
    <x v="0"/>
    <x v="0"/>
    <x v="1"/>
    <x v="1"/>
    <n v="7"/>
    <n v="8"/>
    <n v="1"/>
    <n v="6"/>
    <x v="0"/>
    <n v="0.66956425948945841"/>
  </r>
  <r>
    <x v="3"/>
    <x v="0"/>
    <x v="0"/>
    <x v="2"/>
    <x v="2"/>
    <x v="0"/>
    <x v="0"/>
    <x v="1"/>
    <x v="1"/>
    <x v="0"/>
    <n v="1"/>
    <n v="1"/>
    <n v="0"/>
    <m/>
    <x v="1"/>
    <n v="5.5937898870790044E-2"/>
  </r>
  <r>
    <x v="4"/>
    <x v="0"/>
    <x v="0"/>
    <x v="0"/>
    <x v="2"/>
    <x v="0"/>
    <x v="1"/>
    <x v="0"/>
    <x v="2"/>
    <x v="1"/>
    <n v="1"/>
    <n v="1"/>
    <n v="0"/>
    <m/>
    <x v="1"/>
    <n v="6.7830483934244123E-2"/>
  </r>
  <r>
    <x v="4"/>
    <x v="0"/>
    <x v="0"/>
    <x v="2"/>
    <x v="0"/>
    <x v="0"/>
    <x v="0"/>
    <x v="1"/>
    <x v="0"/>
    <x v="0"/>
    <n v="1"/>
    <n v="1"/>
    <n v="0"/>
    <m/>
    <x v="1"/>
    <n v="5.784352300209826E-2"/>
  </r>
  <r>
    <x v="4"/>
    <x v="0"/>
    <x v="0"/>
    <x v="0"/>
    <x v="2"/>
    <x v="1"/>
    <x v="0"/>
    <x v="0"/>
    <x v="2"/>
    <x v="9"/>
    <n v="1"/>
    <n v="1"/>
    <n v="0"/>
    <m/>
    <x v="1"/>
    <n v="0.23237226266969685"/>
  </r>
  <r>
    <x v="20"/>
    <x v="1"/>
    <x v="1"/>
    <x v="2"/>
    <x v="0"/>
    <x v="0"/>
    <x v="1"/>
    <x v="0"/>
    <x v="1"/>
    <x v="5"/>
    <n v="1"/>
    <n v="1"/>
    <n v="0"/>
    <n v="1"/>
    <x v="0"/>
    <n v="1.9665389303685415E-2"/>
  </r>
  <r>
    <x v="22"/>
    <x v="0"/>
    <x v="0"/>
    <x v="2"/>
    <x v="0"/>
    <x v="0"/>
    <x v="0"/>
    <x v="0"/>
    <x v="2"/>
    <x v="8"/>
    <n v="1"/>
    <n v="2"/>
    <n v="0"/>
    <n v="1"/>
    <x v="0"/>
    <n v="0.2423433124072577"/>
  </r>
  <r>
    <x v="15"/>
    <x v="0"/>
    <x v="0"/>
    <x v="1"/>
    <x v="2"/>
    <x v="1"/>
    <x v="0"/>
    <x v="1"/>
    <x v="0"/>
    <x v="0"/>
    <n v="1"/>
    <n v="1"/>
    <n v="0"/>
    <n v="1"/>
    <x v="0"/>
    <n v="5.7917442228855184E-2"/>
  </r>
  <r>
    <x v="15"/>
    <x v="1"/>
    <x v="0"/>
    <x v="0"/>
    <x v="1"/>
    <x v="1"/>
    <x v="0"/>
    <x v="1"/>
    <x v="2"/>
    <x v="9"/>
    <n v="7"/>
    <n v="11"/>
    <n v="3"/>
    <n v="7"/>
    <x v="0"/>
    <n v="3.480931660713749"/>
  </r>
  <r>
    <x v="19"/>
    <x v="0"/>
    <x v="1"/>
    <x v="0"/>
    <x v="2"/>
    <x v="0"/>
    <x v="1"/>
    <x v="1"/>
    <x v="0"/>
    <x v="7"/>
    <n v="1"/>
    <n v="1"/>
    <n v="0"/>
    <m/>
    <x v="1"/>
    <n v="2.2007568458762099E-2"/>
  </r>
  <r>
    <x v="19"/>
    <x v="0"/>
    <x v="1"/>
    <x v="0"/>
    <x v="0"/>
    <x v="0"/>
    <x v="0"/>
    <x v="1"/>
    <x v="2"/>
    <x v="1"/>
    <n v="1"/>
    <n v="2"/>
    <n v="0"/>
    <m/>
    <x v="1"/>
    <n v="0.1357021175431819"/>
  </r>
  <r>
    <x v="19"/>
    <x v="0"/>
    <x v="0"/>
    <x v="1"/>
    <x v="2"/>
    <x v="0"/>
    <x v="0"/>
    <x v="1"/>
    <x v="2"/>
    <x v="1"/>
    <n v="2"/>
    <n v="2"/>
    <n v="0"/>
    <m/>
    <x v="1"/>
    <n v="0.1310975036068017"/>
  </r>
  <r>
    <x v="1"/>
    <x v="0"/>
    <x v="0"/>
    <x v="1"/>
    <x v="0"/>
    <x v="0"/>
    <x v="0"/>
    <x v="0"/>
    <x v="0"/>
    <x v="5"/>
    <n v="1"/>
    <n v="2"/>
    <n v="0"/>
    <n v="1"/>
    <x v="0"/>
    <n v="4.168396685840825E-2"/>
  </r>
  <r>
    <x v="9"/>
    <x v="0"/>
    <x v="1"/>
    <x v="1"/>
    <x v="0"/>
    <x v="0"/>
    <x v="1"/>
    <x v="0"/>
    <x v="1"/>
    <x v="6"/>
    <n v="2"/>
    <n v="2"/>
    <n v="0"/>
    <n v="2"/>
    <x v="0"/>
    <n v="9.1577110773735128E-3"/>
  </r>
  <r>
    <x v="17"/>
    <x v="1"/>
    <x v="1"/>
    <x v="2"/>
    <x v="1"/>
    <x v="0"/>
    <x v="0"/>
    <x v="1"/>
    <x v="1"/>
    <x v="3"/>
    <n v="6"/>
    <n v="9"/>
    <n v="0"/>
    <n v="6"/>
    <x v="0"/>
    <n v="0.53285871029429843"/>
  </r>
  <r>
    <x v="6"/>
    <x v="0"/>
    <x v="0"/>
    <x v="2"/>
    <x v="0"/>
    <x v="0"/>
    <x v="1"/>
    <x v="0"/>
    <x v="1"/>
    <x v="5"/>
    <n v="2"/>
    <n v="2"/>
    <n v="0"/>
    <m/>
    <x v="1"/>
    <n v="3.7491703864349239E-2"/>
  </r>
  <r>
    <x v="14"/>
    <x v="0"/>
    <x v="0"/>
    <x v="2"/>
    <x v="2"/>
    <x v="0"/>
    <x v="1"/>
    <x v="1"/>
    <x v="0"/>
    <x v="4"/>
    <n v="1"/>
    <n v="1"/>
    <n v="0"/>
    <m/>
    <x v="1"/>
    <n v="4.088219372579513E-2"/>
  </r>
  <r>
    <x v="9"/>
    <x v="1"/>
    <x v="1"/>
    <x v="0"/>
    <x v="3"/>
    <x v="1"/>
    <x v="1"/>
    <x v="1"/>
    <x v="2"/>
    <x v="9"/>
    <n v="2"/>
    <n v="2"/>
    <n v="0"/>
    <n v="2"/>
    <x v="0"/>
    <n v="0.3384798675801558"/>
  </r>
  <r>
    <x v="14"/>
    <x v="1"/>
    <x v="0"/>
    <x v="2"/>
    <x v="0"/>
    <x v="1"/>
    <x v="0"/>
    <x v="0"/>
    <x v="1"/>
    <x v="8"/>
    <n v="3"/>
    <n v="3"/>
    <n v="0"/>
    <m/>
    <x v="1"/>
    <n v="0.32181121114782574"/>
  </r>
  <r>
    <x v="7"/>
    <x v="1"/>
    <x v="0"/>
    <x v="1"/>
    <x v="0"/>
    <x v="0"/>
    <x v="0"/>
    <x v="0"/>
    <x v="0"/>
    <x v="4"/>
    <n v="3"/>
    <n v="3"/>
    <n v="0"/>
    <m/>
    <x v="1"/>
    <n v="9.3537066976247599E-2"/>
  </r>
  <r>
    <x v="8"/>
    <x v="0"/>
    <x v="1"/>
    <x v="0"/>
    <x v="0"/>
    <x v="0"/>
    <x v="1"/>
    <x v="0"/>
    <x v="2"/>
    <x v="4"/>
    <n v="2"/>
    <n v="3"/>
    <n v="0"/>
    <m/>
    <x v="1"/>
    <n v="9.9876235723229456E-2"/>
  </r>
  <r>
    <x v="19"/>
    <x v="0"/>
    <x v="0"/>
    <x v="0"/>
    <x v="0"/>
    <x v="0"/>
    <x v="1"/>
    <x v="0"/>
    <x v="2"/>
    <x v="0"/>
    <n v="2"/>
    <n v="2"/>
    <n v="0"/>
    <m/>
    <x v="1"/>
    <n v="9.4489829543465659E-2"/>
  </r>
  <r>
    <x v="19"/>
    <x v="0"/>
    <x v="0"/>
    <x v="2"/>
    <x v="0"/>
    <x v="1"/>
    <x v="0"/>
    <x v="0"/>
    <x v="1"/>
    <x v="1"/>
    <n v="2"/>
    <n v="2"/>
    <n v="0"/>
    <m/>
    <x v="1"/>
    <n v="0.14724648342003765"/>
  </r>
  <r>
    <x v="20"/>
    <x v="0"/>
    <x v="0"/>
    <x v="1"/>
    <x v="0"/>
    <x v="0"/>
    <x v="0"/>
    <x v="0"/>
    <x v="0"/>
    <x v="5"/>
    <n v="2"/>
    <n v="2"/>
    <n v="0"/>
    <n v="2"/>
    <x v="0"/>
    <n v="4.168396685840825E-2"/>
  </r>
  <r>
    <x v="5"/>
    <x v="0"/>
    <x v="0"/>
    <x v="0"/>
    <x v="2"/>
    <x v="1"/>
    <x v="0"/>
    <x v="1"/>
    <x v="0"/>
    <x v="8"/>
    <n v="2"/>
    <n v="2"/>
    <n v="0"/>
    <n v="2"/>
    <x v="0"/>
    <n v="0.23756451250297758"/>
  </r>
  <r>
    <x v="9"/>
    <x v="0"/>
    <x v="1"/>
    <x v="1"/>
    <x v="1"/>
    <x v="1"/>
    <x v="0"/>
    <x v="1"/>
    <x v="1"/>
    <x v="7"/>
    <n v="4"/>
    <n v="4"/>
    <n v="0"/>
    <n v="4"/>
    <x v="0"/>
    <n v="0.1104768826575175"/>
  </r>
  <r>
    <x v="16"/>
    <x v="0"/>
    <x v="1"/>
    <x v="1"/>
    <x v="2"/>
    <x v="0"/>
    <x v="0"/>
    <x v="1"/>
    <x v="0"/>
    <x v="5"/>
    <n v="1"/>
    <n v="1"/>
    <n v="0"/>
    <m/>
    <x v="1"/>
    <n v="2.1232152294556311E-2"/>
  </r>
  <r>
    <x v="2"/>
    <x v="1"/>
    <x v="1"/>
    <x v="0"/>
    <x v="0"/>
    <x v="0"/>
    <x v="0"/>
    <x v="0"/>
    <x v="0"/>
    <x v="0"/>
    <n v="2"/>
    <n v="5"/>
    <n v="0"/>
    <m/>
    <x v="1"/>
    <n v="0.23357763046412891"/>
  </r>
  <r>
    <x v="18"/>
    <x v="0"/>
    <x v="0"/>
    <x v="1"/>
    <x v="1"/>
    <x v="0"/>
    <x v="0"/>
    <x v="1"/>
    <x v="2"/>
    <x v="1"/>
    <n v="1"/>
    <n v="1"/>
    <n v="0"/>
    <m/>
    <x v="1"/>
    <n v="6.6252514174304555E-2"/>
  </r>
  <r>
    <x v="16"/>
    <x v="1"/>
    <x v="1"/>
    <x v="1"/>
    <x v="0"/>
    <x v="0"/>
    <x v="0"/>
    <x v="1"/>
    <x v="1"/>
    <x v="6"/>
    <n v="1"/>
    <n v="1"/>
    <n v="0"/>
    <m/>
    <x v="1"/>
    <n v="1.4486748808385878E-2"/>
  </r>
  <r>
    <x v="11"/>
    <x v="1"/>
    <x v="1"/>
    <x v="0"/>
    <x v="0"/>
    <x v="0"/>
    <x v="0"/>
    <x v="1"/>
    <x v="1"/>
    <x v="4"/>
    <n v="2"/>
    <n v="3"/>
    <n v="0"/>
    <m/>
    <x v="1"/>
    <n v="9.367016554269017E-2"/>
  </r>
  <r>
    <x v="6"/>
    <x v="1"/>
    <x v="0"/>
    <x v="2"/>
    <x v="2"/>
    <x v="1"/>
    <x v="0"/>
    <x v="0"/>
    <x v="0"/>
    <x v="9"/>
    <n v="1"/>
    <n v="1"/>
    <n v="0"/>
    <m/>
    <x v="1"/>
    <n v="0.21141932175066067"/>
  </r>
  <r>
    <x v="16"/>
    <x v="0"/>
    <x v="0"/>
    <x v="0"/>
    <x v="2"/>
    <x v="0"/>
    <x v="1"/>
    <x v="1"/>
    <x v="2"/>
    <x v="1"/>
    <n v="3"/>
    <n v="4"/>
    <n v="0"/>
    <m/>
    <x v="1"/>
    <n v="0.27132193573697649"/>
  </r>
  <r>
    <x v="21"/>
    <x v="0"/>
    <x v="0"/>
    <x v="2"/>
    <x v="2"/>
    <x v="0"/>
    <x v="0"/>
    <x v="1"/>
    <x v="2"/>
    <x v="9"/>
    <n v="2"/>
    <n v="4"/>
    <n v="0"/>
    <m/>
    <x v="1"/>
    <n v="0.67311723477716279"/>
  </r>
  <r>
    <x v="20"/>
    <x v="0"/>
    <x v="0"/>
    <x v="0"/>
    <x v="2"/>
    <x v="0"/>
    <x v="0"/>
    <x v="0"/>
    <x v="0"/>
    <x v="3"/>
    <n v="1"/>
    <n v="1"/>
    <n v="0"/>
    <n v="1"/>
    <x v="0"/>
    <n v="6.4094727704312654E-2"/>
  </r>
  <r>
    <x v="5"/>
    <x v="0"/>
    <x v="0"/>
    <x v="0"/>
    <x v="3"/>
    <x v="0"/>
    <x v="1"/>
    <x v="1"/>
    <x v="2"/>
    <x v="8"/>
    <n v="1"/>
    <n v="1"/>
    <n v="0"/>
    <n v="1"/>
    <x v="0"/>
    <n v="8.9725737736983821E-2"/>
  </r>
  <r>
    <x v="7"/>
    <x v="0"/>
    <x v="0"/>
    <x v="2"/>
    <x v="0"/>
    <x v="1"/>
    <x v="0"/>
    <x v="0"/>
    <x v="1"/>
    <x v="1"/>
    <n v="3"/>
    <n v="3"/>
    <n v="0"/>
    <m/>
    <x v="1"/>
    <n v="0.22086972513005651"/>
  </r>
  <r>
    <x v="0"/>
    <x v="1"/>
    <x v="0"/>
    <x v="1"/>
    <x v="2"/>
    <x v="0"/>
    <x v="1"/>
    <x v="1"/>
    <x v="2"/>
    <x v="0"/>
    <n v="2"/>
    <n v="3"/>
    <n v="0"/>
    <n v="2"/>
    <x v="0"/>
    <n v="0.14334186788075995"/>
  </r>
  <r>
    <x v="17"/>
    <x v="1"/>
    <x v="1"/>
    <x v="2"/>
    <x v="1"/>
    <x v="1"/>
    <x v="0"/>
    <x v="1"/>
    <x v="0"/>
    <x v="9"/>
    <n v="2"/>
    <n v="2"/>
    <n v="0"/>
    <n v="2"/>
    <x v="0"/>
    <n v="0.31697566320660109"/>
  </r>
  <r>
    <x v="7"/>
    <x v="0"/>
    <x v="1"/>
    <x v="1"/>
    <x v="2"/>
    <x v="0"/>
    <x v="0"/>
    <x v="0"/>
    <x v="2"/>
    <x v="0"/>
    <n v="1"/>
    <n v="1"/>
    <n v="0"/>
    <m/>
    <x v="1"/>
    <n v="4.6453811307868083E-2"/>
  </r>
  <r>
    <x v="22"/>
    <x v="1"/>
    <x v="1"/>
    <x v="0"/>
    <x v="0"/>
    <x v="0"/>
    <x v="1"/>
    <x v="0"/>
    <x v="1"/>
    <x v="5"/>
    <n v="4"/>
    <n v="4"/>
    <n v="0"/>
    <n v="4"/>
    <x v="0"/>
    <n v="6.0078389760745872E-2"/>
  </r>
  <r>
    <x v="6"/>
    <x v="1"/>
    <x v="1"/>
    <x v="0"/>
    <x v="2"/>
    <x v="0"/>
    <x v="0"/>
    <x v="1"/>
    <x v="0"/>
    <x v="1"/>
    <n v="1"/>
    <n v="1"/>
    <n v="0"/>
    <m/>
    <x v="1"/>
    <n v="6.7086671775585666E-2"/>
  </r>
  <r>
    <x v="2"/>
    <x v="0"/>
    <x v="0"/>
    <x v="2"/>
    <x v="1"/>
    <x v="0"/>
    <x v="0"/>
    <x v="1"/>
    <x v="0"/>
    <x v="1"/>
    <n v="7"/>
    <n v="16"/>
    <n v="0"/>
    <m/>
    <x v="1"/>
    <n v="1.3362793065634226"/>
  </r>
  <r>
    <x v="14"/>
    <x v="0"/>
    <x v="0"/>
    <x v="2"/>
    <x v="0"/>
    <x v="0"/>
    <x v="1"/>
    <x v="0"/>
    <x v="0"/>
    <x v="7"/>
    <n v="1"/>
    <n v="1"/>
    <n v="0"/>
    <m/>
    <x v="1"/>
    <n v="2.8227386446598338E-2"/>
  </r>
  <r>
    <x v="17"/>
    <x v="0"/>
    <x v="1"/>
    <x v="0"/>
    <x v="0"/>
    <x v="0"/>
    <x v="1"/>
    <x v="1"/>
    <x v="1"/>
    <x v="6"/>
    <n v="3"/>
    <n v="3"/>
    <n v="0"/>
    <n v="3"/>
    <x v="0"/>
    <n v="2.9954434046201708E-2"/>
  </r>
  <r>
    <x v="11"/>
    <x v="1"/>
    <x v="1"/>
    <x v="0"/>
    <x v="2"/>
    <x v="1"/>
    <x v="1"/>
    <x v="1"/>
    <x v="0"/>
    <x v="3"/>
    <n v="1"/>
    <n v="1"/>
    <n v="0"/>
    <m/>
    <x v="1"/>
    <n v="6.2762040961245935E-2"/>
  </r>
  <r>
    <x v="13"/>
    <x v="0"/>
    <x v="0"/>
    <x v="2"/>
    <x v="0"/>
    <x v="0"/>
    <x v="0"/>
    <x v="1"/>
    <x v="1"/>
    <x v="4"/>
    <n v="2"/>
    <n v="2"/>
    <n v="0"/>
    <m/>
    <x v="1"/>
    <n v="7.7622570446599981E-2"/>
  </r>
  <r>
    <x v="6"/>
    <x v="1"/>
    <x v="0"/>
    <x v="0"/>
    <x v="2"/>
    <x v="0"/>
    <x v="0"/>
    <x v="0"/>
    <x v="2"/>
    <x v="9"/>
    <n v="2"/>
    <n v="2"/>
    <n v="0"/>
    <m/>
    <x v="1"/>
    <n v="0.37732807686992731"/>
  </r>
  <r>
    <x v="10"/>
    <x v="1"/>
    <x v="1"/>
    <x v="0"/>
    <x v="3"/>
    <x v="1"/>
    <x v="0"/>
    <x v="1"/>
    <x v="0"/>
    <x v="9"/>
    <n v="1"/>
    <n v="2"/>
    <n v="0"/>
    <m/>
    <x v="1"/>
    <n v="0.32176599513620374"/>
  </r>
  <r>
    <x v="18"/>
    <x v="1"/>
    <x v="0"/>
    <x v="2"/>
    <x v="2"/>
    <x v="1"/>
    <x v="0"/>
    <x v="1"/>
    <x v="1"/>
    <x v="9"/>
    <n v="1"/>
    <n v="1"/>
    <n v="0"/>
    <m/>
    <x v="1"/>
    <n v="0.14989547850382232"/>
  </r>
  <r>
    <x v="22"/>
    <x v="0"/>
    <x v="0"/>
    <x v="0"/>
    <x v="3"/>
    <x v="1"/>
    <x v="0"/>
    <x v="1"/>
    <x v="2"/>
    <x v="9"/>
    <n v="1"/>
    <n v="3"/>
    <n v="1"/>
    <n v="1"/>
    <x v="0"/>
    <n v="0.87243235062856062"/>
  </r>
  <r>
    <x v="21"/>
    <x v="1"/>
    <x v="1"/>
    <x v="2"/>
    <x v="1"/>
    <x v="0"/>
    <x v="0"/>
    <x v="1"/>
    <x v="2"/>
    <x v="9"/>
    <n v="5"/>
    <n v="5"/>
    <n v="0"/>
    <m/>
    <x v="1"/>
    <n v="0.88441226065905243"/>
  </r>
  <r>
    <x v="19"/>
    <x v="0"/>
    <x v="1"/>
    <x v="2"/>
    <x v="0"/>
    <x v="0"/>
    <x v="0"/>
    <x v="0"/>
    <x v="1"/>
    <x v="7"/>
    <n v="6"/>
    <n v="6"/>
    <n v="0"/>
    <m/>
    <x v="1"/>
    <n v="0.16366705200203513"/>
  </r>
  <r>
    <x v="21"/>
    <x v="1"/>
    <x v="0"/>
    <x v="0"/>
    <x v="2"/>
    <x v="0"/>
    <x v="0"/>
    <x v="1"/>
    <x v="1"/>
    <x v="3"/>
    <n v="2"/>
    <n v="6"/>
    <n v="0"/>
    <m/>
    <x v="1"/>
    <n v="0.38254322297618609"/>
  </r>
  <r>
    <x v="5"/>
    <x v="1"/>
    <x v="0"/>
    <x v="2"/>
    <x v="2"/>
    <x v="0"/>
    <x v="0"/>
    <x v="1"/>
    <x v="1"/>
    <x v="1"/>
    <n v="2"/>
    <n v="3"/>
    <n v="0"/>
    <n v="2"/>
    <x v="0"/>
    <n v="0.24665968708787422"/>
  </r>
  <r>
    <x v="3"/>
    <x v="0"/>
    <x v="1"/>
    <x v="1"/>
    <x v="1"/>
    <x v="1"/>
    <x v="0"/>
    <x v="1"/>
    <x v="0"/>
    <x v="4"/>
    <n v="2"/>
    <n v="2"/>
    <n v="0"/>
    <m/>
    <x v="1"/>
    <n v="8.2798990131375066E-2"/>
  </r>
  <r>
    <x v="1"/>
    <x v="0"/>
    <x v="0"/>
    <x v="2"/>
    <x v="2"/>
    <x v="1"/>
    <x v="0"/>
    <x v="1"/>
    <x v="1"/>
    <x v="8"/>
    <n v="3"/>
    <n v="3"/>
    <n v="0"/>
    <n v="3"/>
    <x v="0"/>
    <n v="0.31332732331424329"/>
  </r>
  <r>
    <x v="10"/>
    <x v="0"/>
    <x v="0"/>
    <x v="0"/>
    <x v="0"/>
    <x v="0"/>
    <x v="1"/>
    <x v="0"/>
    <x v="1"/>
    <x v="6"/>
    <n v="5"/>
    <n v="5"/>
    <n v="0"/>
    <m/>
    <x v="1"/>
    <n v="7.157060789987256E-2"/>
  </r>
  <r>
    <x v="22"/>
    <x v="0"/>
    <x v="0"/>
    <x v="2"/>
    <x v="0"/>
    <x v="1"/>
    <x v="0"/>
    <x v="0"/>
    <x v="1"/>
    <x v="1"/>
    <n v="1"/>
    <n v="1"/>
    <n v="0"/>
    <n v="1"/>
    <x v="0"/>
    <n v="7.3623241710018827E-2"/>
  </r>
  <r>
    <x v="20"/>
    <x v="1"/>
    <x v="0"/>
    <x v="0"/>
    <x v="0"/>
    <x v="1"/>
    <x v="0"/>
    <x v="1"/>
    <x v="1"/>
    <x v="1"/>
    <n v="3"/>
    <n v="4"/>
    <n v="0"/>
    <n v="3"/>
    <x v="0"/>
    <n v="0.33478212974472921"/>
  </r>
  <r>
    <x v="1"/>
    <x v="1"/>
    <x v="0"/>
    <x v="1"/>
    <x v="3"/>
    <x v="1"/>
    <x v="0"/>
    <x v="1"/>
    <x v="0"/>
    <x v="8"/>
    <n v="1"/>
    <n v="1"/>
    <n v="1"/>
    <n v="1"/>
    <x v="0"/>
    <n v="0.11183128944304827"/>
  </r>
  <r>
    <x v="16"/>
    <x v="1"/>
    <x v="0"/>
    <x v="0"/>
    <x v="0"/>
    <x v="1"/>
    <x v="0"/>
    <x v="1"/>
    <x v="1"/>
    <x v="1"/>
    <n v="1"/>
    <n v="1"/>
    <n v="0"/>
    <m/>
    <x v="1"/>
    <n v="8.3695532436182302E-2"/>
  </r>
  <r>
    <x v="9"/>
    <x v="0"/>
    <x v="0"/>
    <x v="0"/>
    <x v="2"/>
    <x v="1"/>
    <x v="0"/>
    <x v="0"/>
    <x v="0"/>
    <x v="8"/>
    <n v="6"/>
    <n v="6"/>
    <n v="0"/>
    <n v="6"/>
    <x v="0"/>
    <n v="0.71269353750893272"/>
  </r>
  <r>
    <x v="11"/>
    <x v="1"/>
    <x v="0"/>
    <x v="2"/>
    <x v="0"/>
    <x v="0"/>
    <x v="0"/>
    <x v="1"/>
    <x v="2"/>
    <x v="9"/>
    <n v="1"/>
    <n v="1"/>
    <n v="0"/>
    <m/>
    <x v="1"/>
    <n v="0.17250282287365376"/>
  </r>
  <r>
    <x v="14"/>
    <x v="0"/>
    <x v="1"/>
    <x v="0"/>
    <x v="3"/>
    <x v="0"/>
    <x v="0"/>
    <x v="1"/>
    <x v="2"/>
    <x v="9"/>
    <n v="2"/>
    <n v="2"/>
    <n v="0"/>
    <m/>
    <x v="1"/>
    <n v="0.25280399177886359"/>
  </r>
  <r>
    <x v="12"/>
    <x v="1"/>
    <x v="0"/>
    <x v="0"/>
    <x v="0"/>
    <x v="0"/>
    <x v="1"/>
    <x v="1"/>
    <x v="0"/>
    <x v="4"/>
    <n v="2"/>
    <n v="3"/>
    <n v="0"/>
    <m/>
    <x v="1"/>
    <n v="9.6917149150967677E-2"/>
  </r>
  <r>
    <x v="2"/>
    <x v="1"/>
    <x v="0"/>
    <x v="2"/>
    <x v="2"/>
    <x v="0"/>
    <x v="0"/>
    <x v="1"/>
    <x v="0"/>
    <x v="8"/>
    <n v="3"/>
    <n v="5"/>
    <n v="0"/>
    <m/>
    <x v="1"/>
    <n v="0.59941916262037021"/>
  </r>
  <r>
    <x v="13"/>
    <x v="1"/>
    <x v="0"/>
    <x v="1"/>
    <x v="2"/>
    <x v="0"/>
    <x v="1"/>
    <x v="1"/>
    <x v="1"/>
    <x v="6"/>
    <n v="1"/>
    <n v="1"/>
    <n v="0"/>
    <m/>
    <x v="1"/>
    <n v="1.4482104507696861E-2"/>
  </r>
  <r>
    <x v="4"/>
    <x v="1"/>
    <x v="1"/>
    <x v="2"/>
    <x v="1"/>
    <x v="0"/>
    <x v="0"/>
    <x v="1"/>
    <x v="1"/>
    <x v="3"/>
    <n v="4"/>
    <n v="8"/>
    <n v="0"/>
    <m/>
    <x v="1"/>
    <n v="0.47365218692826527"/>
  </r>
  <r>
    <x v="5"/>
    <x v="0"/>
    <x v="1"/>
    <x v="1"/>
    <x v="1"/>
    <x v="0"/>
    <x v="0"/>
    <x v="1"/>
    <x v="2"/>
    <x v="0"/>
    <n v="1"/>
    <n v="1"/>
    <n v="0"/>
    <n v="1"/>
    <x v="0"/>
    <n v="4.6962864711200251E-2"/>
  </r>
  <r>
    <x v="14"/>
    <x v="0"/>
    <x v="1"/>
    <x v="0"/>
    <x v="3"/>
    <x v="0"/>
    <x v="0"/>
    <x v="1"/>
    <x v="1"/>
    <x v="4"/>
    <n v="1"/>
    <n v="1"/>
    <n v="0"/>
    <m/>
    <x v="1"/>
    <n v="4.0651005805418881E-2"/>
  </r>
  <r>
    <x v="17"/>
    <x v="0"/>
    <x v="0"/>
    <x v="0"/>
    <x v="0"/>
    <x v="1"/>
    <x v="1"/>
    <x v="0"/>
    <x v="1"/>
    <x v="7"/>
    <n v="1"/>
    <n v="3"/>
    <n v="0"/>
    <n v="1"/>
    <x v="0"/>
    <n v="8.3365451563734885E-2"/>
  </r>
  <r>
    <x v="5"/>
    <x v="1"/>
    <x v="1"/>
    <x v="0"/>
    <x v="0"/>
    <x v="0"/>
    <x v="0"/>
    <x v="1"/>
    <x v="1"/>
    <x v="4"/>
    <n v="8"/>
    <n v="9"/>
    <n v="0"/>
    <n v="8"/>
    <x v="0"/>
    <n v="0.28101049662807048"/>
  </r>
  <r>
    <x v="1"/>
    <x v="1"/>
    <x v="0"/>
    <x v="0"/>
    <x v="3"/>
    <x v="1"/>
    <x v="1"/>
    <x v="1"/>
    <x v="0"/>
    <x v="8"/>
    <n v="1"/>
    <n v="1"/>
    <n v="0"/>
    <n v="1"/>
    <x v="0"/>
    <n v="0.11552492690011482"/>
  </r>
  <r>
    <x v="3"/>
    <x v="1"/>
    <x v="0"/>
    <x v="0"/>
    <x v="2"/>
    <x v="0"/>
    <x v="1"/>
    <x v="1"/>
    <x v="0"/>
    <x v="0"/>
    <n v="2"/>
    <n v="2"/>
    <n v="0"/>
    <m/>
    <x v="1"/>
    <n v="9.3402078399889468E-2"/>
  </r>
  <r>
    <x v="0"/>
    <x v="1"/>
    <x v="0"/>
    <x v="2"/>
    <x v="0"/>
    <x v="0"/>
    <x v="0"/>
    <x v="1"/>
    <x v="0"/>
    <x v="8"/>
    <n v="3"/>
    <n v="3"/>
    <n v="0"/>
    <n v="2"/>
    <x v="0"/>
    <n v="0.25482091786457345"/>
  </r>
  <r>
    <x v="3"/>
    <x v="0"/>
    <x v="0"/>
    <x v="0"/>
    <x v="3"/>
    <x v="0"/>
    <x v="1"/>
    <x v="1"/>
    <x v="1"/>
    <x v="7"/>
    <n v="3"/>
    <n v="3"/>
    <n v="0"/>
    <m/>
    <x v="1"/>
    <n v="8.4170380491520647E-2"/>
  </r>
  <r>
    <x v="4"/>
    <x v="0"/>
    <x v="0"/>
    <x v="1"/>
    <x v="0"/>
    <x v="0"/>
    <x v="0"/>
    <x v="1"/>
    <x v="1"/>
    <x v="6"/>
    <n v="2"/>
    <n v="3"/>
    <n v="0"/>
    <m/>
    <x v="1"/>
    <n v="4.1417850699998968E-2"/>
  </r>
  <r>
    <x v="7"/>
    <x v="1"/>
    <x v="0"/>
    <x v="0"/>
    <x v="2"/>
    <x v="1"/>
    <x v="0"/>
    <x v="0"/>
    <x v="1"/>
    <x v="8"/>
    <n v="2"/>
    <n v="2"/>
    <n v="1"/>
    <m/>
    <x v="1"/>
    <n v="0.236386231831996"/>
  </r>
  <r>
    <x v="17"/>
    <x v="1"/>
    <x v="0"/>
    <x v="2"/>
    <x v="2"/>
    <x v="0"/>
    <x v="0"/>
    <x v="1"/>
    <x v="2"/>
    <x v="9"/>
    <n v="2"/>
    <n v="3"/>
    <n v="0"/>
    <n v="2"/>
    <x v="0"/>
    <n v="0.70274171793296836"/>
  </r>
  <r>
    <x v="21"/>
    <x v="0"/>
    <x v="1"/>
    <x v="0"/>
    <x v="3"/>
    <x v="1"/>
    <x v="0"/>
    <x v="1"/>
    <x v="1"/>
    <x v="1"/>
    <n v="1"/>
    <n v="1"/>
    <n v="0"/>
    <m/>
    <x v="1"/>
    <n v="7.6980948887072007E-2"/>
  </r>
  <r>
    <x v="16"/>
    <x v="0"/>
    <x v="0"/>
    <x v="0"/>
    <x v="2"/>
    <x v="0"/>
    <x v="1"/>
    <x v="0"/>
    <x v="1"/>
    <x v="5"/>
    <n v="1"/>
    <n v="1"/>
    <n v="0"/>
    <m/>
    <x v="1"/>
    <n v="2.0865309424357978E-2"/>
  </r>
  <r>
    <x v="21"/>
    <x v="1"/>
    <x v="1"/>
    <x v="0"/>
    <x v="0"/>
    <x v="0"/>
    <x v="0"/>
    <x v="0"/>
    <x v="0"/>
    <x v="0"/>
    <n v="4"/>
    <n v="4"/>
    <n v="0"/>
    <m/>
    <x v="1"/>
    <n v="0.18686210437130313"/>
  </r>
  <r>
    <x v="6"/>
    <x v="1"/>
    <x v="0"/>
    <x v="2"/>
    <x v="1"/>
    <x v="1"/>
    <x v="0"/>
    <x v="1"/>
    <x v="0"/>
    <x v="9"/>
    <n v="2"/>
    <n v="2"/>
    <n v="0"/>
    <m/>
    <x v="1"/>
    <n v="0.42666335343815442"/>
  </r>
  <r>
    <x v="13"/>
    <x v="1"/>
    <x v="0"/>
    <x v="1"/>
    <x v="0"/>
    <x v="0"/>
    <x v="0"/>
    <x v="0"/>
    <x v="0"/>
    <x v="4"/>
    <n v="1"/>
    <n v="1"/>
    <n v="0"/>
    <m/>
    <x v="1"/>
    <n v="3.1179022325415869E-2"/>
  </r>
  <r>
    <x v="3"/>
    <x v="1"/>
    <x v="1"/>
    <x v="0"/>
    <x v="3"/>
    <x v="1"/>
    <x v="1"/>
    <x v="1"/>
    <x v="0"/>
    <x v="1"/>
    <n v="1"/>
    <n v="1"/>
    <n v="0"/>
    <m/>
    <x v="1"/>
    <n v="8.3167200953685433E-2"/>
  </r>
  <r>
    <x v="21"/>
    <x v="1"/>
    <x v="0"/>
    <x v="2"/>
    <x v="2"/>
    <x v="0"/>
    <x v="1"/>
    <x v="1"/>
    <x v="2"/>
    <x v="9"/>
    <n v="1"/>
    <n v="1"/>
    <n v="0"/>
    <m/>
    <x v="1"/>
    <n v="0.1264319832806283"/>
  </r>
  <r>
    <x v="11"/>
    <x v="0"/>
    <x v="0"/>
    <x v="0"/>
    <x v="0"/>
    <x v="1"/>
    <x v="0"/>
    <x v="0"/>
    <x v="0"/>
    <x v="1"/>
    <n v="1"/>
    <n v="1"/>
    <n v="0"/>
    <m/>
    <x v="1"/>
    <n v="8.4129123046113322E-2"/>
  </r>
  <r>
    <x v="1"/>
    <x v="0"/>
    <x v="1"/>
    <x v="2"/>
    <x v="0"/>
    <x v="0"/>
    <x v="0"/>
    <x v="1"/>
    <x v="0"/>
    <x v="4"/>
    <n v="1"/>
    <n v="2"/>
    <n v="0"/>
    <n v="1"/>
    <x v="0"/>
    <n v="8.1789906034188481E-2"/>
  </r>
  <r>
    <x v="1"/>
    <x v="1"/>
    <x v="1"/>
    <x v="2"/>
    <x v="2"/>
    <x v="1"/>
    <x v="0"/>
    <x v="1"/>
    <x v="1"/>
    <x v="8"/>
    <n v="3"/>
    <n v="3"/>
    <n v="1"/>
    <n v="3"/>
    <x v="0"/>
    <n v="0.32729479948106321"/>
  </r>
  <r>
    <x v="14"/>
    <x v="0"/>
    <x v="0"/>
    <x v="2"/>
    <x v="3"/>
    <x v="1"/>
    <x v="0"/>
    <x v="1"/>
    <x v="2"/>
    <x v="9"/>
    <n v="1"/>
    <n v="2"/>
    <n v="0"/>
    <m/>
    <x v="1"/>
    <n v="0.70082915315798311"/>
  </r>
  <r>
    <x v="15"/>
    <x v="0"/>
    <x v="1"/>
    <x v="2"/>
    <x v="0"/>
    <x v="1"/>
    <x v="0"/>
    <x v="0"/>
    <x v="1"/>
    <x v="0"/>
    <n v="1"/>
    <n v="1"/>
    <n v="0"/>
    <n v="1"/>
    <x v="0"/>
    <n v="5.2307797290685736E-2"/>
  </r>
  <r>
    <x v="19"/>
    <x v="0"/>
    <x v="1"/>
    <x v="0"/>
    <x v="2"/>
    <x v="0"/>
    <x v="0"/>
    <x v="0"/>
    <x v="2"/>
    <x v="8"/>
    <n v="1"/>
    <n v="1"/>
    <n v="0"/>
    <m/>
    <x v="1"/>
    <n v="9.650569894562866E-2"/>
  </r>
  <r>
    <x v="1"/>
    <x v="0"/>
    <x v="0"/>
    <x v="2"/>
    <x v="2"/>
    <x v="0"/>
    <x v="0"/>
    <x v="1"/>
    <x v="1"/>
    <x v="0"/>
    <n v="3"/>
    <n v="3"/>
    <n v="0"/>
    <n v="3"/>
    <x v="0"/>
    <n v="0.16781369661237011"/>
  </r>
  <r>
    <x v="12"/>
    <x v="1"/>
    <x v="1"/>
    <x v="2"/>
    <x v="0"/>
    <x v="1"/>
    <x v="0"/>
    <x v="0"/>
    <x v="1"/>
    <x v="1"/>
    <n v="1"/>
    <n v="1"/>
    <n v="0"/>
    <m/>
    <x v="1"/>
    <n v="7.7023371586454323E-2"/>
  </r>
  <r>
    <x v="0"/>
    <x v="1"/>
    <x v="1"/>
    <x v="0"/>
    <x v="0"/>
    <x v="0"/>
    <x v="1"/>
    <x v="0"/>
    <x v="1"/>
    <x v="5"/>
    <n v="1"/>
    <n v="1"/>
    <n v="0"/>
    <n v="1"/>
    <x v="0"/>
    <n v="1.5019597440186468E-2"/>
  </r>
  <r>
    <x v="1"/>
    <x v="1"/>
    <x v="1"/>
    <x v="0"/>
    <x v="0"/>
    <x v="1"/>
    <x v="0"/>
    <x v="1"/>
    <x v="1"/>
    <x v="3"/>
    <n v="1"/>
    <n v="1"/>
    <n v="0"/>
    <n v="1"/>
    <x v="0"/>
    <n v="5.9651729761640827E-2"/>
  </r>
  <r>
    <x v="14"/>
    <x v="0"/>
    <x v="1"/>
    <x v="1"/>
    <x v="2"/>
    <x v="0"/>
    <x v="1"/>
    <x v="1"/>
    <x v="0"/>
    <x v="6"/>
    <n v="1"/>
    <n v="1"/>
    <n v="0"/>
    <m/>
    <x v="1"/>
    <n v="1.0159072239262455E-2"/>
  </r>
  <r>
    <x v="8"/>
    <x v="1"/>
    <x v="1"/>
    <x v="0"/>
    <x v="2"/>
    <x v="0"/>
    <x v="1"/>
    <x v="1"/>
    <x v="1"/>
    <x v="7"/>
    <n v="1"/>
    <n v="1"/>
    <n v="0"/>
    <m/>
    <x v="1"/>
    <n v="2.1886493307591109E-2"/>
  </r>
  <r>
    <x v="10"/>
    <x v="0"/>
    <x v="1"/>
    <x v="0"/>
    <x v="3"/>
    <x v="0"/>
    <x v="1"/>
    <x v="1"/>
    <x v="1"/>
    <x v="5"/>
    <n v="1"/>
    <n v="1"/>
    <n v="0"/>
    <m/>
    <x v="1"/>
    <n v="1.9653885350930222E-2"/>
  </r>
  <r>
    <x v="8"/>
    <x v="0"/>
    <x v="0"/>
    <x v="1"/>
    <x v="3"/>
    <x v="0"/>
    <x v="1"/>
    <x v="1"/>
    <x v="2"/>
    <x v="2"/>
    <n v="1"/>
    <n v="1"/>
    <n v="0"/>
    <m/>
    <x v="1"/>
    <n v="4.3022777972624354E-2"/>
  </r>
  <r>
    <x v="20"/>
    <x v="0"/>
    <x v="0"/>
    <x v="2"/>
    <x v="2"/>
    <x v="0"/>
    <x v="0"/>
    <x v="1"/>
    <x v="2"/>
    <x v="9"/>
    <n v="1"/>
    <n v="1"/>
    <n v="0"/>
    <n v="1"/>
    <x v="0"/>
    <n v="0.1682793086942907"/>
  </r>
  <r>
    <x v="6"/>
    <x v="0"/>
    <x v="0"/>
    <x v="0"/>
    <x v="1"/>
    <x v="0"/>
    <x v="1"/>
    <x v="0"/>
    <x v="1"/>
    <x v="5"/>
    <n v="1"/>
    <n v="1"/>
    <n v="0"/>
    <m/>
    <x v="1"/>
    <n v="2.1100161961676144E-2"/>
  </r>
  <r>
    <x v="2"/>
    <x v="0"/>
    <x v="0"/>
    <x v="2"/>
    <x v="1"/>
    <x v="1"/>
    <x v="0"/>
    <x v="1"/>
    <x v="0"/>
    <x v="9"/>
    <n v="3"/>
    <n v="6"/>
    <n v="0"/>
    <m/>
    <x v="1"/>
    <n v="0.91250451871139027"/>
  </r>
  <r>
    <x v="21"/>
    <x v="0"/>
    <x v="1"/>
    <x v="1"/>
    <x v="1"/>
    <x v="1"/>
    <x v="0"/>
    <x v="1"/>
    <x v="0"/>
    <x v="4"/>
    <n v="1"/>
    <n v="1"/>
    <n v="0"/>
    <m/>
    <x v="1"/>
    <n v="4.1399495065687533E-2"/>
  </r>
  <r>
    <x v="5"/>
    <x v="1"/>
    <x v="1"/>
    <x v="0"/>
    <x v="2"/>
    <x v="0"/>
    <x v="0"/>
    <x v="1"/>
    <x v="2"/>
    <x v="9"/>
    <n v="1"/>
    <n v="2"/>
    <n v="1"/>
    <n v="1"/>
    <x v="0"/>
    <n v="0.27808190480497447"/>
  </r>
  <r>
    <x v="8"/>
    <x v="1"/>
    <x v="1"/>
    <x v="0"/>
    <x v="0"/>
    <x v="0"/>
    <x v="0"/>
    <x v="1"/>
    <x v="0"/>
    <x v="0"/>
    <n v="1"/>
    <n v="2"/>
    <n v="0"/>
    <m/>
    <x v="1"/>
    <n v="9.3431052185651564E-2"/>
  </r>
  <r>
    <x v="10"/>
    <x v="0"/>
    <x v="0"/>
    <x v="2"/>
    <x v="2"/>
    <x v="0"/>
    <x v="0"/>
    <x v="1"/>
    <x v="2"/>
    <x v="9"/>
    <n v="3"/>
    <n v="5"/>
    <n v="0"/>
    <m/>
    <x v="1"/>
    <n v="0.84139654347145354"/>
  </r>
  <r>
    <x v="17"/>
    <x v="1"/>
    <x v="0"/>
    <x v="0"/>
    <x v="1"/>
    <x v="1"/>
    <x v="0"/>
    <x v="1"/>
    <x v="0"/>
    <x v="9"/>
    <n v="4"/>
    <n v="5"/>
    <n v="1"/>
    <n v="4"/>
    <x v="0"/>
    <n v="0.85455061524630627"/>
  </r>
  <r>
    <x v="14"/>
    <x v="0"/>
    <x v="1"/>
    <x v="0"/>
    <x v="0"/>
    <x v="0"/>
    <x v="1"/>
    <x v="1"/>
    <x v="0"/>
    <x v="5"/>
    <n v="5"/>
    <n v="7"/>
    <n v="0"/>
    <m/>
    <x v="1"/>
    <n v="0.10572290250767247"/>
  </r>
  <r>
    <x v="11"/>
    <x v="1"/>
    <x v="1"/>
    <x v="0"/>
    <x v="0"/>
    <x v="0"/>
    <x v="1"/>
    <x v="0"/>
    <x v="1"/>
    <x v="5"/>
    <n v="2"/>
    <n v="2"/>
    <n v="0"/>
    <m/>
    <x v="1"/>
    <n v="3.0039194880372936E-2"/>
  </r>
  <r>
    <x v="14"/>
    <x v="1"/>
    <x v="0"/>
    <x v="0"/>
    <x v="1"/>
    <x v="1"/>
    <x v="0"/>
    <x v="1"/>
    <x v="0"/>
    <x v="9"/>
    <n v="1"/>
    <n v="4"/>
    <n v="0"/>
    <m/>
    <x v="1"/>
    <n v="0.68364049219704504"/>
  </r>
  <r>
    <x v="1"/>
    <x v="1"/>
    <x v="0"/>
    <x v="2"/>
    <x v="3"/>
    <x v="1"/>
    <x v="0"/>
    <x v="1"/>
    <x v="2"/>
    <x v="9"/>
    <n v="1"/>
    <n v="1"/>
    <n v="0"/>
    <n v="1"/>
    <x v="0"/>
    <n v="0.44921867129852688"/>
  </r>
  <r>
    <x v="9"/>
    <x v="1"/>
    <x v="1"/>
    <x v="0"/>
    <x v="3"/>
    <x v="1"/>
    <x v="0"/>
    <x v="1"/>
    <x v="2"/>
    <x v="9"/>
    <n v="1"/>
    <n v="2"/>
    <n v="0"/>
    <n v="1"/>
    <x v="0"/>
    <n v="0.60196473110228521"/>
  </r>
  <r>
    <x v="12"/>
    <x v="1"/>
    <x v="1"/>
    <x v="0"/>
    <x v="0"/>
    <x v="0"/>
    <x v="1"/>
    <x v="0"/>
    <x v="1"/>
    <x v="5"/>
    <n v="3"/>
    <n v="3"/>
    <n v="0"/>
    <m/>
    <x v="1"/>
    <n v="4.5058792320559406E-2"/>
  </r>
  <r>
    <x v="19"/>
    <x v="1"/>
    <x v="1"/>
    <x v="0"/>
    <x v="1"/>
    <x v="0"/>
    <x v="0"/>
    <x v="1"/>
    <x v="2"/>
    <x v="9"/>
    <n v="2"/>
    <n v="9"/>
    <n v="0"/>
    <m/>
    <x v="1"/>
    <n v="1.2637367614804249"/>
  </r>
  <r>
    <x v="15"/>
    <x v="0"/>
    <x v="1"/>
    <x v="0"/>
    <x v="0"/>
    <x v="0"/>
    <x v="1"/>
    <x v="0"/>
    <x v="2"/>
    <x v="4"/>
    <n v="1"/>
    <n v="1"/>
    <n v="0"/>
    <n v="1"/>
    <x v="0"/>
    <n v="3.3292078574409821E-2"/>
  </r>
  <r>
    <x v="9"/>
    <x v="0"/>
    <x v="1"/>
    <x v="0"/>
    <x v="2"/>
    <x v="0"/>
    <x v="0"/>
    <x v="0"/>
    <x v="2"/>
    <x v="8"/>
    <n v="2"/>
    <n v="2"/>
    <n v="0"/>
    <n v="2"/>
    <x v="0"/>
    <n v="0.19301139789125732"/>
  </r>
  <r>
    <x v="5"/>
    <x v="0"/>
    <x v="1"/>
    <x v="0"/>
    <x v="0"/>
    <x v="0"/>
    <x v="0"/>
    <x v="1"/>
    <x v="2"/>
    <x v="1"/>
    <n v="2"/>
    <n v="3"/>
    <n v="0"/>
    <n v="2"/>
    <x v="0"/>
    <n v="0.20355317631477285"/>
  </r>
  <r>
    <x v="10"/>
    <x v="1"/>
    <x v="0"/>
    <x v="2"/>
    <x v="3"/>
    <x v="1"/>
    <x v="0"/>
    <x v="0"/>
    <x v="2"/>
    <x v="9"/>
    <n v="1"/>
    <n v="1"/>
    <n v="0"/>
    <m/>
    <x v="1"/>
    <n v="0.44921867129852688"/>
  </r>
  <r>
    <x v="13"/>
    <x v="1"/>
    <x v="1"/>
    <x v="2"/>
    <x v="2"/>
    <x v="1"/>
    <x v="1"/>
    <x v="1"/>
    <x v="1"/>
    <x v="0"/>
    <n v="1"/>
    <n v="1"/>
    <n v="0"/>
    <m/>
    <x v="1"/>
    <n v="5.4764888380398044E-2"/>
  </r>
  <r>
    <x v="3"/>
    <x v="0"/>
    <x v="1"/>
    <x v="0"/>
    <x v="0"/>
    <x v="0"/>
    <x v="0"/>
    <x v="0"/>
    <x v="2"/>
    <x v="1"/>
    <n v="3"/>
    <n v="4"/>
    <n v="0"/>
    <m/>
    <x v="1"/>
    <n v="0.2714042350863638"/>
  </r>
  <r>
    <x v="3"/>
    <x v="1"/>
    <x v="0"/>
    <x v="0"/>
    <x v="3"/>
    <x v="0"/>
    <x v="1"/>
    <x v="1"/>
    <x v="1"/>
    <x v="4"/>
    <n v="2"/>
    <n v="2"/>
    <n v="0"/>
    <m/>
    <x v="1"/>
    <n v="8.3638692950630325E-2"/>
  </r>
  <r>
    <x v="9"/>
    <x v="1"/>
    <x v="0"/>
    <x v="0"/>
    <x v="2"/>
    <x v="0"/>
    <x v="1"/>
    <x v="0"/>
    <x v="2"/>
    <x v="8"/>
    <n v="1"/>
    <n v="2"/>
    <n v="0"/>
    <n v="1"/>
    <x v="0"/>
    <n v="0.19822699262559396"/>
  </r>
  <r>
    <x v="14"/>
    <x v="0"/>
    <x v="1"/>
    <x v="2"/>
    <x v="2"/>
    <x v="1"/>
    <x v="0"/>
    <x v="1"/>
    <x v="0"/>
    <x v="8"/>
    <n v="1"/>
    <n v="1"/>
    <n v="0"/>
    <m/>
    <x v="1"/>
    <n v="0.10964771003463976"/>
  </r>
  <r>
    <x v="12"/>
    <x v="0"/>
    <x v="1"/>
    <x v="0"/>
    <x v="2"/>
    <x v="1"/>
    <x v="0"/>
    <x v="0"/>
    <x v="0"/>
    <x v="8"/>
    <n v="1"/>
    <n v="1"/>
    <n v="0"/>
    <m/>
    <x v="1"/>
    <n v="8.5600473827371765E-2"/>
  </r>
  <r>
    <x v="22"/>
    <x v="1"/>
    <x v="1"/>
    <x v="2"/>
    <x v="0"/>
    <x v="1"/>
    <x v="1"/>
    <x v="1"/>
    <x v="1"/>
    <x v="4"/>
    <n v="1"/>
    <n v="1"/>
    <n v="0"/>
    <n v="1"/>
    <x v="0"/>
    <n v="3.7982968009771363E-2"/>
  </r>
  <r>
    <x v="19"/>
    <x v="1"/>
    <x v="0"/>
    <x v="0"/>
    <x v="0"/>
    <x v="1"/>
    <x v="0"/>
    <x v="0"/>
    <x v="2"/>
    <x v="9"/>
    <n v="1"/>
    <n v="2"/>
    <n v="0"/>
    <m/>
    <x v="1"/>
    <n v="0.47548915672805464"/>
  </r>
  <r>
    <x v="7"/>
    <x v="1"/>
    <x v="0"/>
    <x v="2"/>
    <x v="2"/>
    <x v="0"/>
    <x v="0"/>
    <x v="0"/>
    <x v="0"/>
    <x v="8"/>
    <n v="1"/>
    <n v="2"/>
    <n v="0"/>
    <m/>
    <x v="1"/>
    <n v="0.23976766504814812"/>
  </r>
  <r>
    <x v="14"/>
    <x v="0"/>
    <x v="1"/>
    <x v="1"/>
    <x v="1"/>
    <x v="1"/>
    <x v="0"/>
    <x v="1"/>
    <x v="0"/>
    <x v="4"/>
    <n v="1"/>
    <n v="1"/>
    <n v="0"/>
    <m/>
    <x v="1"/>
    <n v="4.1399495065687533E-2"/>
  </r>
  <r>
    <x v="15"/>
    <x v="1"/>
    <x v="0"/>
    <x v="2"/>
    <x v="0"/>
    <x v="0"/>
    <x v="0"/>
    <x v="1"/>
    <x v="2"/>
    <x v="9"/>
    <n v="2"/>
    <n v="4"/>
    <n v="0"/>
    <n v="2"/>
    <x v="0"/>
    <n v="0.69001129149461504"/>
  </r>
  <r>
    <x v="2"/>
    <x v="0"/>
    <x v="0"/>
    <x v="1"/>
    <x v="0"/>
    <x v="0"/>
    <x v="1"/>
    <x v="0"/>
    <x v="2"/>
    <x v="7"/>
    <n v="1"/>
    <n v="1"/>
    <n v="0"/>
    <m/>
    <x v="1"/>
    <n v="2.2116330033594731E-2"/>
  </r>
  <r>
    <x v="19"/>
    <x v="1"/>
    <x v="0"/>
    <x v="2"/>
    <x v="2"/>
    <x v="0"/>
    <x v="0"/>
    <x v="0"/>
    <x v="1"/>
    <x v="1"/>
    <n v="2"/>
    <n v="2"/>
    <n v="0"/>
    <m/>
    <x v="1"/>
    <n v="0.16443979139191614"/>
  </r>
  <r>
    <x v="3"/>
    <x v="0"/>
    <x v="1"/>
    <x v="2"/>
    <x v="0"/>
    <x v="0"/>
    <x v="0"/>
    <x v="1"/>
    <x v="2"/>
    <x v="8"/>
    <n v="1"/>
    <n v="1"/>
    <n v="0"/>
    <m/>
    <x v="1"/>
    <n v="8.7388588178664475E-2"/>
  </r>
  <r>
    <x v="6"/>
    <x v="1"/>
    <x v="0"/>
    <x v="0"/>
    <x v="0"/>
    <x v="0"/>
    <x v="0"/>
    <x v="0"/>
    <x v="0"/>
    <x v="1"/>
    <n v="3"/>
    <n v="3"/>
    <n v="0"/>
    <m/>
    <x v="1"/>
    <n v="0.19773182709481041"/>
  </r>
  <r>
    <x v="5"/>
    <x v="1"/>
    <x v="1"/>
    <x v="2"/>
    <x v="1"/>
    <x v="0"/>
    <x v="0"/>
    <x v="1"/>
    <x v="0"/>
    <x v="8"/>
    <n v="1"/>
    <n v="2"/>
    <n v="0"/>
    <n v="1"/>
    <x v="0"/>
    <n v="0.17466290492702188"/>
  </r>
  <r>
    <x v="14"/>
    <x v="0"/>
    <x v="1"/>
    <x v="0"/>
    <x v="2"/>
    <x v="0"/>
    <x v="1"/>
    <x v="1"/>
    <x v="0"/>
    <x v="7"/>
    <n v="1"/>
    <n v="1"/>
    <n v="0"/>
    <m/>
    <x v="1"/>
    <n v="2.2007568458762099E-2"/>
  </r>
  <r>
    <x v="17"/>
    <x v="0"/>
    <x v="1"/>
    <x v="2"/>
    <x v="2"/>
    <x v="0"/>
    <x v="0"/>
    <x v="1"/>
    <x v="2"/>
    <x v="8"/>
    <n v="2"/>
    <n v="2"/>
    <n v="0"/>
    <n v="2"/>
    <x v="0"/>
    <n v="0.24640740521321994"/>
  </r>
  <r>
    <x v="6"/>
    <x v="1"/>
    <x v="0"/>
    <x v="0"/>
    <x v="2"/>
    <x v="1"/>
    <x v="0"/>
    <x v="1"/>
    <x v="2"/>
    <x v="9"/>
    <n v="1"/>
    <n v="1"/>
    <n v="0"/>
    <m/>
    <x v="1"/>
    <n v="0.31398055376811668"/>
  </r>
  <r>
    <x v="9"/>
    <x v="1"/>
    <x v="1"/>
    <x v="2"/>
    <x v="2"/>
    <x v="1"/>
    <x v="0"/>
    <x v="0"/>
    <x v="0"/>
    <x v="9"/>
    <n v="1"/>
    <n v="1"/>
    <n v="0"/>
    <n v="1"/>
    <x v="0"/>
    <n v="0.15696901095540433"/>
  </r>
  <r>
    <x v="21"/>
    <x v="0"/>
    <x v="0"/>
    <x v="0"/>
    <x v="3"/>
    <x v="1"/>
    <x v="0"/>
    <x v="1"/>
    <x v="2"/>
    <x v="9"/>
    <n v="2"/>
    <n v="6"/>
    <n v="0"/>
    <m/>
    <x v="1"/>
    <n v="1.7448647012571212"/>
  </r>
  <r>
    <x v="15"/>
    <x v="1"/>
    <x v="1"/>
    <x v="1"/>
    <x v="0"/>
    <x v="0"/>
    <x v="0"/>
    <x v="1"/>
    <x v="0"/>
    <x v="7"/>
    <n v="1"/>
    <n v="1"/>
    <n v="0"/>
    <n v="1"/>
    <x v="0"/>
    <n v="2.1862051188270244E-2"/>
  </r>
  <r>
    <x v="17"/>
    <x v="0"/>
    <x v="0"/>
    <x v="0"/>
    <x v="2"/>
    <x v="0"/>
    <x v="0"/>
    <x v="1"/>
    <x v="0"/>
    <x v="3"/>
    <n v="1"/>
    <n v="1"/>
    <n v="0"/>
    <n v="1"/>
    <x v="0"/>
    <n v="6.4094727704312654E-2"/>
  </r>
  <r>
    <x v="22"/>
    <x v="0"/>
    <x v="0"/>
    <x v="2"/>
    <x v="0"/>
    <x v="1"/>
    <x v="0"/>
    <x v="1"/>
    <x v="1"/>
    <x v="1"/>
    <n v="1"/>
    <n v="1"/>
    <n v="0"/>
    <n v="1"/>
    <x v="0"/>
    <n v="7.3623241710018827E-2"/>
  </r>
  <r>
    <x v="17"/>
    <x v="1"/>
    <x v="1"/>
    <x v="2"/>
    <x v="0"/>
    <x v="0"/>
    <x v="0"/>
    <x v="1"/>
    <x v="1"/>
    <x v="4"/>
    <n v="2"/>
    <n v="2"/>
    <n v="0"/>
    <n v="1"/>
    <x v="0"/>
    <n v="8.1348580053063432E-2"/>
  </r>
  <r>
    <x v="17"/>
    <x v="0"/>
    <x v="0"/>
    <x v="0"/>
    <x v="2"/>
    <x v="1"/>
    <x v="0"/>
    <x v="0"/>
    <x v="0"/>
    <x v="8"/>
    <n v="1"/>
    <n v="1"/>
    <n v="0"/>
    <n v="1"/>
    <x v="0"/>
    <n v="0.11878225625148879"/>
  </r>
  <r>
    <x v="9"/>
    <x v="0"/>
    <x v="0"/>
    <x v="0"/>
    <x v="0"/>
    <x v="0"/>
    <x v="1"/>
    <x v="1"/>
    <x v="2"/>
    <x v="0"/>
    <n v="2"/>
    <n v="3"/>
    <n v="0"/>
    <n v="2"/>
    <x v="0"/>
    <n v="0.14173474431519847"/>
  </r>
  <r>
    <x v="21"/>
    <x v="0"/>
    <x v="1"/>
    <x v="0"/>
    <x v="1"/>
    <x v="1"/>
    <x v="0"/>
    <x v="1"/>
    <x v="2"/>
    <x v="9"/>
    <n v="1"/>
    <n v="5"/>
    <n v="0"/>
    <m/>
    <x v="1"/>
    <n v="0.87680743802938443"/>
  </r>
  <r>
    <x v="16"/>
    <x v="1"/>
    <x v="0"/>
    <x v="2"/>
    <x v="3"/>
    <x v="1"/>
    <x v="0"/>
    <x v="1"/>
    <x v="2"/>
    <x v="9"/>
    <n v="1"/>
    <n v="2"/>
    <n v="0"/>
    <m/>
    <x v="1"/>
    <n v="0.89843734259705377"/>
  </r>
  <r>
    <x v="3"/>
    <x v="1"/>
    <x v="1"/>
    <x v="2"/>
    <x v="0"/>
    <x v="0"/>
    <x v="1"/>
    <x v="1"/>
    <x v="0"/>
    <x v="7"/>
    <n v="1"/>
    <n v="1"/>
    <n v="0"/>
    <m/>
    <x v="1"/>
    <n v="2.9597991163995179E-2"/>
  </r>
  <r>
    <x v="2"/>
    <x v="1"/>
    <x v="1"/>
    <x v="1"/>
    <x v="1"/>
    <x v="0"/>
    <x v="0"/>
    <x v="1"/>
    <x v="1"/>
    <x v="5"/>
    <n v="2"/>
    <n v="2"/>
    <n v="0"/>
    <m/>
    <x v="1"/>
    <n v="4.270571089939363E-2"/>
  </r>
  <r>
    <x v="5"/>
    <x v="1"/>
    <x v="0"/>
    <x v="2"/>
    <x v="3"/>
    <x v="1"/>
    <x v="0"/>
    <x v="0"/>
    <x v="2"/>
    <x v="9"/>
    <n v="1"/>
    <n v="1"/>
    <n v="0"/>
    <n v="1"/>
    <x v="0"/>
    <n v="0.44921867129852688"/>
  </r>
  <r>
    <x v="22"/>
    <x v="1"/>
    <x v="0"/>
    <x v="0"/>
    <x v="2"/>
    <x v="1"/>
    <x v="0"/>
    <x v="1"/>
    <x v="0"/>
    <x v="9"/>
    <n v="1"/>
    <n v="1"/>
    <n v="0"/>
    <n v="1"/>
    <x v="0"/>
    <n v="0.1692962067399281"/>
  </r>
  <r>
    <x v="17"/>
    <x v="1"/>
    <x v="1"/>
    <x v="0"/>
    <x v="1"/>
    <x v="0"/>
    <x v="0"/>
    <x v="1"/>
    <x v="2"/>
    <x v="9"/>
    <n v="2"/>
    <n v="2"/>
    <n v="1"/>
    <n v="1"/>
    <x v="0"/>
    <n v="0.28083039144009442"/>
  </r>
  <r>
    <x v="2"/>
    <x v="0"/>
    <x v="0"/>
    <x v="0"/>
    <x v="0"/>
    <x v="0"/>
    <x v="1"/>
    <x v="0"/>
    <x v="0"/>
    <x v="7"/>
    <n v="4"/>
    <n v="4"/>
    <n v="0"/>
    <m/>
    <x v="1"/>
    <n v="8.6413859233268817E-2"/>
  </r>
  <r>
    <x v="11"/>
    <x v="0"/>
    <x v="0"/>
    <x v="2"/>
    <x v="1"/>
    <x v="1"/>
    <x v="0"/>
    <x v="1"/>
    <x v="0"/>
    <x v="9"/>
    <n v="1"/>
    <n v="2"/>
    <n v="0"/>
    <m/>
    <x v="1"/>
    <n v="0.30416817290379677"/>
  </r>
  <r>
    <x v="20"/>
    <x v="0"/>
    <x v="1"/>
    <x v="1"/>
    <x v="2"/>
    <x v="0"/>
    <x v="1"/>
    <x v="1"/>
    <x v="0"/>
    <x v="6"/>
    <n v="1"/>
    <n v="1"/>
    <n v="0"/>
    <n v="1"/>
    <x v="0"/>
    <n v="1.0159072239262455E-2"/>
  </r>
  <r>
    <x v="3"/>
    <x v="0"/>
    <x v="1"/>
    <x v="1"/>
    <x v="0"/>
    <x v="0"/>
    <x v="0"/>
    <x v="1"/>
    <x v="2"/>
    <x v="4"/>
    <n v="1"/>
    <n v="1"/>
    <n v="0"/>
    <m/>
    <x v="1"/>
    <n v="3.2132126409987367E-2"/>
  </r>
  <r>
    <x v="19"/>
    <x v="0"/>
    <x v="1"/>
    <x v="1"/>
    <x v="0"/>
    <x v="0"/>
    <x v="1"/>
    <x v="1"/>
    <x v="1"/>
    <x v="6"/>
    <n v="1"/>
    <n v="1"/>
    <n v="0"/>
    <m/>
    <x v="1"/>
    <n v="4.5788555386867564E-3"/>
  </r>
  <r>
    <x v="10"/>
    <x v="0"/>
    <x v="0"/>
    <x v="2"/>
    <x v="2"/>
    <x v="1"/>
    <x v="1"/>
    <x v="0"/>
    <x v="1"/>
    <x v="0"/>
    <n v="1"/>
    <n v="1"/>
    <n v="0"/>
    <m/>
    <x v="1"/>
    <n v="5.2291671314483069E-2"/>
  </r>
  <r>
    <x v="9"/>
    <x v="0"/>
    <x v="1"/>
    <x v="0"/>
    <x v="2"/>
    <x v="1"/>
    <x v="1"/>
    <x v="0"/>
    <x v="2"/>
    <x v="8"/>
    <n v="2"/>
    <n v="2"/>
    <n v="0"/>
    <n v="2"/>
    <x v="0"/>
    <n v="0.18093705206452348"/>
  </r>
  <r>
    <x v="8"/>
    <x v="0"/>
    <x v="0"/>
    <x v="0"/>
    <x v="3"/>
    <x v="1"/>
    <x v="0"/>
    <x v="1"/>
    <x v="0"/>
    <x v="9"/>
    <n v="2"/>
    <n v="5"/>
    <n v="0"/>
    <m/>
    <x v="1"/>
    <n v="0.77200115863017826"/>
  </r>
  <r>
    <x v="2"/>
    <x v="1"/>
    <x v="0"/>
    <x v="0"/>
    <x v="2"/>
    <x v="1"/>
    <x v="1"/>
    <x v="1"/>
    <x v="2"/>
    <x v="9"/>
    <n v="1"/>
    <n v="1"/>
    <n v="0"/>
    <m/>
    <x v="1"/>
    <n v="0.1779974580864464"/>
  </r>
  <r>
    <x v="22"/>
    <x v="0"/>
    <x v="1"/>
    <x v="0"/>
    <x v="0"/>
    <x v="0"/>
    <x v="0"/>
    <x v="1"/>
    <x v="2"/>
    <x v="1"/>
    <n v="1"/>
    <n v="1"/>
    <n v="0"/>
    <n v="1"/>
    <x v="0"/>
    <n v="6.785105877159095E-2"/>
  </r>
  <r>
    <x v="16"/>
    <x v="1"/>
    <x v="1"/>
    <x v="2"/>
    <x v="1"/>
    <x v="0"/>
    <x v="0"/>
    <x v="1"/>
    <x v="0"/>
    <x v="8"/>
    <n v="1"/>
    <n v="2"/>
    <n v="0"/>
    <m/>
    <x v="1"/>
    <n v="0.17466290492702188"/>
  </r>
  <r>
    <x v="19"/>
    <x v="1"/>
    <x v="1"/>
    <x v="0"/>
    <x v="2"/>
    <x v="1"/>
    <x v="0"/>
    <x v="0"/>
    <x v="0"/>
    <x v="8"/>
    <n v="1"/>
    <n v="1"/>
    <n v="0"/>
    <m/>
    <x v="1"/>
    <n v="0.12398881875313826"/>
  </r>
  <r>
    <x v="2"/>
    <x v="1"/>
    <x v="0"/>
    <x v="0"/>
    <x v="2"/>
    <x v="1"/>
    <x v="0"/>
    <x v="1"/>
    <x v="2"/>
    <x v="9"/>
    <n v="1"/>
    <n v="2"/>
    <n v="0"/>
    <m/>
    <x v="1"/>
    <n v="0.62796110753623335"/>
  </r>
  <r>
    <x v="5"/>
    <x v="1"/>
    <x v="1"/>
    <x v="0"/>
    <x v="2"/>
    <x v="0"/>
    <x v="1"/>
    <x v="1"/>
    <x v="0"/>
    <x v="4"/>
    <n v="1"/>
    <n v="2"/>
    <n v="0"/>
    <n v="1"/>
    <x v="0"/>
    <n v="6.5806557275802507E-2"/>
  </r>
  <r>
    <x v="17"/>
    <x v="0"/>
    <x v="1"/>
    <x v="1"/>
    <x v="1"/>
    <x v="0"/>
    <x v="0"/>
    <x v="1"/>
    <x v="0"/>
    <x v="5"/>
    <n v="1"/>
    <n v="1"/>
    <n v="0"/>
    <n v="1"/>
    <x v="0"/>
    <n v="2.1471043341050454E-2"/>
  </r>
  <r>
    <x v="5"/>
    <x v="0"/>
    <x v="0"/>
    <x v="0"/>
    <x v="3"/>
    <x v="1"/>
    <x v="1"/>
    <x v="0"/>
    <x v="2"/>
    <x v="9"/>
    <n v="1"/>
    <n v="1"/>
    <n v="0"/>
    <n v="1"/>
    <x v="0"/>
    <n v="0.16248563228241489"/>
  </r>
  <r>
    <x v="12"/>
    <x v="0"/>
    <x v="0"/>
    <x v="1"/>
    <x v="2"/>
    <x v="1"/>
    <x v="0"/>
    <x v="1"/>
    <x v="0"/>
    <x v="0"/>
    <n v="2"/>
    <n v="2"/>
    <n v="0"/>
    <m/>
    <x v="1"/>
    <n v="0.11583488445771037"/>
  </r>
  <r>
    <x v="5"/>
    <x v="0"/>
    <x v="1"/>
    <x v="0"/>
    <x v="3"/>
    <x v="0"/>
    <x v="1"/>
    <x v="1"/>
    <x v="2"/>
    <x v="3"/>
    <n v="1"/>
    <n v="1"/>
    <n v="0"/>
    <n v="1"/>
    <x v="0"/>
    <n v="6.407072599452876E-2"/>
  </r>
  <r>
    <x v="5"/>
    <x v="1"/>
    <x v="0"/>
    <x v="2"/>
    <x v="0"/>
    <x v="0"/>
    <x v="1"/>
    <x v="1"/>
    <x v="0"/>
    <x v="2"/>
    <n v="1"/>
    <n v="1"/>
    <n v="0"/>
    <n v="1"/>
    <x v="0"/>
    <n v="4.2069997453546046E-2"/>
  </r>
  <r>
    <x v="6"/>
    <x v="0"/>
    <x v="0"/>
    <x v="1"/>
    <x v="0"/>
    <x v="0"/>
    <x v="1"/>
    <x v="0"/>
    <x v="0"/>
    <x v="6"/>
    <n v="1"/>
    <n v="2"/>
    <n v="0"/>
    <m/>
    <x v="1"/>
    <n v="1.9940626127143805E-2"/>
  </r>
  <r>
    <x v="14"/>
    <x v="1"/>
    <x v="0"/>
    <x v="0"/>
    <x v="2"/>
    <x v="0"/>
    <x v="0"/>
    <x v="0"/>
    <x v="2"/>
    <x v="9"/>
    <n v="1"/>
    <n v="6"/>
    <n v="1"/>
    <m/>
    <x v="1"/>
    <n v="1.1319842306097818"/>
  </r>
  <r>
    <x v="7"/>
    <x v="0"/>
    <x v="0"/>
    <x v="0"/>
    <x v="0"/>
    <x v="1"/>
    <x v="0"/>
    <x v="1"/>
    <x v="2"/>
    <x v="9"/>
    <n v="1"/>
    <n v="1"/>
    <n v="0"/>
    <m/>
    <x v="1"/>
    <n v="0.1710116934768498"/>
  </r>
  <r>
    <x v="20"/>
    <x v="0"/>
    <x v="0"/>
    <x v="2"/>
    <x v="3"/>
    <x v="1"/>
    <x v="0"/>
    <x v="1"/>
    <x v="0"/>
    <x v="9"/>
    <n v="1"/>
    <n v="1"/>
    <n v="0"/>
    <n v="1"/>
    <x v="0"/>
    <n v="0.19368117151349643"/>
  </r>
  <r>
    <x v="21"/>
    <x v="1"/>
    <x v="1"/>
    <x v="0"/>
    <x v="0"/>
    <x v="0"/>
    <x v="0"/>
    <x v="1"/>
    <x v="2"/>
    <x v="8"/>
    <n v="1"/>
    <n v="1"/>
    <n v="0"/>
    <m/>
    <x v="1"/>
    <n v="9.9142550923112027E-2"/>
  </r>
  <r>
    <x v="2"/>
    <x v="0"/>
    <x v="0"/>
    <x v="1"/>
    <x v="2"/>
    <x v="1"/>
    <x v="1"/>
    <x v="1"/>
    <x v="1"/>
    <x v="5"/>
    <n v="3"/>
    <n v="3"/>
    <n v="0"/>
    <m/>
    <x v="1"/>
    <n v="5.6312409038604239E-2"/>
  </r>
  <r>
    <x v="5"/>
    <x v="0"/>
    <x v="1"/>
    <x v="2"/>
    <x v="1"/>
    <x v="0"/>
    <x v="0"/>
    <x v="1"/>
    <x v="2"/>
    <x v="8"/>
    <n v="1"/>
    <n v="2"/>
    <n v="0"/>
    <n v="1"/>
    <x v="0"/>
    <n v="0.24888808001119248"/>
  </r>
  <r>
    <x v="8"/>
    <x v="1"/>
    <x v="0"/>
    <x v="0"/>
    <x v="3"/>
    <x v="0"/>
    <x v="0"/>
    <x v="1"/>
    <x v="1"/>
    <x v="8"/>
    <n v="1"/>
    <n v="1"/>
    <n v="0"/>
    <m/>
    <x v="1"/>
    <n v="8.4456755045901957E-2"/>
  </r>
  <r>
    <x v="6"/>
    <x v="0"/>
    <x v="1"/>
    <x v="0"/>
    <x v="1"/>
    <x v="1"/>
    <x v="0"/>
    <x v="1"/>
    <x v="2"/>
    <x v="9"/>
    <n v="1"/>
    <n v="4"/>
    <n v="0"/>
    <m/>
    <x v="1"/>
    <n v="0.70144595042350755"/>
  </r>
  <r>
    <x v="17"/>
    <x v="0"/>
    <x v="0"/>
    <x v="0"/>
    <x v="3"/>
    <x v="0"/>
    <x v="1"/>
    <x v="1"/>
    <x v="0"/>
    <x v="2"/>
    <n v="1"/>
    <n v="1"/>
    <n v="0"/>
    <n v="1"/>
    <x v="0"/>
    <n v="4.2045949270268397E-2"/>
  </r>
  <r>
    <x v="22"/>
    <x v="1"/>
    <x v="0"/>
    <x v="2"/>
    <x v="1"/>
    <x v="1"/>
    <x v="0"/>
    <x v="1"/>
    <x v="2"/>
    <x v="9"/>
    <n v="1"/>
    <n v="1"/>
    <n v="0"/>
    <n v="1"/>
    <x v="0"/>
    <n v="0.37850228785218432"/>
  </r>
  <r>
    <x v="17"/>
    <x v="0"/>
    <x v="0"/>
    <x v="0"/>
    <x v="3"/>
    <x v="1"/>
    <x v="0"/>
    <x v="1"/>
    <x v="0"/>
    <x v="9"/>
    <n v="1"/>
    <n v="1"/>
    <n v="0"/>
    <n v="1"/>
    <x v="0"/>
    <n v="0.15440023172603565"/>
  </r>
  <r>
    <x v="5"/>
    <x v="0"/>
    <x v="0"/>
    <x v="1"/>
    <x v="3"/>
    <x v="1"/>
    <x v="0"/>
    <x v="1"/>
    <x v="0"/>
    <x v="1"/>
    <n v="1"/>
    <n v="1"/>
    <n v="0"/>
    <n v="1"/>
    <x v="0"/>
    <n v="7.6876723979707504E-2"/>
  </r>
  <r>
    <x v="4"/>
    <x v="0"/>
    <x v="1"/>
    <x v="2"/>
    <x v="3"/>
    <x v="1"/>
    <x v="0"/>
    <x v="0"/>
    <x v="2"/>
    <x v="9"/>
    <n v="1"/>
    <n v="1"/>
    <n v="0"/>
    <m/>
    <x v="1"/>
    <n v="0.27253844728178028"/>
  </r>
  <r>
    <x v="14"/>
    <x v="0"/>
    <x v="0"/>
    <x v="1"/>
    <x v="3"/>
    <x v="0"/>
    <x v="0"/>
    <x v="1"/>
    <x v="2"/>
    <x v="8"/>
    <n v="1"/>
    <n v="1"/>
    <n v="0"/>
    <m/>
    <x v="1"/>
    <n v="8.6776040583617209E-2"/>
  </r>
  <r>
    <x v="1"/>
    <x v="1"/>
    <x v="1"/>
    <x v="0"/>
    <x v="2"/>
    <x v="0"/>
    <x v="0"/>
    <x v="0"/>
    <x v="2"/>
    <x v="9"/>
    <n v="1"/>
    <n v="1"/>
    <n v="0"/>
    <n v="1"/>
    <x v="0"/>
    <n v="0.13904095240248723"/>
  </r>
  <r>
    <x v="12"/>
    <x v="1"/>
    <x v="1"/>
    <x v="1"/>
    <x v="2"/>
    <x v="1"/>
    <x v="1"/>
    <x v="1"/>
    <x v="1"/>
    <x v="5"/>
    <n v="1"/>
    <n v="1"/>
    <n v="0"/>
    <m/>
    <x v="1"/>
    <n v="1.9691539744554062E-2"/>
  </r>
  <r>
    <x v="4"/>
    <x v="1"/>
    <x v="1"/>
    <x v="2"/>
    <x v="1"/>
    <x v="1"/>
    <x v="0"/>
    <x v="1"/>
    <x v="0"/>
    <x v="9"/>
    <n v="1"/>
    <n v="1"/>
    <n v="0"/>
    <m/>
    <x v="1"/>
    <n v="0.15848783160330054"/>
  </r>
  <r>
    <x v="18"/>
    <x v="0"/>
    <x v="1"/>
    <x v="0"/>
    <x v="0"/>
    <x v="0"/>
    <x v="1"/>
    <x v="1"/>
    <x v="1"/>
    <x v="6"/>
    <n v="1"/>
    <n v="1"/>
    <n v="0"/>
    <m/>
    <x v="1"/>
    <n v="9.9848113487339026E-3"/>
  </r>
  <r>
    <x v="20"/>
    <x v="0"/>
    <x v="0"/>
    <x v="0"/>
    <x v="2"/>
    <x v="0"/>
    <x v="1"/>
    <x v="0"/>
    <x v="0"/>
    <x v="4"/>
    <n v="1"/>
    <n v="1"/>
    <n v="0"/>
    <n v="1"/>
    <x v="0"/>
    <n v="3.1384565006669626E-2"/>
  </r>
  <r>
    <x v="10"/>
    <x v="1"/>
    <x v="0"/>
    <x v="0"/>
    <x v="3"/>
    <x v="0"/>
    <x v="0"/>
    <x v="1"/>
    <x v="1"/>
    <x v="8"/>
    <n v="1"/>
    <n v="1"/>
    <n v="0"/>
    <m/>
    <x v="1"/>
    <n v="8.4456755045901957E-2"/>
  </r>
  <r>
    <x v="20"/>
    <x v="0"/>
    <x v="0"/>
    <x v="0"/>
    <x v="0"/>
    <x v="0"/>
    <x v="1"/>
    <x v="0"/>
    <x v="0"/>
    <x v="7"/>
    <n v="1"/>
    <n v="1"/>
    <n v="0"/>
    <n v="1"/>
    <x v="0"/>
    <n v="2.1603464808317204E-2"/>
  </r>
  <r>
    <x v="2"/>
    <x v="1"/>
    <x v="0"/>
    <x v="0"/>
    <x v="2"/>
    <x v="0"/>
    <x v="0"/>
    <x v="1"/>
    <x v="2"/>
    <x v="9"/>
    <n v="3"/>
    <n v="12"/>
    <n v="1"/>
    <m/>
    <x v="1"/>
    <n v="2.2639684612195636"/>
  </r>
  <r>
    <x v="12"/>
    <x v="1"/>
    <x v="0"/>
    <x v="0"/>
    <x v="0"/>
    <x v="0"/>
    <x v="1"/>
    <x v="0"/>
    <x v="2"/>
    <x v="1"/>
    <n v="1"/>
    <n v="1"/>
    <n v="0"/>
    <m/>
    <x v="1"/>
    <n v="6.974431660442891E-2"/>
  </r>
  <r>
    <x v="7"/>
    <x v="1"/>
    <x v="1"/>
    <x v="1"/>
    <x v="0"/>
    <x v="0"/>
    <x v="0"/>
    <x v="0"/>
    <x v="1"/>
    <x v="6"/>
    <n v="5"/>
    <n v="5"/>
    <n v="0"/>
    <m/>
    <x v="1"/>
    <n v="7.2433744041929399E-2"/>
  </r>
  <r>
    <x v="1"/>
    <x v="0"/>
    <x v="0"/>
    <x v="0"/>
    <x v="3"/>
    <x v="1"/>
    <x v="0"/>
    <x v="0"/>
    <x v="0"/>
    <x v="9"/>
    <n v="1"/>
    <n v="3"/>
    <n v="0"/>
    <n v="1"/>
    <x v="0"/>
    <n v="0.46320069517810697"/>
  </r>
  <r>
    <x v="3"/>
    <x v="1"/>
    <x v="1"/>
    <x v="1"/>
    <x v="2"/>
    <x v="0"/>
    <x v="1"/>
    <x v="1"/>
    <x v="2"/>
    <x v="4"/>
    <n v="1"/>
    <n v="1"/>
    <n v="0"/>
    <m/>
    <x v="1"/>
    <n v="3.3675167837974015E-2"/>
  </r>
  <r>
    <x v="7"/>
    <x v="1"/>
    <x v="0"/>
    <x v="1"/>
    <x v="2"/>
    <x v="0"/>
    <x v="0"/>
    <x v="1"/>
    <x v="0"/>
    <x v="0"/>
    <n v="1"/>
    <n v="1"/>
    <n v="0"/>
    <m/>
    <x v="1"/>
    <n v="4.5095690087541995E-2"/>
  </r>
  <r>
    <x v="7"/>
    <x v="1"/>
    <x v="1"/>
    <x v="0"/>
    <x v="0"/>
    <x v="0"/>
    <x v="0"/>
    <x v="0"/>
    <x v="0"/>
    <x v="0"/>
    <n v="2"/>
    <n v="2"/>
    <n v="0"/>
    <m/>
    <x v="1"/>
    <n v="9.3431052185651564E-2"/>
  </r>
  <r>
    <x v="15"/>
    <x v="0"/>
    <x v="1"/>
    <x v="0"/>
    <x v="0"/>
    <x v="1"/>
    <x v="0"/>
    <x v="1"/>
    <x v="1"/>
    <x v="4"/>
    <n v="1"/>
    <n v="1"/>
    <n v="0"/>
    <n v="1"/>
    <x v="0"/>
    <n v="4.0267246343836334E-2"/>
  </r>
  <r>
    <x v="1"/>
    <x v="1"/>
    <x v="1"/>
    <x v="0"/>
    <x v="3"/>
    <x v="1"/>
    <x v="1"/>
    <x v="0"/>
    <x v="1"/>
    <x v="0"/>
    <n v="1"/>
    <n v="1"/>
    <n v="0"/>
    <n v="1"/>
    <x v="0"/>
    <n v="5.6300632156829497E-2"/>
  </r>
  <r>
    <x v="5"/>
    <x v="0"/>
    <x v="1"/>
    <x v="2"/>
    <x v="0"/>
    <x v="1"/>
    <x v="1"/>
    <x v="1"/>
    <x v="0"/>
    <x v="4"/>
    <n v="1"/>
    <n v="1"/>
    <n v="0"/>
    <n v="1"/>
    <x v="0"/>
    <n v="3.8189611488181695E-2"/>
  </r>
  <r>
    <x v="7"/>
    <x v="1"/>
    <x v="0"/>
    <x v="0"/>
    <x v="0"/>
    <x v="0"/>
    <x v="1"/>
    <x v="0"/>
    <x v="0"/>
    <x v="4"/>
    <n v="2"/>
    <n v="2"/>
    <n v="0"/>
    <m/>
    <x v="1"/>
    <n v="6.4611432767311794E-2"/>
  </r>
  <r>
    <x v="19"/>
    <x v="0"/>
    <x v="0"/>
    <x v="0"/>
    <x v="3"/>
    <x v="1"/>
    <x v="0"/>
    <x v="0"/>
    <x v="2"/>
    <x v="9"/>
    <n v="1"/>
    <n v="4"/>
    <n v="0"/>
    <m/>
    <x v="1"/>
    <n v="1.163243134171414"/>
  </r>
  <r>
    <x v="5"/>
    <x v="1"/>
    <x v="0"/>
    <x v="2"/>
    <x v="0"/>
    <x v="0"/>
    <x v="0"/>
    <x v="0"/>
    <x v="2"/>
    <x v="9"/>
    <n v="1"/>
    <n v="2"/>
    <n v="0"/>
    <n v="1"/>
    <x v="0"/>
    <n v="0.34500564574730752"/>
  </r>
  <r>
    <x v="7"/>
    <x v="0"/>
    <x v="0"/>
    <x v="0"/>
    <x v="0"/>
    <x v="1"/>
    <x v="1"/>
    <x v="0"/>
    <x v="2"/>
    <x v="8"/>
    <n v="1"/>
    <n v="1"/>
    <n v="0"/>
    <m/>
    <x v="1"/>
    <n v="8.8921637380936031E-2"/>
  </r>
  <r>
    <x v="10"/>
    <x v="0"/>
    <x v="0"/>
    <x v="0"/>
    <x v="3"/>
    <x v="1"/>
    <x v="0"/>
    <x v="0"/>
    <x v="0"/>
    <x v="9"/>
    <n v="1"/>
    <n v="2"/>
    <n v="0"/>
    <m/>
    <x v="1"/>
    <n v="0.30880046345207129"/>
  </r>
  <r>
    <x v="6"/>
    <x v="0"/>
    <x v="0"/>
    <x v="1"/>
    <x v="1"/>
    <x v="0"/>
    <x v="1"/>
    <x v="1"/>
    <x v="1"/>
    <x v="6"/>
    <n v="1"/>
    <n v="1"/>
    <n v="0"/>
    <m/>
    <x v="1"/>
    <n v="9.7353347415037993E-3"/>
  </r>
  <r>
    <x v="22"/>
    <x v="0"/>
    <x v="0"/>
    <x v="0"/>
    <x v="3"/>
    <x v="0"/>
    <x v="0"/>
    <x v="1"/>
    <x v="2"/>
    <x v="9"/>
    <n v="1"/>
    <n v="1"/>
    <n v="0"/>
    <n v="1"/>
    <x v="0"/>
    <n v="0.17241763602692631"/>
  </r>
  <r>
    <x v="6"/>
    <x v="1"/>
    <x v="0"/>
    <x v="0"/>
    <x v="0"/>
    <x v="0"/>
    <x v="0"/>
    <x v="1"/>
    <x v="0"/>
    <x v="1"/>
    <n v="2"/>
    <n v="2"/>
    <n v="0"/>
    <m/>
    <x v="1"/>
    <n v="0.13182121806320693"/>
  </r>
  <r>
    <x v="0"/>
    <x v="0"/>
    <x v="1"/>
    <x v="1"/>
    <x v="3"/>
    <x v="1"/>
    <x v="1"/>
    <x v="1"/>
    <x v="2"/>
    <x v="0"/>
    <n v="2"/>
    <n v="2"/>
    <n v="0"/>
    <n v="2"/>
    <x v="0"/>
    <n v="0.11579122129010655"/>
  </r>
  <r>
    <x v="17"/>
    <x v="1"/>
    <x v="1"/>
    <x v="0"/>
    <x v="3"/>
    <x v="0"/>
    <x v="1"/>
    <x v="1"/>
    <x v="0"/>
    <x v="2"/>
    <n v="1"/>
    <n v="1"/>
    <n v="0"/>
    <n v="1"/>
    <x v="0"/>
    <n v="4.4057106281978078E-2"/>
  </r>
  <r>
    <x v="8"/>
    <x v="1"/>
    <x v="1"/>
    <x v="1"/>
    <x v="1"/>
    <x v="1"/>
    <x v="0"/>
    <x v="1"/>
    <x v="1"/>
    <x v="4"/>
    <n v="1"/>
    <n v="1"/>
    <n v="0"/>
    <m/>
    <x v="1"/>
    <n v="4.1176226521704343E-2"/>
  </r>
  <r>
    <x v="5"/>
    <x v="0"/>
    <x v="1"/>
    <x v="0"/>
    <x v="0"/>
    <x v="0"/>
    <x v="1"/>
    <x v="1"/>
    <x v="0"/>
    <x v="5"/>
    <n v="1"/>
    <n v="1"/>
    <n v="0"/>
    <n v="1"/>
    <x v="0"/>
    <n v="1.5103271786810353E-2"/>
  </r>
  <r>
    <x v="22"/>
    <x v="0"/>
    <x v="0"/>
    <x v="1"/>
    <x v="2"/>
    <x v="0"/>
    <x v="0"/>
    <x v="0"/>
    <x v="0"/>
    <x v="7"/>
    <n v="1"/>
    <n v="1"/>
    <n v="0"/>
    <n v="1"/>
    <x v="0"/>
    <n v="3.0288991469430131E-2"/>
  </r>
  <r>
    <x v="16"/>
    <x v="1"/>
    <x v="1"/>
    <x v="0"/>
    <x v="0"/>
    <x v="0"/>
    <x v="1"/>
    <x v="0"/>
    <x v="0"/>
    <x v="7"/>
    <n v="1"/>
    <n v="1"/>
    <n v="0"/>
    <m/>
    <x v="1"/>
    <n v="2.2659939205773683E-2"/>
  </r>
  <r>
    <x v="19"/>
    <x v="0"/>
    <x v="0"/>
    <x v="2"/>
    <x v="2"/>
    <x v="1"/>
    <x v="1"/>
    <x v="1"/>
    <x v="2"/>
    <x v="9"/>
    <n v="1"/>
    <n v="1"/>
    <n v="0"/>
    <m/>
    <x v="1"/>
    <n v="0.15854002300480582"/>
  </r>
  <r>
    <x v="0"/>
    <x v="0"/>
    <x v="0"/>
    <x v="1"/>
    <x v="2"/>
    <x v="1"/>
    <x v="1"/>
    <x v="1"/>
    <x v="2"/>
    <x v="3"/>
    <n v="1"/>
    <n v="1"/>
    <n v="0"/>
    <n v="1"/>
    <x v="0"/>
    <n v="6.1316744395758779E-2"/>
  </r>
  <r>
    <x v="10"/>
    <x v="1"/>
    <x v="1"/>
    <x v="1"/>
    <x v="2"/>
    <x v="1"/>
    <x v="0"/>
    <x v="0"/>
    <x v="1"/>
    <x v="4"/>
    <n v="1"/>
    <n v="1"/>
    <n v="0"/>
    <m/>
    <x v="1"/>
    <n v="4.0727216848803351E-2"/>
  </r>
  <r>
    <x v="1"/>
    <x v="1"/>
    <x v="1"/>
    <x v="0"/>
    <x v="2"/>
    <x v="0"/>
    <x v="0"/>
    <x v="0"/>
    <x v="0"/>
    <x v="1"/>
    <n v="1"/>
    <n v="1"/>
    <n v="0"/>
    <n v="1"/>
    <x v="0"/>
    <n v="6.7086671775585666E-2"/>
  </r>
  <r>
    <x v="6"/>
    <x v="0"/>
    <x v="0"/>
    <x v="2"/>
    <x v="3"/>
    <x v="0"/>
    <x v="0"/>
    <x v="1"/>
    <x v="0"/>
    <x v="8"/>
    <n v="1"/>
    <n v="1"/>
    <n v="0"/>
    <m/>
    <x v="1"/>
    <n v="0.10876628283524353"/>
  </r>
  <r>
    <x v="11"/>
    <x v="1"/>
    <x v="0"/>
    <x v="0"/>
    <x v="1"/>
    <x v="1"/>
    <x v="0"/>
    <x v="1"/>
    <x v="0"/>
    <x v="9"/>
    <n v="1"/>
    <n v="4"/>
    <n v="0"/>
    <m/>
    <x v="1"/>
    <n v="0.68364049219704504"/>
  </r>
  <r>
    <x v="17"/>
    <x v="1"/>
    <x v="0"/>
    <x v="0"/>
    <x v="3"/>
    <x v="0"/>
    <x v="1"/>
    <x v="1"/>
    <x v="0"/>
    <x v="3"/>
    <n v="1"/>
    <n v="1"/>
    <n v="0"/>
    <n v="1"/>
    <x v="0"/>
    <n v="6.2231171033494175E-2"/>
  </r>
  <r>
    <x v="18"/>
    <x v="0"/>
    <x v="0"/>
    <x v="1"/>
    <x v="1"/>
    <x v="1"/>
    <x v="0"/>
    <x v="1"/>
    <x v="1"/>
    <x v="4"/>
    <n v="1"/>
    <n v="1"/>
    <n v="0"/>
    <m/>
    <x v="1"/>
    <n v="3.9291173128856008E-2"/>
  </r>
  <r>
    <x v="2"/>
    <x v="0"/>
    <x v="1"/>
    <x v="1"/>
    <x v="3"/>
    <x v="1"/>
    <x v="0"/>
    <x v="1"/>
    <x v="0"/>
    <x v="0"/>
    <n v="1"/>
    <n v="1"/>
    <n v="0"/>
    <m/>
    <x v="1"/>
    <n v="5.4674923517691404E-2"/>
  </r>
  <r>
    <x v="5"/>
    <x v="1"/>
    <x v="1"/>
    <x v="2"/>
    <x v="1"/>
    <x v="0"/>
    <x v="0"/>
    <x v="1"/>
    <x v="2"/>
    <x v="9"/>
    <n v="3"/>
    <n v="3"/>
    <n v="1"/>
    <n v="3"/>
    <x v="0"/>
    <n v="0.53064735639543148"/>
  </r>
  <r>
    <x v="5"/>
    <x v="1"/>
    <x v="1"/>
    <x v="2"/>
    <x v="2"/>
    <x v="0"/>
    <x v="0"/>
    <x v="1"/>
    <x v="1"/>
    <x v="0"/>
    <n v="1"/>
    <n v="1"/>
    <n v="0"/>
    <n v="1"/>
    <x v="0"/>
    <n v="5.857291153169402E-2"/>
  </r>
  <r>
    <x v="21"/>
    <x v="1"/>
    <x v="1"/>
    <x v="1"/>
    <x v="1"/>
    <x v="0"/>
    <x v="0"/>
    <x v="1"/>
    <x v="1"/>
    <x v="5"/>
    <n v="2"/>
    <n v="4"/>
    <n v="0"/>
    <m/>
    <x v="1"/>
    <n v="8.541142179878726E-2"/>
  </r>
  <r>
    <x v="18"/>
    <x v="1"/>
    <x v="0"/>
    <x v="0"/>
    <x v="0"/>
    <x v="0"/>
    <x v="0"/>
    <x v="0"/>
    <x v="2"/>
    <x v="9"/>
    <n v="1"/>
    <n v="3"/>
    <n v="0"/>
    <m/>
    <x v="1"/>
    <n v="0.41036534188999013"/>
  </r>
  <r>
    <x v="22"/>
    <x v="1"/>
    <x v="0"/>
    <x v="2"/>
    <x v="2"/>
    <x v="0"/>
    <x v="1"/>
    <x v="0"/>
    <x v="2"/>
    <x v="9"/>
    <n v="1"/>
    <n v="1"/>
    <n v="0"/>
    <n v="1"/>
    <x v="0"/>
    <n v="0.1264319832806283"/>
  </r>
  <r>
    <x v="6"/>
    <x v="0"/>
    <x v="1"/>
    <x v="0"/>
    <x v="1"/>
    <x v="0"/>
    <x v="1"/>
    <x v="1"/>
    <x v="2"/>
    <x v="0"/>
    <n v="1"/>
    <n v="2"/>
    <n v="0"/>
    <m/>
    <x v="1"/>
    <n v="9.7262595461913653E-2"/>
  </r>
  <r>
    <x v="10"/>
    <x v="0"/>
    <x v="1"/>
    <x v="1"/>
    <x v="0"/>
    <x v="0"/>
    <x v="1"/>
    <x v="0"/>
    <x v="1"/>
    <x v="6"/>
    <n v="1"/>
    <n v="1"/>
    <n v="0"/>
    <m/>
    <x v="1"/>
    <n v="4.5788555386867564E-3"/>
  </r>
  <r>
    <x v="5"/>
    <x v="0"/>
    <x v="1"/>
    <x v="1"/>
    <x v="0"/>
    <x v="0"/>
    <x v="0"/>
    <x v="0"/>
    <x v="1"/>
    <x v="6"/>
    <n v="1"/>
    <n v="1"/>
    <n v="0"/>
    <n v="1"/>
    <x v="0"/>
    <n v="9.6288351632262403E-3"/>
  </r>
  <r>
    <x v="18"/>
    <x v="1"/>
    <x v="0"/>
    <x v="1"/>
    <x v="1"/>
    <x v="1"/>
    <x v="0"/>
    <x v="1"/>
    <x v="1"/>
    <x v="0"/>
    <n v="2"/>
    <n v="2"/>
    <n v="0"/>
    <m/>
    <x v="1"/>
    <n v="0.11646858008740466"/>
  </r>
  <r>
    <x v="14"/>
    <x v="1"/>
    <x v="1"/>
    <x v="1"/>
    <x v="1"/>
    <x v="0"/>
    <x v="0"/>
    <x v="1"/>
    <x v="2"/>
    <x v="1"/>
    <n v="1"/>
    <n v="1"/>
    <n v="0"/>
    <m/>
    <x v="1"/>
    <n v="6.9337721412467759E-2"/>
  </r>
  <r>
    <x v="9"/>
    <x v="0"/>
    <x v="0"/>
    <x v="2"/>
    <x v="2"/>
    <x v="0"/>
    <x v="1"/>
    <x v="1"/>
    <x v="1"/>
    <x v="7"/>
    <n v="1"/>
    <n v="1"/>
    <n v="0"/>
    <n v="1"/>
    <x v="0"/>
    <n v="2.7269210474849294E-2"/>
  </r>
  <r>
    <x v="13"/>
    <x v="1"/>
    <x v="1"/>
    <x v="2"/>
    <x v="1"/>
    <x v="1"/>
    <x v="0"/>
    <x v="1"/>
    <x v="1"/>
    <x v="8"/>
    <n v="1"/>
    <n v="1"/>
    <n v="0"/>
    <m/>
    <x v="1"/>
    <n v="0.11021444940518223"/>
  </r>
  <r>
    <x v="5"/>
    <x v="0"/>
    <x v="0"/>
    <x v="0"/>
    <x v="0"/>
    <x v="1"/>
    <x v="0"/>
    <x v="1"/>
    <x v="0"/>
    <x v="1"/>
    <n v="1"/>
    <n v="2"/>
    <n v="0"/>
    <n v="1"/>
    <x v="0"/>
    <n v="0.16825824609222664"/>
  </r>
  <r>
    <x v="6"/>
    <x v="0"/>
    <x v="1"/>
    <x v="0"/>
    <x v="2"/>
    <x v="0"/>
    <x v="0"/>
    <x v="1"/>
    <x v="2"/>
    <x v="8"/>
    <n v="1"/>
    <n v="3"/>
    <n v="0"/>
    <m/>
    <x v="1"/>
    <n v="0.28951709683688598"/>
  </r>
  <r>
    <x v="1"/>
    <x v="1"/>
    <x v="1"/>
    <x v="2"/>
    <x v="2"/>
    <x v="1"/>
    <x v="0"/>
    <x v="0"/>
    <x v="1"/>
    <x v="8"/>
    <n v="1"/>
    <n v="1"/>
    <n v="0"/>
    <n v="1"/>
    <x v="0"/>
    <n v="0.10909826649368773"/>
  </r>
  <r>
    <x v="18"/>
    <x v="1"/>
    <x v="0"/>
    <x v="2"/>
    <x v="0"/>
    <x v="0"/>
    <x v="0"/>
    <x v="1"/>
    <x v="2"/>
    <x v="9"/>
    <n v="1"/>
    <n v="1"/>
    <n v="0"/>
    <m/>
    <x v="1"/>
    <n v="0.17250282287365376"/>
  </r>
  <r>
    <x v="22"/>
    <x v="1"/>
    <x v="0"/>
    <x v="0"/>
    <x v="3"/>
    <x v="0"/>
    <x v="1"/>
    <x v="1"/>
    <x v="1"/>
    <x v="4"/>
    <n v="1"/>
    <n v="1"/>
    <n v="0"/>
    <n v="1"/>
    <x v="0"/>
    <n v="4.1819346475315163E-2"/>
  </r>
  <r>
    <x v="8"/>
    <x v="1"/>
    <x v="0"/>
    <x v="0"/>
    <x v="0"/>
    <x v="1"/>
    <x v="0"/>
    <x v="1"/>
    <x v="1"/>
    <x v="1"/>
    <n v="1"/>
    <n v="1"/>
    <n v="0"/>
    <m/>
    <x v="1"/>
    <n v="8.3695532436182302E-2"/>
  </r>
  <r>
    <x v="15"/>
    <x v="0"/>
    <x v="1"/>
    <x v="1"/>
    <x v="1"/>
    <x v="1"/>
    <x v="0"/>
    <x v="1"/>
    <x v="1"/>
    <x v="7"/>
    <n v="1"/>
    <n v="3"/>
    <n v="0"/>
    <n v="1"/>
    <x v="0"/>
    <n v="8.2857661993138126E-2"/>
  </r>
  <r>
    <x v="0"/>
    <x v="0"/>
    <x v="0"/>
    <x v="2"/>
    <x v="0"/>
    <x v="1"/>
    <x v="1"/>
    <x v="0"/>
    <x v="1"/>
    <x v="4"/>
    <n v="1"/>
    <n v="1"/>
    <n v="0"/>
    <n v="1"/>
    <x v="0"/>
    <n v="3.6238577293788529E-2"/>
  </r>
  <r>
    <x v="13"/>
    <x v="1"/>
    <x v="0"/>
    <x v="0"/>
    <x v="1"/>
    <x v="1"/>
    <x v="0"/>
    <x v="1"/>
    <x v="1"/>
    <x v="8"/>
    <n v="2"/>
    <n v="3"/>
    <n v="1"/>
    <m/>
    <x v="1"/>
    <n v="0.35816963568603671"/>
  </r>
  <r>
    <x v="8"/>
    <x v="1"/>
    <x v="0"/>
    <x v="0"/>
    <x v="2"/>
    <x v="1"/>
    <x v="0"/>
    <x v="1"/>
    <x v="0"/>
    <x v="9"/>
    <n v="1"/>
    <n v="3"/>
    <n v="0"/>
    <m/>
    <x v="1"/>
    <n v="0.50788862021978431"/>
  </r>
  <r>
    <x v="10"/>
    <x v="1"/>
    <x v="0"/>
    <x v="1"/>
    <x v="0"/>
    <x v="0"/>
    <x v="0"/>
    <x v="1"/>
    <x v="1"/>
    <x v="5"/>
    <n v="1"/>
    <n v="1"/>
    <n v="0"/>
    <m/>
    <x v="1"/>
    <n v="2.0727184867413109E-2"/>
  </r>
  <r>
    <x v="7"/>
    <x v="0"/>
    <x v="1"/>
    <x v="1"/>
    <x v="0"/>
    <x v="0"/>
    <x v="1"/>
    <x v="1"/>
    <x v="1"/>
    <x v="6"/>
    <n v="1"/>
    <n v="1"/>
    <n v="0"/>
    <m/>
    <x v="1"/>
    <n v="4.5788555386867564E-3"/>
  </r>
  <r>
    <x v="16"/>
    <x v="1"/>
    <x v="1"/>
    <x v="0"/>
    <x v="0"/>
    <x v="1"/>
    <x v="1"/>
    <x v="1"/>
    <x v="1"/>
    <x v="7"/>
    <n v="1"/>
    <n v="1"/>
    <n v="0"/>
    <m/>
    <x v="1"/>
    <n v="2.9138416298841268E-2"/>
  </r>
  <r>
    <x v="16"/>
    <x v="0"/>
    <x v="0"/>
    <x v="1"/>
    <x v="1"/>
    <x v="0"/>
    <x v="0"/>
    <x v="1"/>
    <x v="2"/>
    <x v="1"/>
    <n v="2"/>
    <n v="3"/>
    <n v="0"/>
    <m/>
    <x v="1"/>
    <n v="0.19875754252291369"/>
  </r>
  <r>
    <x v="17"/>
    <x v="0"/>
    <x v="1"/>
    <x v="1"/>
    <x v="0"/>
    <x v="0"/>
    <x v="1"/>
    <x v="1"/>
    <x v="2"/>
    <x v="5"/>
    <n v="1"/>
    <n v="1"/>
    <n v="0"/>
    <n v="1"/>
    <x v="0"/>
    <n v="1.5464261787653045E-2"/>
  </r>
  <r>
    <x v="5"/>
    <x v="0"/>
    <x v="1"/>
    <x v="2"/>
    <x v="3"/>
    <x v="1"/>
    <x v="0"/>
    <x v="1"/>
    <x v="0"/>
    <x v="9"/>
    <n v="1"/>
    <n v="1"/>
    <n v="0"/>
    <n v="1"/>
    <x v="0"/>
    <n v="0.1429710012122066"/>
  </r>
  <r>
    <x v="9"/>
    <x v="0"/>
    <x v="0"/>
    <x v="1"/>
    <x v="2"/>
    <x v="1"/>
    <x v="1"/>
    <x v="1"/>
    <x v="1"/>
    <x v="5"/>
    <n v="1"/>
    <n v="1"/>
    <n v="0"/>
    <n v="1"/>
    <x v="0"/>
    <n v="1.8770803012868077E-2"/>
  </r>
  <r>
    <x v="9"/>
    <x v="1"/>
    <x v="1"/>
    <x v="0"/>
    <x v="1"/>
    <x v="1"/>
    <x v="0"/>
    <x v="1"/>
    <x v="2"/>
    <x v="9"/>
    <n v="1"/>
    <n v="3"/>
    <n v="0"/>
    <n v="1"/>
    <x v="0"/>
    <n v="0.72988083396058068"/>
  </r>
  <r>
    <x v="2"/>
    <x v="1"/>
    <x v="0"/>
    <x v="0"/>
    <x v="2"/>
    <x v="1"/>
    <x v="1"/>
    <x v="1"/>
    <x v="0"/>
    <x v="8"/>
    <n v="1"/>
    <n v="1"/>
    <n v="0"/>
    <m/>
    <x v="1"/>
    <n v="8.7942271111143028E-2"/>
  </r>
  <r>
    <x v="8"/>
    <x v="1"/>
    <x v="0"/>
    <x v="2"/>
    <x v="2"/>
    <x v="0"/>
    <x v="0"/>
    <x v="0"/>
    <x v="2"/>
    <x v="9"/>
    <n v="1"/>
    <n v="1"/>
    <n v="0"/>
    <m/>
    <x v="1"/>
    <n v="0.23424723931098945"/>
  </r>
  <r>
    <x v="8"/>
    <x v="0"/>
    <x v="0"/>
    <x v="2"/>
    <x v="0"/>
    <x v="0"/>
    <x v="0"/>
    <x v="0"/>
    <x v="0"/>
    <x v="0"/>
    <n v="1"/>
    <n v="2"/>
    <n v="0"/>
    <m/>
    <x v="1"/>
    <n v="0.11568704600419652"/>
  </r>
  <r>
    <x v="6"/>
    <x v="1"/>
    <x v="0"/>
    <x v="0"/>
    <x v="0"/>
    <x v="1"/>
    <x v="0"/>
    <x v="1"/>
    <x v="1"/>
    <x v="1"/>
    <n v="1"/>
    <n v="2"/>
    <n v="0"/>
    <m/>
    <x v="1"/>
    <n v="0.1673910648723646"/>
  </r>
  <r>
    <x v="0"/>
    <x v="1"/>
    <x v="0"/>
    <x v="0"/>
    <x v="3"/>
    <x v="0"/>
    <x v="1"/>
    <x v="1"/>
    <x v="2"/>
    <x v="9"/>
    <n v="1"/>
    <n v="1"/>
    <n v="0"/>
    <n v="1"/>
    <x v="0"/>
    <n v="0.12970168387961117"/>
  </r>
  <r>
    <x v="11"/>
    <x v="0"/>
    <x v="0"/>
    <x v="1"/>
    <x v="0"/>
    <x v="0"/>
    <x v="0"/>
    <x v="0"/>
    <x v="0"/>
    <x v="5"/>
    <n v="1"/>
    <n v="1"/>
    <n v="0"/>
    <m/>
    <x v="1"/>
    <n v="2.0841983429204125E-2"/>
  </r>
  <r>
    <x v="5"/>
    <x v="0"/>
    <x v="1"/>
    <x v="2"/>
    <x v="3"/>
    <x v="1"/>
    <x v="1"/>
    <x v="1"/>
    <x v="2"/>
    <x v="9"/>
    <n v="1"/>
    <n v="1"/>
    <n v="0"/>
    <n v="1"/>
    <x v="0"/>
    <n v="0.15056446124868356"/>
  </r>
  <r>
    <x v="19"/>
    <x v="1"/>
    <x v="1"/>
    <x v="0"/>
    <x v="0"/>
    <x v="1"/>
    <x v="0"/>
    <x v="0"/>
    <x v="0"/>
    <x v="8"/>
    <n v="1"/>
    <n v="1"/>
    <n v="0"/>
    <m/>
    <x v="1"/>
    <n v="8.7968370705737417E-2"/>
  </r>
  <r>
    <x v="10"/>
    <x v="1"/>
    <x v="0"/>
    <x v="0"/>
    <x v="2"/>
    <x v="0"/>
    <x v="0"/>
    <x v="1"/>
    <x v="0"/>
    <x v="8"/>
    <n v="1"/>
    <n v="3"/>
    <n v="0"/>
    <m/>
    <x v="1"/>
    <n v="0.28148475721603516"/>
  </r>
  <r>
    <x v="3"/>
    <x v="1"/>
    <x v="1"/>
    <x v="0"/>
    <x v="0"/>
    <x v="1"/>
    <x v="1"/>
    <x v="0"/>
    <x v="1"/>
    <x v="7"/>
    <n v="1"/>
    <n v="1"/>
    <n v="0"/>
    <m/>
    <x v="1"/>
    <n v="2.9138416298841268E-2"/>
  </r>
  <r>
    <x v="19"/>
    <x v="0"/>
    <x v="0"/>
    <x v="2"/>
    <x v="0"/>
    <x v="0"/>
    <x v="0"/>
    <x v="0"/>
    <x v="0"/>
    <x v="0"/>
    <n v="1"/>
    <n v="3"/>
    <n v="0"/>
    <m/>
    <x v="1"/>
    <n v="0.17353056900629477"/>
  </r>
  <r>
    <x v="17"/>
    <x v="1"/>
    <x v="1"/>
    <x v="2"/>
    <x v="1"/>
    <x v="0"/>
    <x v="0"/>
    <x v="1"/>
    <x v="0"/>
    <x v="8"/>
    <n v="1"/>
    <n v="2"/>
    <n v="0"/>
    <n v="1"/>
    <x v="0"/>
    <n v="0.17466290492702188"/>
  </r>
  <r>
    <x v="2"/>
    <x v="0"/>
    <x v="1"/>
    <x v="1"/>
    <x v="1"/>
    <x v="1"/>
    <x v="0"/>
    <x v="1"/>
    <x v="0"/>
    <x v="4"/>
    <n v="1"/>
    <n v="1"/>
    <n v="0"/>
    <m/>
    <x v="1"/>
    <n v="4.1399495065687533E-2"/>
  </r>
  <r>
    <x v="17"/>
    <x v="0"/>
    <x v="0"/>
    <x v="0"/>
    <x v="2"/>
    <x v="0"/>
    <x v="0"/>
    <x v="0"/>
    <x v="0"/>
    <x v="3"/>
    <n v="1"/>
    <n v="2"/>
    <n v="0"/>
    <n v="1"/>
    <x v="0"/>
    <n v="0.12818945540862531"/>
  </r>
  <r>
    <x v="6"/>
    <x v="1"/>
    <x v="1"/>
    <x v="0"/>
    <x v="2"/>
    <x v="1"/>
    <x v="0"/>
    <x v="1"/>
    <x v="0"/>
    <x v="8"/>
    <n v="1"/>
    <n v="1"/>
    <n v="0"/>
    <m/>
    <x v="1"/>
    <n v="0.12398881875313826"/>
  </r>
  <r>
    <x v="11"/>
    <x v="1"/>
    <x v="0"/>
    <x v="2"/>
    <x v="0"/>
    <x v="0"/>
    <x v="1"/>
    <x v="0"/>
    <x v="2"/>
    <x v="8"/>
    <n v="1"/>
    <n v="1"/>
    <n v="0"/>
    <m/>
    <x v="1"/>
    <n v="8.9774500731891763E-2"/>
  </r>
  <r>
    <x v="0"/>
    <x v="0"/>
    <x v="0"/>
    <x v="1"/>
    <x v="0"/>
    <x v="0"/>
    <x v="1"/>
    <x v="0"/>
    <x v="2"/>
    <x v="7"/>
    <n v="1"/>
    <n v="1"/>
    <n v="0"/>
    <n v="1"/>
    <x v="0"/>
    <n v="2.2116330033594731E-2"/>
  </r>
  <r>
    <x v="2"/>
    <x v="0"/>
    <x v="0"/>
    <x v="2"/>
    <x v="0"/>
    <x v="0"/>
    <x v="1"/>
    <x v="0"/>
    <x v="0"/>
    <x v="7"/>
    <n v="1"/>
    <n v="1"/>
    <n v="0"/>
    <m/>
    <x v="1"/>
    <n v="2.8227386446598338E-2"/>
  </r>
  <r>
    <x v="4"/>
    <x v="1"/>
    <x v="0"/>
    <x v="2"/>
    <x v="0"/>
    <x v="1"/>
    <x v="0"/>
    <x v="0"/>
    <x v="1"/>
    <x v="8"/>
    <n v="1"/>
    <n v="2"/>
    <n v="0"/>
    <m/>
    <x v="1"/>
    <n v="0.21454080743188383"/>
  </r>
  <r>
    <x v="1"/>
    <x v="1"/>
    <x v="1"/>
    <x v="1"/>
    <x v="0"/>
    <x v="0"/>
    <x v="0"/>
    <x v="1"/>
    <x v="0"/>
    <x v="7"/>
    <n v="1"/>
    <n v="1"/>
    <n v="0"/>
    <n v="1"/>
    <x v="0"/>
    <n v="2.1862051188270244E-2"/>
  </r>
  <r>
    <x v="6"/>
    <x v="0"/>
    <x v="1"/>
    <x v="2"/>
    <x v="1"/>
    <x v="1"/>
    <x v="0"/>
    <x v="1"/>
    <x v="2"/>
    <x v="9"/>
    <n v="1"/>
    <n v="2"/>
    <n v="0"/>
    <m/>
    <x v="1"/>
    <n v="0.43719320865580802"/>
  </r>
  <r>
    <x v="2"/>
    <x v="0"/>
    <x v="0"/>
    <x v="0"/>
    <x v="3"/>
    <x v="0"/>
    <x v="1"/>
    <x v="1"/>
    <x v="0"/>
    <x v="2"/>
    <n v="1"/>
    <n v="1"/>
    <n v="0"/>
    <m/>
    <x v="1"/>
    <n v="4.2045949270268397E-2"/>
  </r>
  <r>
    <x v="5"/>
    <x v="0"/>
    <x v="1"/>
    <x v="0"/>
    <x v="0"/>
    <x v="1"/>
    <x v="1"/>
    <x v="1"/>
    <x v="2"/>
    <x v="3"/>
    <n v="1"/>
    <n v="1"/>
    <n v="0"/>
    <n v="1"/>
    <x v="0"/>
    <n v="6.3480505955005068E-2"/>
  </r>
  <r>
    <x v="1"/>
    <x v="0"/>
    <x v="0"/>
    <x v="0"/>
    <x v="3"/>
    <x v="0"/>
    <x v="0"/>
    <x v="1"/>
    <x v="2"/>
    <x v="9"/>
    <n v="1"/>
    <n v="1"/>
    <n v="0"/>
    <n v="1"/>
    <x v="0"/>
    <n v="0.17241763602692631"/>
  </r>
  <r>
    <x v="22"/>
    <x v="1"/>
    <x v="1"/>
    <x v="1"/>
    <x v="0"/>
    <x v="0"/>
    <x v="1"/>
    <x v="1"/>
    <x v="0"/>
    <x v="6"/>
    <n v="1"/>
    <n v="1"/>
    <n v="0"/>
    <n v="1"/>
    <x v="0"/>
    <n v="1.0463975714453297E-2"/>
  </r>
  <r>
    <x v="12"/>
    <x v="1"/>
    <x v="0"/>
    <x v="2"/>
    <x v="2"/>
    <x v="1"/>
    <x v="0"/>
    <x v="1"/>
    <x v="0"/>
    <x v="9"/>
    <n v="1"/>
    <n v="1"/>
    <n v="0"/>
    <m/>
    <x v="1"/>
    <n v="0.21141932175066067"/>
  </r>
  <r>
    <x v="9"/>
    <x v="1"/>
    <x v="0"/>
    <x v="1"/>
    <x v="0"/>
    <x v="1"/>
    <x v="1"/>
    <x v="1"/>
    <x v="1"/>
    <x v="5"/>
    <n v="1"/>
    <n v="1"/>
    <n v="0"/>
    <n v="1"/>
    <x v="0"/>
    <n v="1.9329122577824528E-2"/>
  </r>
  <r>
    <x v="16"/>
    <x v="1"/>
    <x v="0"/>
    <x v="0"/>
    <x v="3"/>
    <x v="1"/>
    <x v="0"/>
    <x v="1"/>
    <x v="2"/>
    <x v="9"/>
    <n v="1"/>
    <n v="1"/>
    <n v="0"/>
    <m/>
    <x v="1"/>
    <n v="0.38271027807477309"/>
  </r>
  <r>
    <x v="10"/>
    <x v="1"/>
    <x v="0"/>
    <x v="2"/>
    <x v="2"/>
    <x v="0"/>
    <x v="0"/>
    <x v="0"/>
    <x v="0"/>
    <x v="8"/>
    <n v="2"/>
    <n v="3"/>
    <n v="0"/>
    <m/>
    <x v="1"/>
    <n v="0.35965149757222215"/>
  </r>
  <r>
    <x v="14"/>
    <x v="1"/>
    <x v="1"/>
    <x v="2"/>
    <x v="0"/>
    <x v="0"/>
    <x v="0"/>
    <x v="0"/>
    <x v="2"/>
    <x v="9"/>
    <n v="1"/>
    <n v="3"/>
    <n v="0"/>
    <m/>
    <x v="1"/>
    <n v="0.37940376584989283"/>
  </r>
  <r>
    <x v="18"/>
    <x v="1"/>
    <x v="1"/>
    <x v="0"/>
    <x v="2"/>
    <x v="1"/>
    <x v="0"/>
    <x v="1"/>
    <x v="1"/>
    <x v="8"/>
    <n v="1"/>
    <n v="1"/>
    <n v="0"/>
    <m/>
    <x v="1"/>
    <n v="8.5160005166699276E-2"/>
  </r>
  <r>
    <x v="1"/>
    <x v="0"/>
    <x v="1"/>
    <x v="0"/>
    <x v="2"/>
    <x v="0"/>
    <x v="0"/>
    <x v="0"/>
    <x v="0"/>
    <x v="0"/>
    <n v="1"/>
    <n v="1"/>
    <n v="0"/>
    <n v="1"/>
    <x v="0"/>
    <n v="4.540277721734616E-2"/>
  </r>
  <r>
    <x v="11"/>
    <x v="1"/>
    <x v="0"/>
    <x v="2"/>
    <x v="3"/>
    <x v="1"/>
    <x v="0"/>
    <x v="0"/>
    <x v="2"/>
    <x v="9"/>
    <n v="1"/>
    <n v="1"/>
    <n v="0"/>
    <m/>
    <x v="1"/>
    <n v="0.44921867129852688"/>
  </r>
  <r>
    <x v="17"/>
    <x v="1"/>
    <x v="1"/>
    <x v="0"/>
    <x v="3"/>
    <x v="0"/>
    <x v="0"/>
    <x v="1"/>
    <x v="2"/>
    <x v="9"/>
    <n v="1"/>
    <n v="1"/>
    <n v="0"/>
    <n v="1"/>
    <x v="0"/>
    <n v="0.17949631292439386"/>
  </r>
  <r>
    <x v="12"/>
    <x v="0"/>
    <x v="0"/>
    <x v="0"/>
    <x v="0"/>
    <x v="0"/>
    <x v="1"/>
    <x v="1"/>
    <x v="2"/>
    <x v="0"/>
    <n v="1"/>
    <n v="1"/>
    <n v="0"/>
    <m/>
    <x v="1"/>
    <n v="4.7244914771732829E-2"/>
  </r>
  <r>
    <x v="1"/>
    <x v="0"/>
    <x v="0"/>
    <x v="1"/>
    <x v="0"/>
    <x v="0"/>
    <x v="1"/>
    <x v="1"/>
    <x v="0"/>
    <x v="6"/>
    <n v="1"/>
    <n v="1"/>
    <n v="0"/>
    <m/>
    <x v="0"/>
    <n v="9.9703130635719027E-3"/>
  </r>
  <r>
    <x v="11"/>
    <x v="0"/>
    <x v="0"/>
    <x v="0"/>
    <x v="2"/>
    <x v="1"/>
    <x v="1"/>
    <x v="0"/>
    <x v="1"/>
    <x v="4"/>
    <n v="1"/>
    <n v="1"/>
    <n v="0"/>
    <m/>
    <x v="1"/>
    <n v="4.0254674678184769E-2"/>
  </r>
  <r>
    <x v="1"/>
    <x v="0"/>
    <x v="0"/>
    <x v="0"/>
    <x v="2"/>
    <x v="1"/>
    <x v="0"/>
    <x v="0"/>
    <x v="2"/>
    <x v="9"/>
    <n v="1"/>
    <n v="1"/>
    <n v="0"/>
    <n v="1"/>
    <x v="0"/>
    <n v="0.23237226266969685"/>
  </r>
  <r>
    <x v="3"/>
    <x v="1"/>
    <x v="1"/>
    <x v="2"/>
    <x v="0"/>
    <x v="0"/>
    <x v="0"/>
    <x v="1"/>
    <x v="1"/>
    <x v="4"/>
    <n v="1"/>
    <n v="1"/>
    <n v="0"/>
    <m/>
    <x v="1"/>
    <n v="4.0674290026531716E-2"/>
  </r>
  <r>
    <x v="12"/>
    <x v="0"/>
    <x v="1"/>
    <x v="2"/>
    <x v="1"/>
    <x v="0"/>
    <x v="0"/>
    <x v="1"/>
    <x v="0"/>
    <x v="3"/>
    <n v="1"/>
    <n v="1"/>
    <n v="0"/>
    <m/>
    <x v="1"/>
    <n v="5.9521487991317845E-2"/>
  </r>
  <r>
    <x v="3"/>
    <x v="0"/>
    <x v="1"/>
    <x v="0"/>
    <x v="2"/>
    <x v="1"/>
    <x v="0"/>
    <x v="1"/>
    <x v="2"/>
    <x v="9"/>
    <n v="1"/>
    <n v="1"/>
    <n v="0"/>
    <m/>
    <x v="1"/>
    <n v="0.17371434400069519"/>
  </r>
  <r>
    <x v="3"/>
    <x v="0"/>
    <x v="1"/>
    <x v="1"/>
    <x v="0"/>
    <x v="0"/>
    <x v="1"/>
    <x v="0"/>
    <x v="1"/>
    <x v="6"/>
    <n v="1"/>
    <n v="1"/>
    <n v="0"/>
    <m/>
    <x v="1"/>
    <n v="4.5788555386867564E-3"/>
  </r>
  <r>
    <x v="1"/>
    <x v="0"/>
    <x v="1"/>
    <x v="0"/>
    <x v="2"/>
    <x v="0"/>
    <x v="1"/>
    <x v="1"/>
    <x v="1"/>
    <x v="5"/>
    <n v="1"/>
    <n v="1"/>
    <n v="0"/>
    <n v="1"/>
    <x v="0"/>
    <n v="1.458390684269004E-2"/>
  </r>
  <r>
    <x v="8"/>
    <x v="1"/>
    <x v="0"/>
    <x v="0"/>
    <x v="3"/>
    <x v="0"/>
    <x v="0"/>
    <x v="1"/>
    <x v="2"/>
    <x v="9"/>
    <n v="1"/>
    <n v="2"/>
    <n v="0"/>
    <m/>
    <x v="1"/>
    <n v="0.47908124645836453"/>
  </r>
  <r>
    <x v="14"/>
    <x v="0"/>
    <x v="0"/>
    <x v="1"/>
    <x v="3"/>
    <x v="1"/>
    <x v="0"/>
    <x v="1"/>
    <x v="0"/>
    <x v="1"/>
    <n v="1"/>
    <n v="1"/>
    <n v="0"/>
    <m/>
    <x v="1"/>
    <n v="7.6876723979707504E-2"/>
  </r>
  <r>
    <x v="8"/>
    <x v="0"/>
    <x v="1"/>
    <x v="0"/>
    <x v="1"/>
    <x v="1"/>
    <x v="0"/>
    <x v="1"/>
    <x v="2"/>
    <x v="9"/>
    <n v="1"/>
    <n v="3"/>
    <n v="0"/>
    <m/>
    <x v="1"/>
    <n v="0.52608446281763066"/>
  </r>
  <r>
    <x v="20"/>
    <x v="0"/>
    <x v="0"/>
    <x v="2"/>
    <x v="1"/>
    <x v="1"/>
    <x v="0"/>
    <x v="1"/>
    <x v="2"/>
    <x v="9"/>
    <n v="1"/>
    <n v="1"/>
    <n v="0"/>
    <n v="1"/>
    <x v="0"/>
    <n v="0.28714321825078692"/>
  </r>
  <r>
    <x v="18"/>
    <x v="1"/>
    <x v="0"/>
    <x v="2"/>
    <x v="0"/>
    <x v="0"/>
    <x v="0"/>
    <x v="0"/>
    <x v="2"/>
    <x v="9"/>
    <n v="1"/>
    <n v="1"/>
    <n v="0"/>
    <m/>
    <x v="1"/>
    <n v="0.17250282287365376"/>
  </r>
  <r>
    <x v="16"/>
    <x v="0"/>
    <x v="0"/>
    <x v="0"/>
    <x v="3"/>
    <x v="0"/>
    <x v="1"/>
    <x v="0"/>
    <x v="0"/>
    <x v="2"/>
    <n v="1"/>
    <n v="1"/>
    <n v="0"/>
    <m/>
    <x v="1"/>
    <n v="4.2045949270268397E-2"/>
  </r>
  <r>
    <x v="21"/>
    <x v="0"/>
    <x v="0"/>
    <x v="2"/>
    <x v="3"/>
    <x v="1"/>
    <x v="0"/>
    <x v="1"/>
    <x v="0"/>
    <x v="9"/>
    <n v="1"/>
    <n v="1"/>
    <n v="0"/>
    <m/>
    <x v="1"/>
    <n v="0.19368117151349643"/>
  </r>
  <r>
    <x v="7"/>
    <x v="1"/>
    <x v="0"/>
    <x v="2"/>
    <x v="3"/>
    <x v="0"/>
    <x v="0"/>
    <x v="1"/>
    <x v="2"/>
    <x v="9"/>
    <n v="1"/>
    <n v="1"/>
    <n v="0"/>
    <m/>
    <x v="1"/>
    <n v="0.2929773242473675"/>
  </r>
  <r>
    <x v="1"/>
    <x v="0"/>
    <x v="1"/>
    <x v="1"/>
    <x v="0"/>
    <x v="1"/>
    <x v="0"/>
    <x v="0"/>
    <x v="1"/>
    <x v="5"/>
    <n v="1"/>
    <n v="1"/>
    <n v="0"/>
    <n v="1"/>
    <x v="0"/>
    <n v="1.8776796462310515E-2"/>
  </r>
  <r>
    <x v="2"/>
    <x v="0"/>
    <x v="0"/>
    <x v="1"/>
    <x v="0"/>
    <x v="0"/>
    <x v="1"/>
    <x v="0"/>
    <x v="1"/>
    <x v="6"/>
    <n v="1"/>
    <n v="1"/>
    <n v="0"/>
    <m/>
    <x v="1"/>
    <n v="6.57977794506603E-3"/>
  </r>
  <r>
    <x v="15"/>
    <x v="0"/>
    <x v="0"/>
    <x v="1"/>
    <x v="2"/>
    <x v="1"/>
    <x v="0"/>
    <x v="0"/>
    <x v="0"/>
    <x v="0"/>
    <n v="1"/>
    <n v="2"/>
    <n v="0"/>
    <n v="1"/>
    <x v="0"/>
    <n v="0.11583488445771037"/>
  </r>
  <r>
    <x v="15"/>
    <x v="0"/>
    <x v="1"/>
    <x v="0"/>
    <x v="2"/>
    <x v="0"/>
    <x v="0"/>
    <x v="1"/>
    <x v="0"/>
    <x v="0"/>
    <n v="1"/>
    <n v="1"/>
    <n v="0"/>
    <n v="1"/>
    <x v="0"/>
    <n v="4.540277721734616E-2"/>
  </r>
  <r>
    <x v="11"/>
    <x v="0"/>
    <x v="0"/>
    <x v="1"/>
    <x v="2"/>
    <x v="0"/>
    <x v="1"/>
    <x v="0"/>
    <x v="0"/>
    <x v="5"/>
    <n v="1"/>
    <n v="1"/>
    <n v="0"/>
    <m/>
    <x v="1"/>
    <n v="1.4562828746708278E-2"/>
  </r>
  <r>
    <x v="1"/>
    <x v="1"/>
    <x v="1"/>
    <x v="2"/>
    <x v="3"/>
    <x v="1"/>
    <x v="0"/>
    <x v="1"/>
    <x v="0"/>
    <x v="9"/>
    <n v="1"/>
    <n v="1"/>
    <n v="0"/>
    <n v="1"/>
    <x v="0"/>
    <n v="0.20142036139967667"/>
  </r>
  <r>
    <x v="9"/>
    <x v="0"/>
    <x v="0"/>
    <x v="2"/>
    <x v="2"/>
    <x v="0"/>
    <x v="0"/>
    <x v="1"/>
    <x v="0"/>
    <x v="1"/>
    <n v="1"/>
    <n v="1"/>
    <n v="0"/>
    <n v="1"/>
    <x v="0"/>
    <n v="8.2646531177737778E-2"/>
  </r>
  <r>
    <x v="10"/>
    <x v="0"/>
    <x v="0"/>
    <x v="2"/>
    <x v="3"/>
    <x v="0"/>
    <x v="0"/>
    <x v="1"/>
    <x v="1"/>
    <x v="1"/>
    <n v="1"/>
    <n v="1"/>
    <n v="0"/>
    <m/>
    <x v="1"/>
    <n v="7.4300283703463171E-2"/>
  </r>
  <r>
    <x v="0"/>
    <x v="1"/>
    <x v="0"/>
    <x v="1"/>
    <x v="2"/>
    <x v="0"/>
    <x v="1"/>
    <x v="1"/>
    <x v="1"/>
    <x v="6"/>
    <n v="1"/>
    <n v="1"/>
    <n v="0"/>
    <n v="1"/>
    <x v="0"/>
    <n v="1.4482104507696861E-2"/>
  </r>
  <r>
    <x v="17"/>
    <x v="1"/>
    <x v="0"/>
    <x v="1"/>
    <x v="2"/>
    <x v="0"/>
    <x v="1"/>
    <x v="1"/>
    <x v="0"/>
    <x v="7"/>
    <n v="1"/>
    <n v="1"/>
    <n v="0"/>
    <n v="1"/>
    <x v="0"/>
    <n v="2.1855094877283671E-2"/>
  </r>
  <r>
    <x v="21"/>
    <x v="0"/>
    <x v="1"/>
    <x v="0"/>
    <x v="2"/>
    <x v="0"/>
    <x v="1"/>
    <x v="1"/>
    <x v="1"/>
    <x v="5"/>
    <n v="1"/>
    <n v="1"/>
    <n v="0"/>
    <m/>
    <x v="1"/>
    <n v="1.458390684269004E-2"/>
  </r>
  <r>
    <x v="20"/>
    <x v="0"/>
    <x v="0"/>
    <x v="1"/>
    <x v="3"/>
    <x v="1"/>
    <x v="1"/>
    <x v="1"/>
    <x v="1"/>
    <x v="7"/>
    <n v="1"/>
    <n v="1"/>
    <n v="0"/>
    <n v="1"/>
    <x v="0"/>
    <n v="2.5259012821724224E-2"/>
  </r>
  <r>
    <x v="1"/>
    <x v="1"/>
    <x v="1"/>
    <x v="2"/>
    <x v="0"/>
    <x v="1"/>
    <x v="0"/>
    <x v="0"/>
    <x v="1"/>
    <x v="1"/>
    <n v="1"/>
    <n v="1"/>
    <n v="0"/>
    <n v="1"/>
    <x v="0"/>
    <n v="7.7023371586454323E-2"/>
  </r>
  <r>
    <x v="2"/>
    <x v="1"/>
    <x v="0"/>
    <x v="0"/>
    <x v="2"/>
    <x v="0"/>
    <x v="1"/>
    <x v="0"/>
    <x v="0"/>
    <x v="0"/>
    <n v="1"/>
    <n v="1"/>
    <n v="0"/>
    <m/>
    <x v="1"/>
    <n v="4.6701039199944734E-2"/>
  </r>
  <r>
    <x v="6"/>
    <x v="1"/>
    <x v="0"/>
    <x v="0"/>
    <x v="2"/>
    <x v="0"/>
    <x v="0"/>
    <x v="1"/>
    <x v="2"/>
    <x v="9"/>
    <n v="1"/>
    <n v="3"/>
    <n v="0"/>
    <m/>
    <x v="1"/>
    <n v="0.56599211530489102"/>
  </r>
  <r>
    <x v="7"/>
    <x v="0"/>
    <x v="1"/>
    <x v="1"/>
    <x v="1"/>
    <x v="0"/>
    <x v="0"/>
    <x v="1"/>
    <x v="2"/>
    <x v="0"/>
    <n v="1"/>
    <n v="2"/>
    <n v="0"/>
    <m/>
    <x v="1"/>
    <n v="9.3925729422400503E-2"/>
  </r>
  <r>
    <x v="1"/>
    <x v="1"/>
    <x v="0"/>
    <x v="2"/>
    <x v="0"/>
    <x v="1"/>
    <x v="1"/>
    <x v="1"/>
    <x v="1"/>
    <x v="0"/>
    <n v="0"/>
    <n v="1"/>
    <n v="0"/>
    <m/>
    <x v="0"/>
    <n v="5.3792377530532454E-2"/>
  </r>
  <r>
    <x v="21"/>
    <x v="1"/>
    <x v="0"/>
    <x v="0"/>
    <x v="3"/>
    <x v="1"/>
    <x v="0"/>
    <x v="1"/>
    <x v="2"/>
    <x v="9"/>
    <n v="0"/>
    <n v="4"/>
    <n v="0"/>
    <m/>
    <x v="1"/>
    <n v="1.5308411122990924"/>
  </r>
  <r>
    <x v="4"/>
    <x v="1"/>
    <x v="0"/>
    <x v="2"/>
    <x v="2"/>
    <x v="0"/>
    <x v="0"/>
    <x v="0"/>
    <x v="2"/>
    <x v="9"/>
    <n v="0"/>
    <n v="1"/>
    <n v="0"/>
    <m/>
    <x v="1"/>
    <n v="0.23424723931098945"/>
  </r>
  <r>
    <x v="21"/>
    <x v="1"/>
    <x v="1"/>
    <x v="2"/>
    <x v="0"/>
    <x v="0"/>
    <x v="1"/>
    <x v="0"/>
    <x v="0"/>
    <x v="7"/>
    <n v="0"/>
    <n v="1"/>
    <n v="0"/>
    <m/>
    <x v="1"/>
    <n v="2.9597991163995179E-2"/>
  </r>
  <r>
    <x v="16"/>
    <x v="1"/>
    <x v="0"/>
    <x v="2"/>
    <x v="3"/>
    <x v="1"/>
    <x v="1"/>
    <x v="1"/>
    <x v="1"/>
    <x v="8"/>
    <n v="0"/>
    <n v="1"/>
    <n v="0"/>
    <m/>
    <x v="1"/>
    <n v="0.10153303979783772"/>
  </r>
  <r>
    <x v="4"/>
    <x v="1"/>
    <x v="0"/>
    <x v="2"/>
    <x v="0"/>
    <x v="0"/>
    <x v="1"/>
    <x v="0"/>
    <x v="2"/>
    <x v="8"/>
    <n v="0"/>
    <n v="1"/>
    <n v="0"/>
    <m/>
    <x v="1"/>
    <n v="8.9774500731891763E-2"/>
  </r>
  <r>
    <x v="2"/>
    <x v="0"/>
    <x v="0"/>
    <x v="0"/>
    <x v="3"/>
    <x v="0"/>
    <x v="1"/>
    <x v="0"/>
    <x v="2"/>
    <x v="8"/>
    <n v="0"/>
    <n v="1"/>
    <n v="0"/>
    <m/>
    <x v="1"/>
    <n v="8.9725737736983821E-2"/>
  </r>
  <r>
    <x v="3"/>
    <x v="0"/>
    <x v="0"/>
    <x v="0"/>
    <x v="3"/>
    <x v="0"/>
    <x v="0"/>
    <x v="0"/>
    <x v="2"/>
    <x v="9"/>
    <n v="0"/>
    <n v="1"/>
    <n v="0"/>
    <m/>
    <x v="1"/>
    <n v="0.17241763602692631"/>
  </r>
  <r>
    <x v="16"/>
    <x v="0"/>
    <x v="0"/>
    <x v="0"/>
    <x v="3"/>
    <x v="1"/>
    <x v="1"/>
    <x v="1"/>
    <x v="1"/>
    <x v="0"/>
    <n v="0"/>
    <n v="1"/>
    <n v="0"/>
    <m/>
    <x v="1"/>
    <n v="5.3762004632525763E-2"/>
  </r>
  <r>
    <x v="7"/>
    <x v="1"/>
    <x v="1"/>
    <x v="0"/>
    <x v="2"/>
    <x v="0"/>
    <x v="0"/>
    <x v="1"/>
    <x v="1"/>
    <x v="0"/>
    <n v="0"/>
    <n v="3"/>
    <n v="0"/>
    <m/>
    <x v="1"/>
    <n v="0.13547680784598942"/>
  </r>
  <r>
    <x v="21"/>
    <x v="1"/>
    <x v="0"/>
    <x v="1"/>
    <x v="3"/>
    <x v="1"/>
    <x v="0"/>
    <x v="0"/>
    <x v="0"/>
    <x v="8"/>
    <n v="0"/>
    <n v="1"/>
    <n v="0"/>
    <m/>
    <x v="1"/>
    <n v="0.11183128944304827"/>
  </r>
  <r>
    <x v="8"/>
    <x v="0"/>
    <x v="0"/>
    <x v="1"/>
    <x v="1"/>
    <x v="0"/>
    <x v="0"/>
    <x v="1"/>
    <x v="2"/>
    <x v="1"/>
    <n v="0"/>
    <n v="1"/>
    <n v="0"/>
    <m/>
    <x v="1"/>
    <n v="6.6252514174304555E-2"/>
  </r>
  <r>
    <x v="10"/>
    <x v="1"/>
    <x v="0"/>
    <x v="2"/>
    <x v="0"/>
    <x v="0"/>
    <x v="0"/>
    <x v="1"/>
    <x v="2"/>
    <x v="9"/>
    <n v="0"/>
    <n v="2"/>
    <n v="0"/>
    <m/>
    <x v="1"/>
    <n v="0.34500564574730752"/>
  </r>
  <r>
    <x v="16"/>
    <x v="1"/>
    <x v="0"/>
    <x v="1"/>
    <x v="2"/>
    <x v="0"/>
    <x v="1"/>
    <x v="1"/>
    <x v="2"/>
    <x v="0"/>
    <n v="0"/>
    <n v="1"/>
    <n v="0"/>
    <m/>
    <x v="1"/>
    <n v="4.778062262691999E-2"/>
  </r>
  <r>
    <x v="3"/>
    <x v="1"/>
    <x v="1"/>
    <x v="2"/>
    <x v="2"/>
    <x v="1"/>
    <x v="0"/>
    <x v="1"/>
    <x v="2"/>
    <x v="9"/>
    <n v="0"/>
    <n v="1"/>
    <n v="0"/>
    <m/>
    <x v="1"/>
    <n v="0.29485768452062661"/>
  </r>
  <r>
    <x v="10"/>
    <x v="0"/>
    <x v="1"/>
    <x v="1"/>
    <x v="2"/>
    <x v="0"/>
    <x v="0"/>
    <x v="1"/>
    <x v="1"/>
    <x v="6"/>
    <n v="0"/>
    <n v="1"/>
    <n v="0"/>
    <m/>
    <x v="1"/>
    <n v="1.4066294421662752E-2"/>
  </r>
  <r>
    <x v="6"/>
    <x v="0"/>
    <x v="0"/>
    <x v="2"/>
    <x v="1"/>
    <x v="1"/>
    <x v="0"/>
    <x v="1"/>
    <x v="0"/>
    <x v="9"/>
    <n v="0"/>
    <n v="2"/>
    <n v="0"/>
    <m/>
    <x v="1"/>
    <n v="0.30416817290379677"/>
  </r>
  <r>
    <x v="20"/>
    <x v="0"/>
    <x v="1"/>
    <x v="1"/>
    <x v="1"/>
    <x v="0"/>
    <x v="0"/>
    <x v="1"/>
    <x v="2"/>
    <x v="0"/>
    <n v="0"/>
    <n v="2"/>
    <n v="0"/>
    <m/>
    <x v="0"/>
    <n v="9.3925729422400503E-2"/>
  </r>
  <r>
    <x v="7"/>
    <x v="1"/>
    <x v="1"/>
    <x v="0"/>
    <x v="2"/>
    <x v="1"/>
    <x v="0"/>
    <x v="1"/>
    <x v="2"/>
    <x v="9"/>
    <n v="0"/>
    <n v="1"/>
    <n v="0"/>
    <m/>
    <x v="1"/>
    <n v="0.24119501983049757"/>
  </r>
  <r>
    <x v="8"/>
    <x v="0"/>
    <x v="1"/>
    <x v="2"/>
    <x v="1"/>
    <x v="1"/>
    <x v="0"/>
    <x v="1"/>
    <x v="0"/>
    <x v="8"/>
    <n v="0"/>
    <n v="1"/>
    <n v="0"/>
    <m/>
    <x v="1"/>
    <n v="0.11076881537434741"/>
  </r>
  <r>
    <x v="19"/>
    <x v="1"/>
    <x v="1"/>
    <x v="2"/>
    <x v="0"/>
    <x v="0"/>
    <x v="0"/>
    <x v="1"/>
    <x v="0"/>
    <x v="3"/>
    <n v="0"/>
    <n v="1"/>
    <n v="0"/>
    <m/>
    <x v="1"/>
    <n v="6.0562543455648175E-2"/>
  </r>
  <r>
    <x v="14"/>
    <x v="1"/>
    <x v="1"/>
    <x v="0"/>
    <x v="2"/>
    <x v="0"/>
    <x v="1"/>
    <x v="0"/>
    <x v="2"/>
    <x v="1"/>
    <n v="0"/>
    <n v="1"/>
    <n v="0"/>
    <m/>
    <x v="1"/>
    <n v="7.0983587013537311E-2"/>
  </r>
  <r>
    <x v="2"/>
    <x v="1"/>
    <x v="0"/>
    <x v="0"/>
    <x v="3"/>
    <x v="1"/>
    <x v="0"/>
    <x v="1"/>
    <x v="0"/>
    <x v="9"/>
    <n v="0"/>
    <n v="1"/>
    <n v="0"/>
    <m/>
    <x v="1"/>
    <n v="0.21634259353047053"/>
  </r>
  <r>
    <x v="1"/>
    <x v="0"/>
    <x v="0"/>
    <x v="1"/>
    <x v="0"/>
    <x v="0"/>
    <x v="1"/>
    <x v="0"/>
    <x v="1"/>
    <x v="6"/>
    <n v="0"/>
    <n v="2"/>
    <n v="0"/>
    <m/>
    <x v="0"/>
    <n v="1.315955589013206E-2"/>
  </r>
  <r>
    <x v="15"/>
    <x v="0"/>
    <x v="1"/>
    <x v="2"/>
    <x v="0"/>
    <x v="0"/>
    <x v="1"/>
    <x v="0"/>
    <x v="1"/>
    <x v="6"/>
    <n v="0"/>
    <n v="1"/>
    <n v="0"/>
    <m/>
    <x v="0"/>
    <n v="1.3093969311862536E-2"/>
  </r>
  <r>
    <x v="6"/>
    <x v="1"/>
    <x v="0"/>
    <x v="2"/>
    <x v="1"/>
    <x v="1"/>
    <x v="0"/>
    <x v="1"/>
    <x v="2"/>
    <x v="9"/>
    <n v="0"/>
    <n v="1"/>
    <n v="0"/>
    <m/>
    <x v="1"/>
    <n v="0.37850228785218432"/>
  </r>
  <r>
    <x v="19"/>
    <x v="1"/>
    <x v="0"/>
    <x v="2"/>
    <x v="1"/>
    <x v="1"/>
    <x v="0"/>
    <x v="1"/>
    <x v="0"/>
    <x v="9"/>
    <n v="0"/>
    <n v="1"/>
    <n v="0"/>
    <m/>
    <x v="1"/>
    <n v="0.21333167671907721"/>
  </r>
  <r>
    <x v="8"/>
    <x v="1"/>
    <x v="0"/>
    <x v="2"/>
    <x v="3"/>
    <x v="0"/>
    <x v="0"/>
    <x v="1"/>
    <x v="2"/>
    <x v="9"/>
    <n v="0"/>
    <n v="1"/>
    <n v="0"/>
    <m/>
    <x v="1"/>
    <n v="0.2929773242473675"/>
  </r>
  <r>
    <x v="7"/>
    <x v="1"/>
    <x v="1"/>
    <x v="2"/>
    <x v="1"/>
    <x v="0"/>
    <x v="0"/>
    <x v="1"/>
    <x v="2"/>
    <x v="9"/>
    <n v="0"/>
    <n v="2"/>
    <n v="0"/>
    <m/>
    <x v="1"/>
    <n v="0.35376490426362095"/>
  </r>
  <r>
    <x v="11"/>
    <x v="1"/>
    <x v="0"/>
    <x v="1"/>
    <x v="2"/>
    <x v="1"/>
    <x v="0"/>
    <x v="0"/>
    <x v="1"/>
    <x v="0"/>
    <n v="0"/>
    <n v="1"/>
    <n v="0"/>
    <m/>
    <x v="1"/>
    <n v="5.7610445646867868E-2"/>
  </r>
  <r>
    <x v="6"/>
    <x v="1"/>
    <x v="0"/>
    <x v="2"/>
    <x v="1"/>
    <x v="0"/>
    <x v="1"/>
    <x v="1"/>
    <x v="0"/>
    <x v="3"/>
    <n v="0"/>
    <n v="1"/>
    <n v="0"/>
    <m/>
    <x v="1"/>
    <n v="6.1197583567425697E-2"/>
  </r>
  <r>
    <x v="2"/>
    <x v="0"/>
    <x v="0"/>
    <x v="0"/>
    <x v="2"/>
    <x v="1"/>
    <x v="0"/>
    <x v="0"/>
    <x v="2"/>
    <x v="9"/>
    <n v="0"/>
    <n v="2"/>
    <n v="0"/>
    <m/>
    <x v="1"/>
    <n v="0.4647445253393937"/>
  </r>
  <r>
    <x v="10"/>
    <x v="0"/>
    <x v="0"/>
    <x v="2"/>
    <x v="3"/>
    <x v="1"/>
    <x v="0"/>
    <x v="1"/>
    <x v="2"/>
    <x v="9"/>
    <n v="0"/>
    <n v="2"/>
    <n v="0"/>
    <m/>
    <x v="1"/>
    <n v="0.70082915315798311"/>
  </r>
  <r>
    <x v="6"/>
    <x v="0"/>
    <x v="1"/>
    <x v="0"/>
    <x v="0"/>
    <x v="0"/>
    <x v="1"/>
    <x v="0"/>
    <x v="1"/>
    <x v="6"/>
    <n v="0"/>
    <n v="1"/>
    <n v="0"/>
    <m/>
    <x v="1"/>
    <n v="9.9848113487339026E-3"/>
  </r>
  <r>
    <x v="3"/>
    <x v="1"/>
    <x v="1"/>
    <x v="0"/>
    <x v="0"/>
    <x v="0"/>
    <x v="1"/>
    <x v="0"/>
    <x v="0"/>
    <x v="7"/>
    <n v="0"/>
    <n v="1"/>
    <n v="0"/>
    <m/>
    <x v="1"/>
    <n v="2.2659939205773683E-2"/>
  </r>
  <r>
    <x v="5"/>
    <x v="1"/>
    <x v="1"/>
    <x v="2"/>
    <x v="2"/>
    <x v="1"/>
    <x v="0"/>
    <x v="0"/>
    <x v="2"/>
    <x v="9"/>
    <n v="0"/>
    <n v="1"/>
    <n v="0"/>
    <m/>
    <x v="0"/>
    <n v="0.29485768452062661"/>
  </r>
  <r>
    <x v="16"/>
    <x v="1"/>
    <x v="0"/>
    <x v="2"/>
    <x v="3"/>
    <x v="1"/>
    <x v="1"/>
    <x v="1"/>
    <x v="2"/>
    <x v="9"/>
    <n v="0"/>
    <n v="1"/>
    <n v="0"/>
    <m/>
    <x v="1"/>
    <n v="0.27843709927306881"/>
  </r>
  <r>
    <x v="2"/>
    <x v="0"/>
    <x v="1"/>
    <x v="2"/>
    <x v="0"/>
    <x v="0"/>
    <x v="0"/>
    <x v="0"/>
    <x v="0"/>
    <x v="4"/>
    <n v="0"/>
    <n v="1"/>
    <n v="0"/>
    <m/>
    <x v="1"/>
    <n v="4.089495301709424E-2"/>
  </r>
  <r>
    <x v="3"/>
    <x v="1"/>
    <x v="0"/>
    <x v="2"/>
    <x v="3"/>
    <x v="0"/>
    <x v="0"/>
    <x v="1"/>
    <x v="2"/>
    <x v="9"/>
    <n v="0"/>
    <n v="1"/>
    <n v="0"/>
    <m/>
    <x v="1"/>
    <n v="0.2929773242473675"/>
  </r>
  <r>
    <x v="3"/>
    <x v="1"/>
    <x v="0"/>
    <x v="0"/>
    <x v="0"/>
    <x v="1"/>
    <x v="0"/>
    <x v="1"/>
    <x v="1"/>
    <x v="1"/>
    <n v="0"/>
    <n v="1"/>
    <n v="0"/>
    <m/>
    <x v="1"/>
    <n v="8.3695532436182302E-2"/>
  </r>
  <r>
    <x v="3"/>
    <x v="1"/>
    <x v="1"/>
    <x v="1"/>
    <x v="2"/>
    <x v="1"/>
    <x v="0"/>
    <x v="1"/>
    <x v="1"/>
    <x v="4"/>
    <n v="0"/>
    <n v="1"/>
    <n v="0"/>
    <m/>
    <x v="1"/>
    <n v="4.0727216848803351E-2"/>
  </r>
  <r>
    <x v="7"/>
    <x v="0"/>
    <x v="0"/>
    <x v="0"/>
    <x v="3"/>
    <x v="1"/>
    <x v="0"/>
    <x v="0"/>
    <x v="2"/>
    <x v="9"/>
    <n v="0"/>
    <n v="1"/>
    <n v="0"/>
    <m/>
    <x v="1"/>
    <n v="0.29081078354285356"/>
  </r>
  <r>
    <x v="8"/>
    <x v="0"/>
    <x v="0"/>
    <x v="2"/>
    <x v="2"/>
    <x v="0"/>
    <x v="0"/>
    <x v="0"/>
    <x v="1"/>
    <x v="0"/>
    <n v="0"/>
    <n v="1"/>
    <n v="0"/>
    <m/>
    <x v="1"/>
    <n v="5.5937898870790044E-2"/>
  </r>
  <r>
    <x v="15"/>
    <x v="1"/>
    <x v="1"/>
    <x v="0"/>
    <x v="0"/>
    <x v="0"/>
    <x v="1"/>
    <x v="1"/>
    <x v="0"/>
    <x v="7"/>
    <n v="0"/>
    <n v="1"/>
    <n v="0"/>
    <m/>
    <x v="0"/>
    <n v="2.2659939205773683E-2"/>
  </r>
  <r>
    <x v="10"/>
    <x v="1"/>
    <x v="0"/>
    <x v="0"/>
    <x v="3"/>
    <x v="1"/>
    <x v="0"/>
    <x v="1"/>
    <x v="2"/>
    <x v="9"/>
    <n v="0"/>
    <n v="1"/>
    <n v="0"/>
    <m/>
    <x v="1"/>
    <n v="0.38271027807477309"/>
  </r>
  <r>
    <x v="21"/>
    <x v="0"/>
    <x v="1"/>
    <x v="1"/>
    <x v="0"/>
    <x v="1"/>
    <x v="0"/>
    <x v="0"/>
    <x v="1"/>
    <x v="5"/>
    <n v="0"/>
    <n v="1"/>
    <n v="0"/>
    <m/>
    <x v="1"/>
    <n v="1.8776796462310515E-2"/>
  </r>
  <r>
    <x v="19"/>
    <x v="0"/>
    <x v="1"/>
    <x v="0"/>
    <x v="3"/>
    <x v="1"/>
    <x v="0"/>
    <x v="1"/>
    <x v="2"/>
    <x v="9"/>
    <n v="0"/>
    <n v="3"/>
    <n v="0"/>
    <m/>
    <x v="1"/>
    <n v="0.66498267382666365"/>
  </r>
  <r>
    <x v="14"/>
    <x v="1"/>
    <x v="0"/>
    <x v="0"/>
    <x v="1"/>
    <x v="1"/>
    <x v="0"/>
    <x v="1"/>
    <x v="2"/>
    <x v="9"/>
    <n v="0"/>
    <n v="3"/>
    <n v="0"/>
    <m/>
    <x v="1"/>
    <n v="0.9493449983764769"/>
  </r>
  <r>
    <x v="3"/>
    <x v="0"/>
    <x v="0"/>
    <x v="2"/>
    <x v="0"/>
    <x v="0"/>
    <x v="0"/>
    <x v="1"/>
    <x v="2"/>
    <x v="8"/>
    <n v="0"/>
    <n v="1"/>
    <n v="0"/>
    <m/>
    <x v="1"/>
    <n v="0.12117165620362885"/>
  </r>
  <r>
    <x v="9"/>
    <x v="1"/>
    <x v="1"/>
    <x v="2"/>
    <x v="2"/>
    <x v="0"/>
    <x v="0"/>
    <x v="1"/>
    <x v="0"/>
    <x v="8"/>
    <n v="0"/>
    <n v="1"/>
    <n v="0"/>
    <m/>
    <x v="0"/>
    <n v="8.6424504948779526E-2"/>
  </r>
  <r>
    <x v="17"/>
    <x v="1"/>
    <x v="1"/>
    <x v="0"/>
    <x v="0"/>
    <x v="0"/>
    <x v="0"/>
    <x v="1"/>
    <x v="0"/>
    <x v="0"/>
    <n v="0"/>
    <n v="1"/>
    <n v="0"/>
    <m/>
    <x v="0"/>
    <n v="4.6715526092825782E-2"/>
  </r>
  <r>
    <x v="4"/>
    <x v="1"/>
    <x v="0"/>
    <x v="2"/>
    <x v="2"/>
    <x v="0"/>
    <x v="1"/>
    <x v="1"/>
    <x v="0"/>
    <x v="3"/>
    <n v="0"/>
    <n v="2"/>
    <n v="0"/>
    <m/>
    <x v="1"/>
    <n v="0.12108807040598503"/>
  </r>
  <r>
    <x v="22"/>
    <x v="0"/>
    <x v="0"/>
    <x v="1"/>
    <x v="1"/>
    <x v="0"/>
    <x v="0"/>
    <x v="1"/>
    <x v="0"/>
    <x v="4"/>
    <n v="0"/>
    <n v="1"/>
    <n v="0"/>
    <m/>
    <x v="0"/>
    <n v="3.0626595858064386E-2"/>
  </r>
  <r>
    <x v="17"/>
    <x v="0"/>
    <x v="0"/>
    <x v="0"/>
    <x v="0"/>
    <x v="0"/>
    <x v="1"/>
    <x v="0"/>
    <x v="0"/>
    <x v="7"/>
    <n v="0"/>
    <n v="1"/>
    <n v="0"/>
    <m/>
    <x v="0"/>
    <n v="2.1603464808317204E-2"/>
  </r>
  <r>
    <x v="12"/>
    <x v="1"/>
    <x v="0"/>
    <x v="1"/>
    <x v="0"/>
    <x v="1"/>
    <x v="0"/>
    <x v="1"/>
    <x v="0"/>
    <x v="3"/>
    <n v="0"/>
    <n v="1"/>
    <n v="0"/>
    <m/>
    <x v="1"/>
    <n v="5.956945278486124E-2"/>
  </r>
  <r>
    <x v="9"/>
    <x v="1"/>
    <x v="0"/>
    <x v="1"/>
    <x v="0"/>
    <x v="0"/>
    <x v="1"/>
    <x v="0"/>
    <x v="0"/>
    <x v="5"/>
    <n v="0"/>
    <n v="1"/>
    <n v="0"/>
    <m/>
    <x v="0"/>
    <n v="1.4997899225310888E-2"/>
  </r>
  <r>
    <x v="5"/>
    <x v="0"/>
    <x v="1"/>
    <x v="1"/>
    <x v="2"/>
    <x v="0"/>
    <x v="1"/>
    <x v="1"/>
    <x v="0"/>
    <x v="6"/>
    <n v="0"/>
    <n v="1"/>
    <n v="0"/>
    <m/>
    <x v="0"/>
    <n v="1.0159072239262455E-2"/>
  </r>
  <r>
    <x v="14"/>
    <x v="1"/>
    <x v="0"/>
    <x v="2"/>
    <x v="2"/>
    <x v="1"/>
    <x v="1"/>
    <x v="1"/>
    <x v="0"/>
    <x v="8"/>
    <n v="0"/>
    <n v="1"/>
    <n v="0"/>
    <m/>
    <x v="1"/>
    <n v="0.11256638841333892"/>
  </r>
  <r>
    <x v="6"/>
    <x v="0"/>
    <x v="0"/>
    <x v="1"/>
    <x v="0"/>
    <x v="1"/>
    <x v="0"/>
    <x v="0"/>
    <x v="0"/>
    <x v="4"/>
    <n v="0"/>
    <n v="1"/>
    <n v="0"/>
    <m/>
    <x v="1"/>
    <n v="4.0210562870550678E-2"/>
  </r>
  <r>
    <x v="2"/>
    <x v="1"/>
    <x v="0"/>
    <x v="2"/>
    <x v="3"/>
    <x v="1"/>
    <x v="0"/>
    <x v="1"/>
    <x v="1"/>
    <x v="9"/>
    <n v="0"/>
    <n v="1"/>
    <n v="0"/>
    <m/>
    <x v="1"/>
    <n v="0.19280182250464545"/>
  </r>
  <r>
    <x v="2"/>
    <x v="1"/>
    <x v="1"/>
    <x v="2"/>
    <x v="1"/>
    <x v="1"/>
    <x v="0"/>
    <x v="1"/>
    <x v="0"/>
    <x v="9"/>
    <n v="0"/>
    <n v="1"/>
    <n v="0"/>
    <m/>
    <x v="1"/>
    <n v="0.15848783160330054"/>
  </r>
  <r>
    <x v="21"/>
    <x v="1"/>
    <x v="0"/>
    <x v="2"/>
    <x v="2"/>
    <x v="1"/>
    <x v="0"/>
    <x v="1"/>
    <x v="1"/>
    <x v="9"/>
    <n v="0"/>
    <n v="1"/>
    <n v="0"/>
    <m/>
    <x v="1"/>
    <n v="0.14989547850382232"/>
  </r>
  <r>
    <x v="21"/>
    <x v="0"/>
    <x v="0"/>
    <x v="0"/>
    <x v="3"/>
    <x v="0"/>
    <x v="0"/>
    <x v="1"/>
    <x v="1"/>
    <x v="0"/>
    <n v="0"/>
    <n v="1"/>
    <n v="0"/>
    <m/>
    <x v="1"/>
    <n v="5.7504535626010621E-2"/>
  </r>
  <r>
    <x v="12"/>
    <x v="1"/>
    <x v="0"/>
    <x v="1"/>
    <x v="1"/>
    <x v="1"/>
    <x v="0"/>
    <x v="1"/>
    <x v="2"/>
    <x v="9"/>
    <n v="0"/>
    <n v="1"/>
    <n v="0"/>
    <m/>
    <x v="1"/>
    <n v="0.17433593735276651"/>
  </r>
  <r>
    <x v="18"/>
    <x v="0"/>
    <x v="0"/>
    <x v="1"/>
    <x v="0"/>
    <x v="0"/>
    <x v="0"/>
    <x v="0"/>
    <x v="0"/>
    <x v="5"/>
    <n v="0"/>
    <n v="1"/>
    <n v="0"/>
    <m/>
    <x v="1"/>
    <n v="2.0841983429204125E-2"/>
  </r>
  <r>
    <x v="8"/>
    <x v="0"/>
    <x v="0"/>
    <x v="0"/>
    <x v="2"/>
    <x v="1"/>
    <x v="0"/>
    <x v="1"/>
    <x v="2"/>
    <x v="9"/>
    <n v="0"/>
    <n v="1"/>
    <n v="0"/>
    <m/>
    <x v="1"/>
    <n v="0.23237226266969685"/>
  </r>
  <r>
    <x v="7"/>
    <x v="1"/>
    <x v="0"/>
    <x v="0"/>
    <x v="0"/>
    <x v="1"/>
    <x v="0"/>
    <x v="0"/>
    <x v="2"/>
    <x v="9"/>
    <n v="0"/>
    <n v="1"/>
    <n v="0"/>
    <m/>
    <x v="1"/>
    <n v="0.23774457836402732"/>
  </r>
  <r>
    <x v="16"/>
    <x v="0"/>
    <x v="1"/>
    <x v="0"/>
    <x v="3"/>
    <x v="0"/>
    <x v="1"/>
    <x v="1"/>
    <x v="1"/>
    <x v="5"/>
    <n v="0"/>
    <n v="1"/>
    <n v="0"/>
    <m/>
    <x v="1"/>
    <n v="1.9653885350930222E-2"/>
  </r>
  <r>
    <x v="18"/>
    <x v="0"/>
    <x v="0"/>
    <x v="2"/>
    <x v="0"/>
    <x v="0"/>
    <x v="0"/>
    <x v="1"/>
    <x v="0"/>
    <x v="0"/>
    <n v="0"/>
    <n v="1"/>
    <n v="0"/>
    <m/>
    <x v="1"/>
    <n v="5.784352300209826E-2"/>
  </r>
  <r>
    <x v="14"/>
    <x v="1"/>
    <x v="0"/>
    <x v="2"/>
    <x v="3"/>
    <x v="1"/>
    <x v="0"/>
    <x v="1"/>
    <x v="2"/>
    <x v="9"/>
    <n v="0"/>
    <n v="1"/>
    <n v="0"/>
    <m/>
    <x v="1"/>
    <n v="0.44921867129852688"/>
  </r>
  <r>
    <x v="3"/>
    <x v="0"/>
    <x v="1"/>
    <x v="0"/>
    <x v="2"/>
    <x v="1"/>
    <x v="0"/>
    <x v="0"/>
    <x v="0"/>
    <x v="8"/>
    <n v="0"/>
    <n v="1"/>
    <n v="0"/>
    <m/>
    <x v="1"/>
    <n v="8.5600473827371765E-2"/>
  </r>
  <r>
    <x v="20"/>
    <x v="1"/>
    <x v="0"/>
    <x v="2"/>
    <x v="0"/>
    <x v="0"/>
    <x v="1"/>
    <x v="0"/>
    <x v="0"/>
    <x v="2"/>
    <n v="0"/>
    <n v="1"/>
    <n v="0"/>
    <m/>
    <x v="0"/>
    <n v="4.2069997453546046E-2"/>
  </r>
  <r>
    <x v="3"/>
    <x v="1"/>
    <x v="0"/>
    <x v="2"/>
    <x v="2"/>
    <x v="0"/>
    <x v="0"/>
    <x v="0"/>
    <x v="0"/>
    <x v="8"/>
    <n v="0"/>
    <n v="1"/>
    <n v="0"/>
    <m/>
    <x v="1"/>
    <n v="0.11988383252407406"/>
  </r>
  <r>
    <x v="4"/>
    <x v="0"/>
    <x v="1"/>
    <x v="2"/>
    <x v="3"/>
    <x v="0"/>
    <x v="1"/>
    <x v="1"/>
    <x v="2"/>
    <x v="1"/>
    <n v="0"/>
    <n v="1"/>
    <n v="0"/>
    <m/>
    <x v="1"/>
    <n v="8.2616195581106291E-2"/>
  </r>
  <r>
    <x v="17"/>
    <x v="0"/>
    <x v="0"/>
    <x v="0"/>
    <x v="3"/>
    <x v="1"/>
    <x v="1"/>
    <x v="1"/>
    <x v="2"/>
    <x v="9"/>
    <n v="0"/>
    <n v="1"/>
    <n v="0"/>
    <m/>
    <x v="0"/>
    <n v="0.16248563228241489"/>
  </r>
  <r>
    <x v="21"/>
    <x v="1"/>
    <x v="1"/>
    <x v="1"/>
    <x v="3"/>
    <x v="1"/>
    <x v="1"/>
    <x v="0"/>
    <x v="2"/>
    <x v="8"/>
    <n v="0"/>
    <n v="1"/>
    <n v="0"/>
    <m/>
    <x v="1"/>
    <n v="8.5014592289604424E-2"/>
  </r>
  <r>
    <x v="0"/>
    <x v="1"/>
    <x v="1"/>
    <x v="0"/>
    <x v="0"/>
    <x v="1"/>
    <x v="0"/>
    <x v="1"/>
    <x v="2"/>
    <x v="9"/>
    <n v="0"/>
    <n v="1"/>
    <n v="0"/>
    <m/>
    <x v="0"/>
    <n v="0.17804506696932551"/>
  </r>
  <r>
    <x v="11"/>
    <x v="0"/>
    <x v="0"/>
    <x v="0"/>
    <x v="0"/>
    <x v="0"/>
    <x v="1"/>
    <x v="0"/>
    <x v="0"/>
    <x v="7"/>
    <n v="0"/>
    <n v="1"/>
    <n v="0"/>
    <m/>
    <x v="1"/>
    <n v="2.1603464808317204E-2"/>
  </r>
  <r>
    <x v="4"/>
    <x v="0"/>
    <x v="0"/>
    <x v="1"/>
    <x v="2"/>
    <x v="0"/>
    <x v="0"/>
    <x v="1"/>
    <x v="2"/>
    <x v="1"/>
    <n v="0"/>
    <n v="1"/>
    <n v="0"/>
    <m/>
    <x v="1"/>
    <n v="6.5548751803400848E-2"/>
  </r>
  <r>
    <x v="10"/>
    <x v="0"/>
    <x v="0"/>
    <x v="0"/>
    <x v="2"/>
    <x v="0"/>
    <x v="1"/>
    <x v="1"/>
    <x v="1"/>
    <x v="5"/>
    <n v="2"/>
    <n v="3"/>
    <n v="0"/>
    <m/>
    <x v="1"/>
    <n v="6.2595928273073934E-2"/>
  </r>
  <r>
    <x v="15"/>
    <x v="1"/>
    <x v="0"/>
    <x v="0"/>
    <x v="0"/>
    <x v="0"/>
    <x v="0"/>
    <x v="0"/>
    <x v="0"/>
    <x v="1"/>
    <n v="11"/>
    <n v="12"/>
    <n v="2"/>
    <n v="11"/>
    <x v="0"/>
    <n v="0.79092730837924163"/>
  </r>
  <r>
    <x v="6"/>
    <x v="1"/>
    <x v="0"/>
    <x v="2"/>
    <x v="1"/>
    <x v="0"/>
    <x v="0"/>
    <x v="1"/>
    <x v="1"/>
    <x v="1"/>
    <n v="26"/>
    <n v="36"/>
    <n v="1"/>
    <m/>
    <x v="1"/>
    <n v="2.9911223704732239"/>
  </r>
  <r>
    <x v="16"/>
    <x v="0"/>
    <x v="0"/>
    <x v="2"/>
    <x v="2"/>
    <x v="0"/>
    <x v="0"/>
    <x v="1"/>
    <x v="0"/>
    <x v="1"/>
    <n v="7"/>
    <n v="8"/>
    <n v="0"/>
    <m/>
    <x v="1"/>
    <n v="0.66117224942190223"/>
  </r>
  <r>
    <x v="20"/>
    <x v="0"/>
    <x v="1"/>
    <x v="1"/>
    <x v="0"/>
    <x v="0"/>
    <x v="0"/>
    <x v="0"/>
    <x v="1"/>
    <x v="6"/>
    <n v="6"/>
    <n v="6"/>
    <n v="0"/>
    <n v="5"/>
    <x v="0"/>
    <n v="5.7773010979357449E-2"/>
  </r>
  <r>
    <x v="15"/>
    <x v="1"/>
    <x v="1"/>
    <x v="0"/>
    <x v="1"/>
    <x v="1"/>
    <x v="0"/>
    <x v="1"/>
    <x v="1"/>
    <x v="8"/>
    <n v="14"/>
    <n v="16"/>
    <n v="1"/>
    <n v="13"/>
    <x v="0"/>
    <n v="1.3768789256051737"/>
  </r>
  <r>
    <x v="5"/>
    <x v="0"/>
    <x v="0"/>
    <x v="0"/>
    <x v="2"/>
    <x v="0"/>
    <x v="1"/>
    <x v="1"/>
    <x v="0"/>
    <x v="4"/>
    <n v="5"/>
    <n v="5"/>
    <n v="0"/>
    <n v="5"/>
    <x v="0"/>
    <n v="0.15692282503334812"/>
  </r>
  <r>
    <x v="16"/>
    <x v="0"/>
    <x v="0"/>
    <x v="0"/>
    <x v="2"/>
    <x v="1"/>
    <x v="0"/>
    <x v="1"/>
    <x v="1"/>
    <x v="1"/>
    <n v="8"/>
    <n v="10"/>
    <n v="0"/>
    <m/>
    <x v="1"/>
    <n v="0.81432380804835491"/>
  </r>
  <r>
    <x v="16"/>
    <x v="1"/>
    <x v="0"/>
    <x v="0"/>
    <x v="1"/>
    <x v="1"/>
    <x v="0"/>
    <x v="1"/>
    <x v="1"/>
    <x v="8"/>
    <n v="18"/>
    <n v="28"/>
    <n v="0"/>
    <m/>
    <x v="1"/>
    <n v="3.342916599736343"/>
  </r>
  <r>
    <x v="16"/>
    <x v="1"/>
    <x v="0"/>
    <x v="0"/>
    <x v="0"/>
    <x v="0"/>
    <x v="0"/>
    <x v="0"/>
    <x v="1"/>
    <x v="0"/>
    <n v="44"/>
    <n v="59"/>
    <n v="1"/>
    <m/>
    <x v="1"/>
    <n v="2.6165912037672077"/>
  </r>
  <r>
    <x v="14"/>
    <x v="1"/>
    <x v="0"/>
    <x v="2"/>
    <x v="1"/>
    <x v="0"/>
    <x v="0"/>
    <x v="1"/>
    <x v="1"/>
    <x v="1"/>
    <n v="33"/>
    <n v="56"/>
    <n v="0"/>
    <m/>
    <x v="1"/>
    <n v="4.6528570207361257"/>
  </r>
  <r>
    <x v="14"/>
    <x v="1"/>
    <x v="0"/>
    <x v="0"/>
    <x v="1"/>
    <x v="0"/>
    <x v="0"/>
    <x v="1"/>
    <x v="0"/>
    <x v="8"/>
    <n v="21"/>
    <n v="39"/>
    <n v="0"/>
    <m/>
    <x v="1"/>
    <n v="3.6973884812292201"/>
  </r>
  <r>
    <x v="16"/>
    <x v="1"/>
    <x v="1"/>
    <x v="0"/>
    <x v="0"/>
    <x v="0"/>
    <x v="0"/>
    <x v="0"/>
    <x v="1"/>
    <x v="4"/>
    <n v="9"/>
    <n v="9"/>
    <n v="1"/>
    <m/>
    <x v="1"/>
    <n v="0.28101049662807048"/>
  </r>
  <r>
    <x v="20"/>
    <x v="1"/>
    <x v="1"/>
    <x v="0"/>
    <x v="2"/>
    <x v="0"/>
    <x v="0"/>
    <x v="1"/>
    <x v="0"/>
    <x v="1"/>
    <n v="2"/>
    <n v="2"/>
    <n v="0"/>
    <n v="2"/>
    <x v="0"/>
    <n v="0.13417334355117133"/>
  </r>
  <r>
    <x v="17"/>
    <x v="1"/>
    <x v="0"/>
    <x v="0"/>
    <x v="0"/>
    <x v="0"/>
    <x v="0"/>
    <x v="1"/>
    <x v="1"/>
    <x v="0"/>
    <n v="40"/>
    <n v="43"/>
    <n v="5"/>
    <n v="39"/>
    <x v="0"/>
    <n v="1.907007148508304"/>
  </r>
  <r>
    <x v="8"/>
    <x v="1"/>
    <x v="0"/>
    <x v="0"/>
    <x v="2"/>
    <x v="0"/>
    <x v="0"/>
    <x v="1"/>
    <x v="0"/>
    <x v="8"/>
    <n v="9"/>
    <n v="9"/>
    <n v="0"/>
    <m/>
    <x v="1"/>
    <n v="0.8444542716481056"/>
  </r>
  <r>
    <x v="19"/>
    <x v="0"/>
    <x v="0"/>
    <x v="0"/>
    <x v="1"/>
    <x v="0"/>
    <x v="0"/>
    <x v="1"/>
    <x v="0"/>
    <x v="1"/>
    <n v="40"/>
    <n v="55"/>
    <n v="0"/>
    <m/>
    <x v="1"/>
    <n v="3.5631178702091222"/>
  </r>
  <r>
    <x v="15"/>
    <x v="1"/>
    <x v="1"/>
    <x v="0"/>
    <x v="1"/>
    <x v="0"/>
    <x v="0"/>
    <x v="1"/>
    <x v="1"/>
    <x v="0"/>
    <n v="22"/>
    <n v="25"/>
    <n v="1"/>
    <n v="21"/>
    <x v="0"/>
    <n v="1.1413619784126963"/>
  </r>
  <r>
    <x v="20"/>
    <x v="0"/>
    <x v="1"/>
    <x v="0"/>
    <x v="0"/>
    <x v="0"/>
    <x v="1"/>
    <x v="1"/>
    <x v="0"/>
    <x v="5"/>
    <n v="3"/>
    <n v="3"/>
    <n v="0"/>
    <n v="3"/>
    <x v="0"/>
    <n v="4.5309815360431056E-2"/>
  </r>
  <r>
    <x v="19"/>
    <x v="0"/>
    <x v="0"/>
    <x v="2"/>
    <x v="1"/>
    <x v="1"/>
    <x v="0"/>
    <x v="1"/>
    <x v="1"/>
    <x v="8"/>
    <n v="7"/>
    <n v="10"/>
    <n v="0"/>
    <m/>
    <x v="1"/>
    <n v="1.0551663196804721"/>
  </r>
  <r>
    <x v="10"/>
    <x v="0"/>
    <x v="0"/>
    <x v="1"/>
    <x v="0"/>
    <x v="0"/>
    <x v="1"/>
    <x v="1"/>
    <x v="0"/>
    <x v="6"/>
    <n v="1"/>
    <n v="1"/>
    <n v="0"/>
    <m/>
    <x v="1"/>
    <n v="9.9703130635719027E-3"/>
  </r>
  <r>
    <x v="11"/>
    <x v="1"/>
    <x v="0"/>
    <x v="0"/>
    <x v="1"/>
    <x v="0"/>
    <x v="0"/>
    <x v="1"/>
    <x v="1"/>
    <x v="3"/>
    <n v="73"/>
    <n v="116"/>
    <n v="0"/>
    <m/>
    <x v="1"/>
    <n v="7.4753947050004248"/>
  </r>
  <r>
    <x v="22"/>
    <x v="0"/>
    <x v="0"/>
    <x v="0"/>
    <x v="1"/>
    <x v="0"/>
    <x v="0"/>
    <x v="1"/>
    <x v="1"/>
    <x v="2"/>
    <n v="58"/>
    <n v="68"/>
    <n v="3"/>
    <n v="54"/>
    <x v="0"/>
    <n v="2.9630134780499802"/>
  </r>
  <r>
    <x v="16"/>
    <x v="1"/>
    <x v="0"/>
    <x v="0"/>
    <x v="1"/>
    <x v="0"/>
    <x v="0"/>
    <x v="1"/>
    <x v="1"/>
    <x v="3"/>
    <n v="64"/>
    <n v="80"/>
    <n v="0"/>
    <m/>
    <x v="1"/>
    <n v="5.1554446241382239"/>
  </r>
  <r>
    <x v="14"/>
    <x v="0"/>
    <x v="0"/>
    <x v="0"/>
    <x v="2"/>
    <x v="0"/>
    <x v="0"/>
    <x v="0"/>
    <x v="0"/>
    <x v="3"/>
    <n v="8"/>
    <n v="10"/>
    <n v="0"/>
    <m/>
    <x v="1"/>
    <n v="0.64094727704312648"/>
  </r>
  <r>
    <x v="9"/>
    <x v="0"/>
    <x v="0"/>
    <x v="1"/>
    <x v="0"/>
    <x v="0"/>
    <x v="1"/>
    <x v="0"/>
    <x v="0"/>
    <x v="6"/>
    <n v="1"/>
    <n v="1"/>
    <n v="0"/>
    <n v="1"/>
    <x v="0"/>
    <n v="9.9703130635719027E-3"/>
  </r>
  <r>
    <x v="8"/>
    <x v="1"/>
    <x v="1"/>
    <x v="0"/>
    <x v="1"/>
    <x v="0"/>
    <x v="0"/>
    <x v="1"/>
    <x v="0"/>
    <x v="1"/>
    <n v="7"/>
    <n v="8"/>
    <n v="0"/>
    <m/>
    <x v="1"/>
    <n v="0.54244598278770351"/>
  </r>
  <r>
    <x v="17"/>
    <x v="1"/>
    <x v="0"/>
    <x v="2"/>
    <x v="2"/>
    <x v="0"/>
    <x v="1"/>
    <x v="1"/>
    <x v="2"/>
    <x v="9"/>
    <n v="1"/>
    <n v="1"/>
    <n v="0"/>
    <n v="1"/>
    <x v="0"/>
    <n v="0.1264319832806283"/>
  </r>
  <r>
    <x v="22"/>
    <x v="1"/>
    <x v="1"/>
    <x v="0"/>
    <x v="1"/>
    <x v="0"/>
    <x v="0"/>
    <x v="1"/>
    <x v="1"/>
    <x v="0"/>
    <n v="13"/>
    <n v="15"/>
    <n v="0"/>
    <n v="13"/>
    <x v="0"/>
    <n v="0.68481718704761774"/>
  </r>
  <r>
    <x v="8"/>
    <x v="1"/>
    <x v="1"/>
    <x v="0"/>
    <x v="0"/>
    <x v="0"/>
    <x v="1"/>
    <x v="0"/>
    <x v="1"/>
    <x v="5"/>
    <n v="2"/>
    <n v="3"/>
    <n v="0"/>
    <m/>
    <x v="1"/>
    <n v="4.5058792320559406E-2"/>
  </r>
  <r>
    <x v="9"/>
    <x v="1"/>
    <x v="0"/>
    <x v="0"/>
    <x v="0"/>
    <x v="0"/>
    <x v="1"/>
    <x v="0"/>
    <x v="0"/>
    <x v="4"/>
    <n v="3"/>
    <n v="3"/>
    <n v="0"/>
    <n v="3"/>
    <x v="0"/>
    <n v="9.6917149150967677E-2"/>
  </r>
  <r>
    <x v="0"/>
    <x v="1"/>
    <x v="0"/>
    <x v="0"/>
    <x v="1"/>
    <x v="0"/>
    <x v="0"/>
    <x v="1"/>
    <x v="1"/>
    <x v="3"/>
    <n v="94"/>
    <n v="116"/>
    <n v="13"/>
    <n v="91"/>
    <x v="0"/>
    <n v="7.4753947050004248"/>
  </r>
  <r>
    <x v="20"/>
    <x v="0"/>
    <x v="1"/>
    <x v="0"/>
    <x v="0"/>
    <x v="0"/>
    <x v="1"/>
    <x v="0"/>
    <x v="0"/>
    <x v="5"/>
    <n v="2"/>
    <n v="3"/>
    <n v="0"/>
    <n v="2"/>
    <x v="0"/>
    <n v="4.5309815360431056E-2"/>
  </r>
  <r>
    <x v="9"/>
    <x v="1"/>
    <x v="1"/>
    <x v="0"/>
    <x v="1"/>
    <x v="0"/>
    <x v="0"/>
    <x v="1"/>
    <x v="1"/>
    <x v="0"/>
    <n v="31"/>
    <n v="35"/>
    <n v="3"/>
    <n v="30"/>
    <x v="0"/>
    <n v="1.5979067697777749"/>
  </r>
  <r>
    <x v="9"/>
    <x v="1"/>
    <x v="0"/>
    <x v="2"/>
    <x v="1"/>
    <x v="1"/>
    <x v="0"/>
    <x v="1"/>
    <x v="0"/>
    <x v="9"/>
    <n v="1"/>
    <n v="2"/>
    <n v="0"/>
    <n v="1"/>
    <x v="0"/>
    <n v="0.42666335343815442"/>
  </r>
  <r>
    <x v="12"/>
    <x v="0"/>
    <x v="0"/>
    <x v="0"/>
    <x v="0"/>
    <x v="0"/>
    <x v="0"/>
    <x v="1"/>
    <x v="1"/>
    <x v="7"/>
    <n v="30"/>
    <n v="34"/>
    <n v="0"/>
    <m/>
    <x v="1"/>
    <n v="1.0125140762749949"/>
  </r>
  <r>
    <x v="10"/>
    <x v="1"/>
    <x v="0"/>
    <x v="0"/>
    <x v="1"/>
    <x v="0"/>
    <x v="0"/>
    <x v="1"/>
    <x v="1"/>
    <x v="3"/>
    <n v="50"/>
    <n v="81"/>
    <n v="0"/>
    <m/>
    <x v="1"/>
    <n v="5.2198876819399516"/>
  </r>
  <r>
    <x v="8"/>
    <x v="0"/>
    <x v="0"/>
    <x v="0"/>
    <x v="0"/>
    <x v="0"/>
    <x v="1"/>
    <x v="1"/>
    <x v="1"/>
    <x v="6"/>
    <n v="6"/>
    <n v="6"/>
    <n v="0"/>
    <m/>
    <x v="1"/>
    <n v="8.5884729479847072E-2"/>
  </r>
  <r>
    <x v="14"/>
    <x v="0"/>
    <x v="0"/>
    <x v="0"/>
    <x v="1"/>
    <x v="1"/>
    <x v="0"/>
    <x v="1"/>
    <x v="1"/>
    <x v="1"/>
    <n v="23"/>
    <n v="39"/>
    <n v="1"/>
    <m/>
    <x v="1"/>
    <n v="3.2093747156729511"/>
  </r>
  <r>
    <x v="16"/>
    <x v="1"/>
    <x v="0"/>
    <x v="0"/>
    <x v="0"/>
    <x v="1"/>
    <x v="0"/>
    <x v="0"/>
    <x v="1"/>
    <x v="1"/>
    <n v="3"/>
    <n v="5"/>
    <n v="0"/>
    <m/>
    <x v="1"/>
    <n v="0.41847766218091148"/>
  </r>
  <r>
    <x v="9"/>
    <x v="0"/>
    <x v="1"/>
    <x v="2"/>
    <x v="2"/>
    <x v="0"/>
    <x v="0"/>
    <x v="1"/>
    <x v="2"/>
    <x v="8"/>
    <n v="2"/>
    <n v="2"/>
    <n v="1"/>
    <n v="2"/>
    <x v="0"/>
    <n v="0.24640740521321994"/>
  </r>
  <r>
    <x v="14"/>
    <x v="0"/>
    <x v="0"/>
    <x v="2"/>
    <x v="0"/>
    <x v="0"/>
    <x v="0"/>
    <x v="0"/>
    <x v="0"/>
    <x v="0"/>
    <n v="6"/>
    <n v="6"/>
    <n v="0"/>
    <m/>
    <x v="1"/>
    <n v="0.34706113801258953"/>
  </r>
  <r>
    <x v="4"/>
    <x v="1"/>
    <x v="0"/>
    <x v="2"/>
    <x v="0"/>
    <x v="0"/>
    <x v="1"/>
    <x v="1"/>
    <x v="1"/>
    <x v="7"/>
    <n v="1"/>
    <n v="1"/>
    <n v="0"/>
    <m/>
    <x v="1"/>
    <n v="2.8073075056070349E-2"/>
  </r>
  <r>
    <x v="1"/>
    <x v="0"/>
    <x v="0"/>
    <x v="0"/>
    <x v="2"/>
    <x v="0"/>
    <x v="0"/>
    <x v="1"/>
    <x v="2"/>
    <x v="9"/>
    <n v="13"/>
    <n v="16"/>
    <n v="1"/>
    <n v="12"/>
    <x v="0"/>
    <n v="2.1327759556112444"/>
  </r>
  <r>
    <x v="1"/>
    <x v="0"/>
    <x v="0"/>
    <x v="2"/>
    <x v="2"/>
    <x v="1"/>
    <x v="1"/>
    <x v="1"/>
    <x v="1"/>
    <x v="0"/>
    <n v="2"/>
    <n v="2"/>
    <n v="0"/>
    <n v="2"/>
    <x v="0"/>
    <n v="0.10458334262896614"/>
  </r>
  <r>
    <x v="6"/>
    <x v="0"/>
    <x v="1"/>
    <x v="1"/>
    <x v="3"/>
    <x v="1"/>
    <x v="0"/>
    <x v="1"/>
    <x v="2"/>
    <x v="8"/>
    <n v="1"/>
    <n v="1"/>
    <n v="0"/>
    <m/>
    <x v="1"/>
    <n v="0.11495729196366554"/>
  </r>
  <r>
    <x v="20"/>
    <x v="0"/>
    <x v="0"/>
    <x v="0"/>
    <x v="0"/>
    <x v="0"/>
    <x v="1"/>
    <x v="0"/>
    <x v="1"/>
    <x v="6"/>
    <n v="16"/>
    <n v="16"/>
    <n v="0"/>
    <n v="14"/>
    <x v="0"/>
    <n v="0.22902594527959219"/>
  </r>
  <r>
    <x v="11"/>
    <x v="0"/>
    <x v="0"/>
    <x v="0"/>
    <x v="2"/>
    <x v="0"/>
    <x v="0"/>
    <x v="0"/>
    <x v="0"/>
    <x v="3"/>
    <n v="7"/>
    <n v="7"/>
    <n v="0"/>
    <m/>
    <x v="1"/>
    <n v="0.44866309393018855"/>
  </r>
  <r>
    <x v="15"/>
    <x v="1"/>
    <x v="0"/>
    <x v="0"/>
    <x v="2"/>
    <x v="1"/>
    <x v="1"/>
    <x v="1"/>
    <x v="1"/>
    <x v="3"/>
    <n v="5"/>
    <n v="6"/>
    <n v="0"/>
    <n v="5"/>
    <x v="0"/>
    <n v="0.35780089313823304"/>
  </r>
  <r>
    <x v="12"/>
    <x v="1"/>
    <x v="0"/>
    <x v="0"/>
    <x v="3"/>
    <x v="1"/>
    <x v="0"/>
    <x v="1"/>
    <x v="1"/>
    <x v="9"/>
    <n v="5"/>
    <n v="5"/>
    <n v="0"/>
    <m/>
    <x v="1"/>
    <n v="0.76832618832703981"/>
  </r>
  <r>
    <x v="21"/>
    <x v="0"/>
    <x v="1"/>
    <x v="0"/>
    <x v="2"/>
    <x v="0"/>
    <x v="0"/>
    <x v="1"/>
    <x v="1"/>
    <x v="7"/>
    <n v="4"/>
    <n v="7"/>
    <n v="0"/>
    <m/>
    <x v="1"/>
    <n v="0.21232491587902388"/>
  </r>
  <r>
    <x v="17"/>
    <x v="0"/>
    <x v="0"/>
    <x v="2"/>
    <x v="0"/>
    <x v="0"/>
    <x v="0"/>
    <x v="0"/>
    <x v="2"/>
    <x v="8"/>
    <n v="6"/>
    <n v="7"/>
    <n v="0"/>
    <n v="6"/>
    <x v="0"/>
    <n v="0.84820159342540202"/>
  </r>
  <r>
    <x v="17"/>
    <x v="1"/>
    <x v="1"/>
    <x v="0"/>
    <x v="1"/>
    <x v="0"/>
    <x v="0"/>
    <x v="1"/>
    <x v="0"/>
    <x v="1"/>
    <n v="9"/>
    <n v="12"/>
    <n v="1"/>
    <n v="8"/>
    <x v="0"/>
    <n v="0.81366897418155526"/>
  </r>
  <r>
    <x v="1"/>
    <x v="1"/>
    <x v="1"/>
    <x v="0"/>
    <x v="2"/>
    <x v="0"/>
    <x v="1"/>
    <x v="1"/>
    <x v="1"/>
    <x v="7"/>
    <n v="4"/>
    <n v="4"/>
    <n v="0"/>
    <n v="4"/>
    <x v="0"/>
    <n v="8.7545973230364435E-2"/>
  </r>
  <r>
    <x v="17"/>
    <x v="1"/>
    <x v="1"/>
    <x v="0"/>
    <x v="0"/>
    <x v="0"/>
    <x v="0"/>
    <x v="0"/>
    <x v="1"/>
    <x v="4"/>
    <n v="10"/>
    <n v="12"/>
    <n v="1"/>
    <n v="10"/>
    <x v="0"/>
    <n v="0.37468066217076068"/>
  </r>
  <r>
    <x v="6"/>
    <x v="1"/>
    <x v="0"/>
    <x v="0"/>
    <x v="0"/>
    <x v="0"/>
    <x v="1"/>
    <x v="1"/>
    <x v="1"/>
    <x v="7"/>
    <n v="9"/>
    <n v="10"/>
    <n v="0"/>
    <m/>
    <x v="1"/>
    <n v="0.21484564003802026"/>
  </r>
  <r>
    <x v="10"/>
    <x v="1"/>
    <x v="0"/>
    <x v="2"/>
    <x v="0"/>
    <x v="0"/>
    <x v="0"/>
    <x v="0"/>
    <x v="2"/>
    <x v="9"/>
    <n v="4"/>
    <n v="7"/>
    <n v="0"/>
    <m/>
    <x v="1"/>
    <n v="1.2075197601155763"/>
  </r>
  <r>
    <x v="12"/>
    <x v="1"/>
    <x v="0"/>
    <x v="0"/>
    <x v="1"/>
    <x v="1"/>
    <x v="0"/>
    <x v="1"/>
    <x v="0"/>
    <x v="9"/>
    <n v="9"/>
    <n v="12"/>
    <n v="1"/>
    <m/>
    <x v="1"/>
    <n v="2.0509214765911348"/>
  </r>
  <r>
    <x v="20"/>
    <x v="0"/>
    <x v="1"/>
    <x v="1"/>
    <x v="0"/>
    <x v="0"/>
    <x v="0"/>
    <x v="1"/>
    <x v="1"/>
    <x v="6"/>
    <n v="3"/>
    <n v="3"/>
    <n v="0"/>
    <n v="3"/>
    <x v="0"/>
    <n v="2.8886505489678724E-2"/>
  </r>
  <r>
    <x v="1"/>
    <x v="1"/>
    <x v="0"/>
    <x v="0"/>
    <x v="3"/>
    <x v="1"/>
    <x v="0"/>
    <x v="1"/>
    <x v="2"/>
    <x v="9"/>
    <n v="9"/>
    <n v="10"/>
    <n v="0"/>
    <n v="9"/>
    <x v="0"/>
    <n v="3.8271027807477309"/>
  </r>
  <r>
    <x v="21"/>
    <x v="1"/>
    <x v="0"/>
    <x v="0"/>
    <x v="0"/>
    <x v="0"/>
    <x v="1"/>
    <x v="1"/>
    <x v="1"/>
    <x v="7"/>
    <n v="5"/>
    <n v="7"/>
    <n v="0"/>
    <m/>
    <x v="1"/>
    <n v="0.15039194802661421"/>
  </r>
  <r>
    <x v="10"/>
    <x v="0"/>
    <x v="1"/>
    <x v="0"/>
    <x v="1"/>
    <x v="0"/>
    <x v="0"/>
    <x v="1"/>
    <x v="1"/>
    <x v="4"/>
    <n v="16"/>
    <n v="21"/>
    <n v="0"/>
    <m/>
    <x v="1"/>
    <n v="0.64407421798920506"/>
  </r>
  <r>
    <x v="6"/>
    <x v="0"/>
    <x v="0"/>
    <x v="2"/>
    <x v="0"/>
    <x v="0"/>
    <x v="0"/>
    <x v="0"/>
    <x v="1"/>
    <x v="4"/>
    <n v="6"/>
    <n v="7"/>
    <n v="0"/>
    <m/>
    <x v="1"/>
    <n v="0.27167899656309996"/>
  </r>
  <r>
    <x v="19"/>
    <x v="0"/>
    <x v="0"/>
    <x v="2"/>
    <x v="2"/>
    <x v="0"/>
    <x v="0"/>
    <x v="1"/>
    <x v="2"/>
    <x v="9"/>
    <n v="2"/>
    <n v="3"/>
    <n v="0"/>
    <m/>
    <x v="1"/>
    <n v="0.50483792608287215"/>
  </r>
  <r>
    <x v="19"/>
    <x v="1"/>
    <x v="0"/>
    <x v="0"/>
    <x v="0"/>
    <x v="0"/>
    <x v="0"/>
    <x v="1"/>
    <x v="1"/>
    <x v="0"/>
    <n v="23"/>
    <n v="28"/>
    <n v="0"/>
    <m/>
    <x v="1"/>
    <n v="1.2417720967030819"/>
  </r>
  <r>
    <x v="15"/>
    <x v="0"/>
    <x v="1"/>
    <x v="2"/>
    <x v="1"/>
    <x v="1"/>
    <x v="0"/>
    <x v="1"/>
    <x v="0"/>
    <x v="8"/>
    <n v="3"/>
    <n v="3"/>
    <n v="0"/>
    <n v="3"/>
    <x v="0"/>
    <n v="0.33230644612304222"/>
  </r>
  <r>
    <x v="14"/>
    <x v="0"/>
    <x v="0"/>
    <x v="0"/>
    <x v="2"/>
    <x v="0"/>
    <x v="0"/>
    <x v="1"/>
    <x v="2"/>
    <x v="9"/>
    <n v="12"/>
    <n v="25"/>
    <n v="0"/>
    <m/>
    <x v="1"/>
    <n v="3.3324624306425696"/>
  </r>
  <r>
    <x v="20"/>
    <x v="0"/>
    <x v="1"/>
    <x v="2"/>
    <x v="3"/>
    <x v="1"/>
    <x v="1"/>
    <x v="1"/>
    <x v="0"/>
    <x v="1"/>
    <n v="1"/>
    <n v="1"/>
    <n v="1"/>
    <n v="1"/>
    <x v="0"/>
    <n v="7.3153415909843644E-2"/>
  </r>
  <r>
    <x v="14"/>
    <x v="0"/>
    <x v="0"/>
    <x v="0"/>
    <x v="0"/>
    <x v="0"/>
    <x v="1"/>
    <x v="1"/>
    <x v="1"/>
    <x v="6"/>
    <n v="14"/>
    <n v="15"/>
    <n v="0"/>
    <m/>
    <x v="1"/>
    <n v="0.21471182369961767"/>
  </r>
  <r>
    <x v="3"/>
    <x v="1"/>
    <x v="0"/>
    <x v="0"/>
    <x v="1"/>
    <x v="0"/>
    <x v="0"/>
    <x v="1"/>
    <x v="2"/>
    <x v="9"/>
    <n v="17"/>
    <n v="39"/>
    <n v="0"/>
    <m/>
    <x v="1"/>
    <n v="7.4263903953355488"/>
  </r>
  <r>
    <x v="1"/>
    <x v="1"/>
    <x v="0"/>
    <x v="0"/>
    <x v="2"/>
    <x v="0"/>
    <x v="0"/>
    <x v="1"/>
    <x v="0"/>
    <x v="8"/>
    <n v="9"/>
    <n v="9"/>
    <n v="0"/>
    <n v="9"/>
    <x v="0"/>
    <n v="0.8444542716481056"/>
  </r>
  <r>
    <x v="5"/>
    <x v="1"/>
    <x v="0"/>
    <x v="0"/>
    <x v="0"/>
    <x v="0"/>
    <x v="0"/>
    <x v="0"/>
    <x v="1"/>
    <x v="0"/>
    <n v="57"/>
    <n v="64"/>
    <n v="11"/>
    <n v="57"/>
    <x v="0"/>
    <n v="2.8383362210356151"/>
  </r>
  <r>
    <x v="21"/>
    <x v="1"/>
    <x v="0"/>
    <x v="0"/>
    <x v="1"/>
    <x v="0"/>
    <x v="0"/>
    <x v="1"/>
    <x v="1"/>
    <x v="3"/>
    <n v="45"/>
    <n v="69"/>
    <n v="0"/>
    <m/>
    <x v="1"/>
    <n v="4.4465709883192179"/>
  </r>
  <r>
    <x v="9"/>
    <x v="1"/>
    <x v="0"/>
    <x v="0"/>
    <x v="0"/>
    <x v="0"/>
    <x v="0"/>
    <x v="0"/>
    <x v="1"/>
    <x v="0"/>
    <n v="43"/>
    <n v="52"/>
    <n v="2"/>
    <n v="42"/>
    <x v="0"/>
    <n v="2.3061481795914376"/>
  </r>
  <r>
    <x v="1"/>
    <x v="1"/>
    <x v="0"/>
    <x v="2"/>
    <x v="1"/>
    <x v="0"/>
    <x v="0"/>
    <x v="1"/>
    <x v="1"/>
    <x v="1"/>
    <n v="51"/>
    <n v="60"/>
    <n v="3"/>
    <n v="50"/>
    <x v="0"/>
    <n v="4.9852039507887058"/>
  </r>
  <r>
    <x v="12"/>
    <x v="1"/>
    <x v="0"/>
    <x v="2"/>
    <x v="1"/>
    <x v="0"/>
    <x v="0"/>
    <x v="1"/>
    <x v="0"/>
    <x v="8"/>
    <n v="13"/>
    <n v="16"/>
    <n v="0"/>
    <m/>
    <x v="1"/>
    <n v="1.9375258169711731"/>
  </r>
  <r>
    <x v="17"/>
    <x v="1"/>
    <x v="0"/>
    <x v="2"/>
    <x v="0"/>
    <x v="0"/>
    <x v="1"/>
    <x v="0"/>
    <x v="1"/>
    <x v="7"/>
    <n v="3"/>
    <n v="3"/>
    <n v="0"/>
    <n v="3"/>
    <x v="0"/>
    <n v="8.4219225168211037E-2"/>
  </r>
  <r>
    <x v="15"/>
    <x v="0"/>
    <x v="1"/>
    <x v="0"/>
    <x v="1"/>
    <x v="0"/>
    <x v="0"/>
    <x v="1"/>
    <x v="2"/>
    <x v="8"/>
    <n v="10"/>
    <n v="15"/>
    <n v="5"/>
    <n v="10"/>
    <x v="0"/>
    <n v="1.4626072214154693"/>
  </r>
  <r>
    <x v="17"/>
    <x v="1"/>
    <x v="0"/>
    <x v="0"/>
    <x v="2"/>
    <x v="0"/>
    <x v="0"/>
    <x v="1"/>
    <x v="2"/>
    <x v="9"/>
    <n v="6"/>
    <n v="10"/>
    <n v="3"/>
    <n v="6"/>
    <x v="0"/>
    <n v="1.8866403843496364"/>
  </r>
  <r>
    <x v="19"/>
    <x v="0"/>
    <x v="0"/>
    <x v="2"/>
    <x v="1"/>
    <x v="0"/>
    <x v="0"/>
    <x v="1"/>
    <x v="1"/>
    <x v="0"/>
    <n v="18"/>
    <n v="26"/>
    <n v="0"/>
    <m/>
    <x v="1"/>
    <n v="1.4701626816953444"/>
  </r>
  <r>
    <x v="4"/>
    <x v="0"/>
    <x v="1"/>
    <x v="0"/>
    <x v="2"/>
    <x v="1"/>
    <x v="1"/>
    <x v="0"/>
    <x v="0"/>
    <x v="2"/>
    <n v="1"/>
    <n v="1"/>
    <n v="0"/>
    <m/>
    <x v="1"/>
    <n v="4.2412414648078343E-2"/>
  </r>
  <r>
    <x v="5"/>
    <x v="0"/>
    <x v="0"/>
    <x v="2"/>
    <x v="0"/>
    <x v="0"/>
    <x v="1"/>
    <x v="1"/>
    <x v="1"/>
    <x v="5"/>
    <n v="3"/>
    <n v="3"/>
    <n v="0"/>
    <n v="3"/>
    <x v="0"/>
    <n v="5.6237555796523855E-2"/>
  </r>
  <r>
    <x v="21"/>
    <x v="0"/>
    <x v="0"/>
    <x v="0"/>
    <x v="3"/>
    <x v="0"/>
    <x v="1"/>
    <x v="1"/>
    <x v="0"/>
    <x v="2"/>
    <n v="2"/>
    <n v="2"/>
    <n v="0"/>
    <m/>
    <x v="1"/>
    <n v="8.4091898540536794E-2"/>
  </r>
  <r>
    <x v="20"/>
    <x v="1"/>
    <x v="0"/>
    <x v="0"/>
    <x v="2"/>
    <x v="0"/>
    <x v="0"/>
    <x v="0"/>
    <x v="1"/>
    <x v="3"/>
    <n v="4"/>
    <n v="4"/>
    <n v="0"/>
    <n v="4"/>
    <x v="0"/>
    <n v="0.25502881531745741"/>
  </r>
  <r>
    <x v="16"/>
    <x v="0"/>
    <x v="0"/>
    <x v="1"/>
    <x v="0"/>
    <x v="0"/>
    <x v="1"/>
    <x v="1"/>
    <x v="1"/>
    <x v="6"/>
    <n v="6"/>
    <n v="6"/>
    <n v="1"/>
    <m/>
    <x v="1"/>
    <n v="3.9478667670396185E-2"/>
  </r>
  <r>
    <x v="2"/>
    <x v="1"/>
    <x v="0"/>
    <x v="0"/>
    <x v="1"/>
    <x v="0"/>
    <x v="0"/>
    <x v="1"/>
    <x v="0"/>
    <x v="8"/>
    <n v="24"/>
    <n v="35"/>
    <n v="2"/>
    <m/>
    <x v="1"/>
    <n v="3.3181691498210948"/>
  </r>
  <r>
    <x v="22"/>
    <x v="1"/>
    <x v="1"/>
    <x v="1"/>
    <x v="2"/>
    <x v="1"/>
    <x v="1"/>
    <x v="0"/>
    <x v="1"/>
    <x v="5"/>
    <n v="1"/>
    <n v="1"/>
    <n v="0"/>
    <n v="1"/>
    <x v="0"/>
    <n v="1.9691539744554062E-2"/>
  </r>
  <r>
    <x v="14"/>
    <x v="0"/>
    <x v="0"/>
    <x v="0"/>
    <x v="2"/>
    <x v="0"/>
    <x v="0"/>
    <x v="0"/>
    <x v="2"/>
    <x v="9"/>
    <n v="3"/>
    <n v="6"/>
    <n v="0"/>
    <m/>
    <x v="1"/>
    <n v="0.79979098335421683"/>
  </r>
  <r>
    <x v="7"/>
    <x v="0"/>
    <x v="1"/>
    <x v="1"/>
    <x v="0"/>
    <x v="0"/>
    <x v="0"/>
    <x v="0"/>
    <x v="1"/>
    <x v="6"/>
    <n v="5"/>
    <n v="5"/>
    <n v="0"/>
    <m/>
    <x v="1"/>
    <n v="4.8144175816131209E-2"/>
  </r>
  <r>
    <x v="1"/>
    <x v="1"/>
    <x v="0"/>
    <x v="0"/>
    <x v="3"/>
    <x v="0"/>
    <x v="0"/>
    <x v="1"/>
    <x v="1"/>
    <x v="8"/>
    <n v="3"/>
    <n v="3"/>
    <n v="0"/>
    <n v="3"/>
    <x v="0"/>
    <n v="0.25337026513770589"/>
  </r>
  <r>
    <x v="11"/>
    <x v="1"/>
    <x v="0"/>
    <x v="2"/>
    <x v="0"/>
    <x v="0"/>
    <x v="0"/>
    <x v="0"/>
    <x v="1"/>
    <x v="0"/>
    <n v="8"/>
    <n v="9"/>
    <n v="0"/>
    <m/>
    <x v="1"/>
    <n v="0.51783204875206257"/>
  </r>
  <r>
    <x v="8"/>
    <x v="1"/>
    <x v="0"/>
    <x v="0"/>
    <x v="1"/>
    <x v="0"/>
    <x v="0"/>
    <x v="1"/>
    <x v="1"/>
    <x v="3"/>
    <n v="41"/>
    <n v="68"/>
    <n v="2"/>
    <m/>
    <x v="1"/>
    <n v="4.3821279305174903"/>
  </r>
  <r>
    <x v="20"/>
    <x v="0"/>
    <x v="1"/>
    <x v="2"/>
    <x v="2"/>
    <x v="0"/>
    <x v="0"/>
    <x v="1"/>
    <x v="0"/>
    <x v="3"/>
    <n v="1"/>
    <n v="1"/>
    <n v="0"/>
    <n v="1"/>
    <x v="0"/>
    <n v="5.8884716464189815E-2"/>
  </r>
  <r>
    <x v="9"/>
    <x v="0"/>
    <x v="1"/>
    <x v="0"/>
    <x v="2"/>
    <x v="0"/>
    <x v="0"/>
    <x v="0"/>
    <x v="0"/>
    <x v="0"/>
    <n v="1"/>
    <n v="1"/>
    <n v="1"/>
    <n v="1"/>
    <x v="0"/>
    <n v="4.540277721734616E-2"/>
  </r>
  <r>
    <x v="5"/>
    <x v="1"/>
    <x v="0"/>
    <x v="0"/>
    <x v="1"/>
    <x v="0"/>
    <x v="0"/>
    <x v="1"/>
    <x v="2"/>
    <x v="9"/>
    <n v="18"/>
    <n v="21"/>
    <n v="7"/>
    <n v="17"/>
    <x v="0"/>
    <n v="3.9988255974883731"/>
  </r>
  <r>
    <x v="8"/>
    <x v="0"/>
    <x v="1"/>
    <x v="0"/>
    <x v="0"/>
    <x v="0"/>
    <x v="0"/>
    <x v="0"/>
    <x v="1"/>
    <x v="5"/>
    <n v="10"/>
    <n v="11"/>
    <n v="0"/>
    <m/>
    <x v="1"/>
    <n v="0.22959153158244705"/>
  </r>
  <r>
    <x v="14"/>
    <x v="0"/>
    <x v="0"/>
    <x v="1"/>
    <x v="0"/>
    <x v="0"/>
    <x v="0"/>
    <x v="0"/>
    <x v="0"/>
    <x v="5"/>
    <n v="1"/>
    <n v="1"/>
    <n v="0"/>
    <m/>
    <x v="1"/>
    <n v="2.0841983429204125E-2"/>
  </r>
  <r>
    <x v="12"/>
    <x v="0"/>
    <x v="0"/>
    <x v="0"/>
    <x v="2"/>
    <x v="0"/>
    <x v="0"/>
    <x v="0"/>
    <x v="0"/>
    <x v="3"/>
    <n v="3"/>
    <n v="4"/>
    <n v="0"/>
    <m/>
    <x v="1"/>
    <n v="0.25637891081725062"/>
  </r>
  <r>
    <x v="7"/>
    <x v="0"/>
    <x v="0"/>
    <x v="2"/>
    <x v="0"/>
    <x v="0"/>
    <x v="0"/>
    <x v="1"/>
    <x v="1"/>
    <x v="4"/>
    <n v="6"/>
    <n v="7"/>
    <n v="0"/>
    <m/>
    <x v="1"/>
    <n v="0.27167899656309996"/>
  </r>
  <r>
    <x v="10"/>
    <x v="0"/>
    <x v="0"/>
    <x v="0"/>
    <x v="1"/>
    <x v="0"/>
    <x v="0"/>
    <x v="1"/>
    <x v="2"/>
    <x v="9"/>
    <n v="27"/>
    <n v="47"/>
    <n v="0"/>
    <m/>
    <x v="1"/>
    <n v="6.3273683503702838"/>
  </r>
  <r>
    <x v="14"/>
    <x v="1"/>
    <x v="1"/>
    <x v="0"/>
    <x v="1"/>
    <x v="0"/>
    <x v="0"/>
    <x v="1"/>
    <x v="2"/>
    <x v="9"/>
    <n v="4"/>
    <n v="4"/>
    <n v="0"/>
    <m/>
    <x v="1"/>
    <n v="0.56166078288018884"/>
  </r>
  <r>
    <x v="10"/>
    <x v="1"/>
    <x v="1"/>
    <x v="0"/>
    <x v="1"/>
    <x v="1"/>
    <x v="0"/>
    <x v="1"/>
    <x v="0"/>
    <x v="9"/>
    <n v="2"/>
    <n v="5"/>
    <n v="0"/>
    <m/>
    <x v="1"/>
    <n v="0.62617965621698679"/>
  </r>
  <r>
    <x v="17"/>
    <x v="1"/>
    <x v="1"/>
    <x v="0"/>
    <x v="0"/>
    <x v="0"/>
    <x v="0"/>
    <x v="1"/>
    <x v="2"/>
    <x v="8"/>
    <n v="1"/>
    <n v="3"/>
    <n v="0"/>
    <n v="1"/>
    <x v="0"/>
    <n v="0.29742765276933614"/>
  </r>
  <r>
    <x v="10"/>
    <x v="0"/>
    <x v="1"/>
    <x v="1"/>
    <x v="2"/>
    <x v="0"/>
    <x v="0"/>
    <x v="1"/>
    <x v="2"/>
    <x v="0"/>
    <n v="1"/>
    <n v="1"/>
    <n v="0"/>
    <m/>
    <x v="1"/>
    <n v="4.6453811307868083E-2"/>
  </r>
  <r>
    <x v="14"/>
    <x v="0"/>
    <x v="1"/>
    <x v="0"/>
    <x v="1"/>
    <x v="0"/>
    <x v="0"/>
    <x v="1"/>
    <x v="0"/>
    <x v="0"/>
    <n v="9"/>
    <n v="12"/>
    <n v="0"/>
    <m/>
    <x v="1"/>
    <n v="0.55081041029068356"/>
  </r>
  <r>
    <x v="9"/>
    <x v="1"/>
    <x v="0"/>
    <x v="0"/>
    <x v="2"/>
    <x v="0"/>
    <x v="0"/>
    <x v="0"/>
    <x v="0"/>
    <x v="8"/>
    <n v="5"/>
    <n v="5"/>
    <n v="0"/>
    <n v="4"/>
    <x v="0"/>
    <n v="0.46914126202672529"/>
  </r>
  <r>
    <x v="7"/>
    <x v="0"/>
    <x v="0"/>
    <x v="0"/>
    <x v="1"/>
    <x v="0"/>
    <x v="0"/>
    <x v="1"/>
    <x v="2"/>
    <x v="9"/>
    <n v="21"/>
    <n v="41"/>
    <n v="1"/>
    <m/>
    <x v="1"/>
    <n v="5.519619199259183"/>
  </r>
  <r>
    <x v="9"/>
    <x v="1"/>
    <x v="0"/>
    <x v="0"/>
    <x v="2"/>
    <x v="0"/>
    <x v="0"/>
    <x v="1"/>
    <x v="1"/>
    <x v="3"/>
    <n v="10"/>
    <n v="12"/>
    <n v="0"/>
    <n v="10"/>
    <x v="0"/>
    <n v="0.76508644595237218"/>
  </r>
  <r>
    <x v="8"/>
    <x v="0"/>
    <x v="0"/>
    <x v="0"/>
    <x v="0"/>
    <x v="0"/>
    <x v="0"/>
    <x v="0"/>
    <x v="2"/>
    <x v="8"/>
    <n v="8"/>
    <n v="10"/>
    <n v="0"/>
    <m/>
    <x v="1"/>
    <n v="0.94866349728676458"/>
  </r>
  <r>
    <x v="3"/>
    <x v="1"/>
    <x v="0"/>
    <x v="0"/>
    <x v="3"/>
    <x v="0"/>
    <x v="0"/>
    <x v="1"/>
    <x v="2"/>
    <x v="9"/>
    <n v="2"/>
    <n v="4"/>
    <n v="0"/>
    <m/>
    <x v="1"/>
    <n v="0.95816249291672906"/>
  </r>
  <r>
    <x v="22"/>
    <x v="0"/>
    <x v="0"/>
    <x v="0"/>
    <x v="0"/>
    <x v="0"/>
    <x v="1"/>
    <x v="0"/>
    <x v="1"/>
    <x v="6"/>
    <n v="2"/>
    <n v="2"/>
    <n v="0"/>
    <n v="2"/>
    <x v="0"/>
    <n v="2.8628243159949024E-2"/>
  </r>
  <r>
    <x v="20"/>
    <x v="0"/>
    <x v="0"/>
    <x v="0"/>
    <x v="0"/>
    <x v="0"/>
    <x v="0"/>
    <x v="1"/>
    <x v="1"/>
    <x v="7"/>
    <n v="25"/>
    <n v="30"/>
    <n v="1"/>
    <n v="24"/>
    <x v="0"/>
    <n v="0.89339477318381899"/>
  </r>
  <r>
    <x v="8"/>
    <x v="0"/>
    <x v="1"/>
    <x v="2"/>
    <x v="0"/>
    <x v="0"/>
    <x v="0"/>
    <x v="0"/>
    <x v="1"/>
    <x v="7"/>
    <n v="4"/>
    <n v="6"/>
    <n v="0"/>
    <m/>
    <x v="1"/>
    <n v="0.16366705200203513"/>
  </r>
  <r>
    <x v="5"/>
    <x v="1"/>
    <x v="0"/>
    <x v="0"/>
    <x v="2"/>
    <x v="0"/>
    <x v="0"/>
    <x v="1"/>
    <x v="2"/>
    <x v="9"/>
    <n v="7"/>
    <n v="16"/>
    <n v="1"/>
    <n v="7"/>
    <x v="0"/>
    <n v="3.0186246149594185"/>
  </r>
  <r>
    <x v="8"/>
    <x v="1"/>
    <x v="1"/>
    <x v="0"/>
    <x v="0"/>
    <x v="0"/>
    <x v="0"/>
    <x v="0"/>
    <x v="1"/>
    <x v="4"/>
    <n v="9"/>
    <n v="9"/>
    <n v="0"/>
    <m/>
    <x v="1"/>
    <n v="0.28101049662807048"/>
  </r>
  <r>
    <x v="17"/>
    <x v="1"/>
    <x v="0"/>
    <x v="0"/>
    <x v="2"/>
    <x v="0"/>
    <x v="1"/>
    <x v="1"/>
    <x v="1"/>
    <x v="4"/>
    <n v="5"/>
    <n v="5"/>
    <n v="1"/>
    <n v="5"/>
    <x v="0"/>
    <n v="0.15606774281173291"/>
  </r>
  <r>
    <x v="3"/>
    <x v="0"/>
    <x v="1"/>
    <x v="2"/>
    <x v="3"/>
    <x v="1"/>
    <x v="1"/>
    <x v="1"/>
    <x v="2"/>
    <x v="9"/>
    <n v="1"/>
    <n v="2"/>
    <n v="0"/>
    <m/>
    <x v="1"/>
    <n v="0.30112892249736711"/>
  </r>
  <r>
    <x v="20"/>
    <x v="0"/>
    <x v="1"/>
    <x v="2"/>
    <x v="1"/>
    <x v="0"/>
    <x v="0"/>
    <x v="1"/>
    <x v="1"/>
    <x v="4"/>
    <n v="10"/>
    <n v="12"/>
    <n v="0"/>
    <n v="10"/>
    <x v="0"/>
    <n v="0.4795267994781886"/>
  </r>
  <r>
    <x v="16"/>
    <x v="0"/>
    <x v="0"/>
    <x v="0"/>
    <x v="1"/>
    <x v="1"/>
    <x v="0"/>
    <x v="1"/>
    <x v="1"/>
    <x v="1"/>
    <n v="32"/>
    <n v="46"/>
    <n v="1"/>
    <m/>
    <x v="1"/>
    <n v="3.7854163313065579"/>
  </r>
  <r>
    <x v="9"/>
    <x v="0"/>
    <x v="1"/>
    <x v="2"/>
    <x v="1"/>
    <x v="0"/>
    <x v="0"/>
    <x v="1"/>
    <x v="1"/>
    <x v="4"/>
    <n v="5"/>
    <n v="6"/>
    <n v="1"/>
    <n v="5"/>
    <x v="0"/>
    <n v="0.2397633997390943"/>
  </r>
  <r>
    <x v="4"/>
    <x v="1"/>
    <x v="0"/>
    <x v="0"/>
    <x v="0"/>
    <x v="0"/>
    <x v="1"/>
    <x v="0"/>
    <x v="0"/>
    <x v="4"/>
    <n v="3"/>
    <n v="3"/>
    <n v="0"/>
    <m/>
    <x v="1"/>
    <n v="9.6917149150967677E-2"/>
  </r>
  <r>
    <x v="3"/>
    <x v="1"/>
    <x v="1"/>
    <x v="0"/>
    <x v="1"/>
    <x v="0"/>
    <x v="0"/>
    <x v="1"/>
    <x v="2"/>
    <x v="9"/>
    <n v="5"/>
    <n v="7"/>
    <n v="0"/>
    <m/>
    <x v="1"/>
    <n v="0.98290637004033055"/>
  </r>
  <r>
    <x v="10"/>
    <x v="0"/>
    <x v="0"/>
    <x v="0"/>
    <x v="0"/>
    <x v="0"/>
    <x v="0"/>
    <x v="1"/>
    <x v="1"/>
    <x v="7"/>
    <n v="27"/>
    <n v="33"/>
    <n v="0"/>
    <m/>
    <x v="1"/>
    <n v="0.98273425050220087"/>
  </r>
  <r>
    <x v="6"/>
    <x v="0"/>
    <x v="0"/>
    <x v="0"/>
    <x v="1"/>
    <x v="0"/>
    <x v="1"/>
    <x v="1"/>
    <x v="1"/>
    <x v="5"/>
    <n v="1"/>
    <n v="1"/>
    <n v="0"/>
    <m/>
    <x v="1"/>
    <n v="2.1100161961676144E-2"/>
  </r>
  <r>
    <x v="20"/>
    <x v="0"/>
    <x v="0"/>
    <x v="0"/>
    <x v="1"/>
    <x v="0"/>
    <x v="0"/>
    <x v="1"/>
    <x v="0"/>
    <x v="1"/>
    <n v="29"/>
    <n v="35"/>
    <n v="1"/>
    <n v="27"/>
    <x v="0"/>
    <n v="2.2674386446785326"/>
  </r>
  <r>
    <x v="0"/>
    <x v="1"/>
    <x v="1"/>
    <x v="0"/>
    <x v="1"/>
    <x v="1"/>
    <x v="0"/>
    <x v="1"/>
    <x v="2"/>
    <x v="9"/>
    <n v="3"/>
    <n v="3"/>
    <n v="0"/>
    <n v="3"/>
    <x v="0"/>
    <n v="0.72988083396058068"/>
  </r>
  <r>
    <x v="20"/>
    <x v="1"/>
    <x v="0"/>
    <x v="0"/>
    <x v="0"/>
    <x v="0"/>
    <x v="1"/>
    <x v="1"/>
    <x v="0"/>
    <x v="4"/>
    <n v="4"/>
    <n v="4"/>
    <n v="0"/>
    <n v="4"/>
    <x v="0"/>
    <n v="0.12922286553462359"/>
  </r>
  <r>
    <x v="19"/>
    <x v="0"/>
    <x v="0"/>
    <x v="0"/>
    <x v="3"/>
    <x v="0"/>
    <x v="0"/>
    <x v="1"/>
    <x v="2"/>
    <x v="9"/>
    <n v="4"/>
    <n v="4"/>
    <n v="0"/>
    <m/>
    <x v="1"/>
    <n v="0.68967054410770523"/>
  </r>
  <r>
    <x v="5"/>
    <x v="0"/>
    <x v="1"/>
    <x v="1"/>
    <x v="2"/>
    <x v="1"/>
    <x v="0"/>
    <x v="1"/>
    <x v="1"/>
    <x v="7"/>
    <n v="1"/>
    <n v="1"/>
    <n v="0"/>
    <n v="1"/>
    <x v="0"/>
    <n v="2.7313833211787753E-2"/>
  </r>
  <r>
    <x v="20"/>
    <x v="1"/>
    <x v="1"/>
    <x v="0"/>
    <x v="3"/>
    <x v="0"/>
    <x v="0"/>
    <x v="1"/>
    <x v="1"/>
    <x v="3"/>
    <n v="1"/>
    <n v="1"/>
    <n v="1"/>
    <n v="1"/>
    <x v="0"/>
    <n v="6.0208639779017012E-2"/>
  </r>
  <r>
    <x v="21"/>
    <x v="1"/>
    <x v="1"/>
    <x v="0"/>
    <x v="0"/>
    <x v="0"/>
    <x v="1"/>
    <x v="0"/>
    <x v="1"/>
    <x v="5"/>
    <n v="2"/>
    <n v="2"/>
    <n v="0"/>
    <m/>
    <x v="1"/>
    <n v="3.0039194880372936E-2"/>
  </r>
  <r>
    <x v="14"/>
    <x v="0"/>
    <x v="0"/>
    <x v="0"/>
    <x v="3"/>
    <x v="1"/>
    <x v="0"/>
    <x v="0"/>
    <x v="0"/>
    <x v="9"/>
    <n v="2"/>
    <n v="2"/>
    <n v="0"/>
    <m/>
    <x v="1"/>
    <n v="0.30880046345207129"/>
  </r>
  <r>
    <x v="11"/>
    <x v="0"/>
    <x v="0"/>
    <x v="1"/>
    <x v="1"/>
    <x v="1"/>
    <x v="0"/>
    <x v="1"/>
    <x v="2"/>
    <x v="8"/>
    <n v="2"/>
    <n v="4"/>
    <n v="0"/>
    <m/>
    <x v="1"/>
    <n v="0.49016029122804572"/>
  </r>
  <r>
    <x v="12"/>
    <x v="1"/>
    <x v="0"/>
    <x v="2"/>
    <x v="0"/>
    <x v="0"/>
    <x v="1"/>
    <x v="1"/>
    <x v="1"/>
    <x v="7"/>
    <n v="3"/>
    <n v="3"/>
    <n v="0"/>
    <m/>
    <x v="1"/>
    <n v="8.4219225168211037E-2"/>
  </r>
  <r>
    <x v="15"/>
    <x v="1"/>
    <x v="0"/>
    <x v="2"/>
    <x v="0"/>
    <x v="1"/>
    <x v="0"/>
    <x v="0"/>
    <x v="1"/>
    <x v="8"/>
    <n v="5"/>
    <n v="6"/>
    <n v="0"/>
    <n v="5"/>
    <x v="0"/>
    <n v="0.64362242229565148"/>
  </r>
  <r>
    <x v="15"/>
    <x v="1"/>
    <x v="0"/>
    <x v="2"/>
    <x v="1"/>
    <x v="0"/>
    <x v="0"/>
    <x v="1"/>
    <x v="2"/>
    <x v="9"/>
    <n v="5"/>
    <n v="8"/>
    <n v="1"/>
    <n v="5"/>
    <x v="0"/>
    <n v="1.8904336401320354"/>
  </r>
  <r>
    <x v="21"/>
    <x v="0"/>
    <x v="0"/>
    <x v="0"/>
    <x v="2"/>
    <x v="0"/>
    <x v="0"/>
    <x v="0"/>
    <x v="2"/>
    <x v="9"/>
    <n v="2"/>
    <n v="8"/>
    <n v="0"/>
    <m/>
    <x v="1"/>
    <n v="1.0663879778056222"/>
  </r>
  <r>
    <x v="15"/>
    <x v="1"/>
    <x v="0"/>
    <x v="0"/>
    <x v="2"/>
    <x v="0"/>
    <x v="1"/>
    <x v="1"/>
    <x v="0"/>
    <x v="0"/>
    <n v="2"/>
    <n v="2"/>
    <n v="0"/>
    <n v="1"/>
    <x v="0"/>
    <n v="9.3402078399889468E-2"/>
  </r>
  <r>
    <x v="3"/>
    <x v="0"/>
    <x v="1"/>
    <x v="0"/>
    <x v="1"/>
    <x v="0"/>
    <x v="0"/>
    <x v="1"/>
    <x v="1"/>
    <x v="4"/>
    <n v="19"/>
    <n v="24"/>
    <n v="0"/>
    <m/>
    <x v="1"/>
    <n v="0.73608482055909152"/>
  </r>
  <r>
    <x v="17"/>
    <x v="0"/>
    <x v="0"/>
    <x v="0"/>
    <x v="0"/>
    <x v="1"/>
    <x v="0"/>
    <x v="1"/>
    <x v="1"/>
    <x v="0"/>
    <n v="1"/>
    <n v="1"/>
    <n v="0"/>
    <n v="1"/>
    <x v="0"/>
    <n v="5.6971121420815236E-2"/>
  </r>
  <r>
    <x v="20"/>
    <x v="0"/>
    <x v="0"/>
    <x v="0"/>
    <x v="2"/>
    <x v="0"/>
    <x v="0"/>
    <x v="1"/>
    <x v="2"/>
    <x v="9"/>
    <n v="15"/>
    <n v="17"/>
    <n v="1"/>
    <n v="14"/>
    <x v="0"/>
    <n v="2.2660744528369476"/>
  </r>
  <r>
    <x v="22"/>
    <x v="1"/>
    <x v="1"/>
    <x v="1"/>
    <x v="0"/>
    <x v="0"/>
    <x v="0"/>
    <x v="0"/>
    <x v="1"/>
    <x v="6"/>
    <n v="3"/>
    <n v="3"/>
    <n v="0"/>
    <n v="3"/>
    <x v="0"/>
    <n v="4.3460246425157632E-2"/>
  </r>
  <r>
    <x v="5"/>
    <x v="0"/>
    <x v="0"/>
    <x v="2"/>
    <x v="1"/>
    <x v="1"/>
    <x v="0"/>
    <x v="1"/>
    <x v="1"/>
    <x v="8"/>
    <n v="7"/>
    <n v="8"/>
    <n v="0"/>
    <n v="7"/>
    <x v="0"/>
    <n v="0.84413305574437769"/>
  </r>
  <r>
    <x v="21"/>
    <x v="0"/>
    <x v="0"/>
    <x v="1"/>
    <x v="1"/>
    <x v="0"/>
    <x v="0"/>
    <x v="1"/>
    <x v="1"/>
    <x v="5"/>
    <n v="7"/>
    <n v="8"/>
    <n v="0"/>
    <m/>
    <x v="1"/>
    <n v="0.16284841566825123"/>
  </r>
  <r>
    <x v="19"/>
    <x v="0"/>
    <x v="1"/>
    <x v="2"/>
    <x v="1"/>
    <x v="0"/>
    <x v="0"/>
    <x v="1"/>
    <x v="1"/>
    <x v="4"/>
    <n v="8"/>
    <n v="11"/>
    <n v="0"/>
    <m/>
    <x v="1"/>
    <n v="0.43956623285500623"/>
  </r>
  <r>
    <x v="15"/>
    <x v="0"/>
    <x v="1"/>
    <x v="0"/>
    <x v="2"/>
    <x v="1"/>
    <x v="0"/>
    <x v="1"/>
    <x v="2"/>
    <x v="9"/>
    <n v="4"/>
    <n v="5"/>
    <n v="1"/>
    <n v="4"/>
    <x v="0"/>
    <n v="0.86857172000347604"/>
  </r>
  <r>
    <x v="10"/>
    <x v="0"/>
    <x v="0"/>
    <x v="0"/>
    <x v="2"/>
    <x v="0"/>
    <x v="0"/>
    <x v="1"/>
    <x v="2"/>
    <x v="9"/>
    <n v="16"/>
    <n v="20"/>
    <n v="0"/>
    <m/>
    <x v="1"/>
    <n v="2.6659699445140559"/>
  </r>
  <r>
    <x v="19"/>
    <x v="1"/>
    <x v="0"/>
    <x v="0"/>
    <x v="1"/>
    <x v="1"/>
    <x v="0"/>
    <x v="1"/>
    <x v="0"/>
    <x v="9"/>
    <n v="1"/>
    <n v="7"/>
    <n v="0"/>
    <m/>
    <x v="1"/>
    <n v="1.1963708613448287"/>
  </r>
  <r>
    <x v="20"/>
    <x v="1"/>
    <x v="1"/>
    <x v="2"/>
    <x v="0"/>
    <x v="1"/>
    <x v="1"/>
    <x v="1"/>
    <x v="1"/>
    <x v="4"/>
    <n v="1"/>
    <n v="1"/>
    <n v="0"/>
    <n v="1"/>
    <x v="0"/>
    <n v="3.7982968009771363E-2"/>
  </r>
  <r>
    <x v="0"/>
    <x v="0"/>
    <x v="0"/>
    <x v="2"/>
    <x v="1"/>
    <x v="0"/>
    <x v="0"/>
    <x v="1"/>
    <x v="1"/>
    <x v="0"/>
    <n v="19"/>
    <n v="22"/>
    <n v="1"/>
    <n v="18"/>
    <x v="0"/>
    <n v="1.2439838075883685"/>
  </r>
  <r>
    <x v="21"/>
    <x v="0"/>
    <x v="1"/>
    <x v="0"/>
    <x v="0"/>
    <x v="0"/>
    <x v="0"/>
    <x v="0"/>
    <x v="0"/>
    <x v="4"/>
    <n v="7"/>
    <n v="11"/>
    <n v="0"/>
    <m/>
    <x v="1"/>
    <n v="0.34533902836129632"/>
  </r>
  <r>
    <x v="3"/>
    <x v="0"/>
    <x v="0"/>
    <x v="1"/>
    <x v="3"/>
    <x v="1"/>
    <x v="0"/>
    <x v="1"/>
    <x v="1"/>
    <x v="0"/>
    <n v="1"/>
    <n v="1"/>
    <n v="0"/>
    <m/>
    <x v="1"/>
    <n v="5.1927155946786922E-2"/>
  </r>
  <r>
    <x v="7"/>
    <x v="0"/>
    <x v="1"/>
    <x v="0"/>
    <x v="0"/>
    <x v="0"/>
    <x v="0"/>
    <x v="1"/>
    <x v="0"/>
    <x v="4"/>
    <n v="4"/>
    <n v="6"/>
    <n v="0"/>
    <m/>
    <x v="1"/>
    <n v="0.18836674274252529"/>
  </r>
  <r>
    <x v="1"/>
    <x v="1"/>
    <x v="0"/>
    <x v="0"/>
    <x v="0"/>
    <x v="1"/>
    <x v="1"/>
    <x v="1"/>
    <x v="1"/>
    <x v="4"/>
    <n v="1"/>
    <n v="3"/>
    <n v="0"/>
    <n v="1"/>
    <x v="0"/>
    <n v="0.12427510120731648"/>
  </r>
  <r>
    <x v="19"/>
    <x v="0"/>
    <x v="1"/>
    <x v="0"/>
    <x v="3"/>
    <x v="0"/>
    <x v="1"/>
    <x v="1"/>
    <x v="2"/>
    <x v="3"/>
    <n v="2"/>
    <n v="2"/>
    <n v="0"/>
    <m/>
    <x v="1"/>
    <n v="0.12814145198905752"/>
  </r>
  <r>
    <x v="8"/>
    <x v="0"/>
    <x v="0"/>
    <x v="0"/>
    <x v="0"/>
    <x v="0"/>
    <x v="0"/>
    <x v="0"/>
    <x v="0"/>
    <x v="0"/>
    <n v="10"/>
    <n v="14"/>
    <n v="0"/>
    <m/>
    <x v="1"/>
    <n v="0.6242414586110675"/>
  </r>
  <r>
    <x v="22"/>
    <x v="0"/>
    <x v="1"/>
    <x v="0"/>
    <x v="3"/>
    <x v="1"/>
    <x v="0"/>
    <x v="1"/>
    <x v="0"/>
    <x v="8"/>
    <n v="1"/>
    <n v="1"/>
    <n v="0"/>
    <n v="1"/>
    <x v="0"/>
    <n v="0.11253926602183867"/>
  </r>
  <r>
    <x v="20"/>
    <x v="0"/>
    <x v="0"/>
    <x v="0"/>
    <x v="3"/>
    <x v="1"/>
    <x v="0"/>
    <x v="1"/>
    <x v="1"/>
    <x v="8"/>
    <n v="2"/>
    <n v="2"/>
    <n v="0"/>
    <n v="2"/>
    <x v="0"/>
    <n v="0.21442651361065859"/>
  </r>
  <r>
    <x v="20"/>
    <x v="0"/>
    <x v="1"/>
    <x v="1"/>
    <x v="1"/>
    <x v="0"/>
    <x v="0"/>
    <x v="1"/>
    <x v="1"/>
    <x v="6"/>
    <n v="10"/>
    <n v="11"/>
    <n v="0"/>
    <n v="9"/>
    <x v="0"/>
    <n v="0.15648304659734436"/>
  </r>
  <r>
    <x v="15"/>
    <x v="0"/>
    <x v="1"/>
    <x v="0"/>
    <x v="2"/>
    <x v="1"/>
    <x v="0"/>
    <x v="0"/>
    <x v="1"/>
    <x v="0"/>
    <n v="3"/>
    <n v="4"/>
    <n v="0"/>
    <n v="3"/>
    <x v="0"/>
    <n v="0.23199031270691034"/>
  </r>
  <r>
    <x v="16"/>
    <x v="1"/>
    <x v="0"/>
    <x v="0"/>
    <x v="2"/>
    <x v="0"/>
    <x v="0"/>
    <x v="1"/>
    <x v="2"/>
    <x v="9"/>
    <n v="8"/>
    <n v="11"/>
    <n v="1"/>
    <m/>
    <x v="1"/>
    <n v="2.0753044227845998"/>
  </r>
  <r>
    <x v="17"/>
    <x v="0"/>
    <x v="1"/>
    <x v="0"/>
    <x v="0"/>
    <x v="1"/>
    <x v="0"/>
    <x v="1"/>
    <x v="0"/>
    <x v="3"/>
    <n v="1"/>
    <n v="1"/>
    <n v="0"/>
    <n v="1"/>
    <x v="0"/>
    <n v="5.9968911810879433E-2"/>
  </r>
  <r>
    <x v="16"/>
    <x v="1"/>
    <x v="1"/>
    <x v="0"/>
    <x v="0"/>
    <x v="0"/>
    <x v="0"/>
    <x v="1"/>
    <x v="1"/>
    <x v="4"/>
    <n v="9"/>
    <n v="11"/>
    <n v="0"/>
    <m/>
    <x v="1"/>
    <n v="0.34345727365653062"/>
  </r>
  <r>
    <x v="14"/>
    <x v="0"/>
    <x v="1"/>
    <x v="1"/>
    <x v="2"/>
    <x v="1"/>
    <x v="1"/>
    <x v="1"/>
    <x v="1"/>
    <x v="6"/>
    <n v="1"/>
    <n v="2"/>
    <n v="0"/>
    <m/>
    <x v="1"/>
    <n v="2.6222996299441883E-2"/>
  </r>
  <r>
    <x v="6"/>
    <x v="0"/>
    <x v="0"/>
    <x v="1"/>
    <x v="1"/>
    <x v="0"/>
    <x v="0"/>
    <x v="1"/>
    <x v="1"/>
    <x v="5"/>
    <n v="7"/>
    <n v="7"/>
    <n v="0"/>
    <m/>
    <x v="1"/>
    <n v="0.14249236370971982"/>
  </r>
  <r>
    <x v="14"/>
    <x v="0"/>
    <x v="1"/>
    <x v="0"/>
    <x v="1"/>
    <x v="1"/>
    <x v="0"/>
    <x v="1"/>
    <x v="1"/>
    <x v="0"/>
    <n v="8"/>
    <n v="10"/>
    <n v="0"/>
    <m/>
    <x v="1"/>
    <n v="0.58625353913978018"/>
  </r>
  <r>
    <x v="9"/>
    <x v="0"/>
    <x v="0"/>
    <x v="0"/>
    <x v="2"/>
    <x v="1"/>
    <x v="1"/>
    <x v="1"/>
    <x v="1"/>
    <x v="4"/>
    <n v="5"/>
    <n v="6"/>
    <n v="0"/>
    <n v="4"/>
    <x v="0"/>
    <n v="0.2415280480691086"/>
  </r>
  <r>
    <x v="14"/>
    <x v="1"/>
    <x v="0"/>
    <x v="0"/>
    <x v="2"/>
    <x v="0"/>
    <x v="1"/>
    <x v="0"/>
    <x v="0"/>
    <x v="0"/>
    <n v="1"/>
    <n v="1"/>
    <n v="0"/>
    <m/>
    <x v="1"/>
    <n v="4.6701039199944734E-2"/>
  </r>
  <r>
    <x v="5"/>
    <x v="0"/>
    <x v="0"/>
    <x v="1"/>
    <x v="1"/>
    <x v="0"/>
    <x v="0"/>
    <x v="1"/>
    <x v="2"/>
    <x v="1"/>
    <n v="3"/>
    <n v="3"/>
    <n v="0"/>
    <n v="3"/>
    <x v="0"/>
    <n v="0.19875754252291369"/>
  </r>
  <r>
    <x v="4"/>
    <x v="0"/>
    <x v="0"/>
    <x v="0"/>
    <x v="2"/>
    <x v="0"/>
    <x v="0"/>
    <x v="1"/>
    <x v="2"/>
    <x v="9"/>
    <n v="16"/>
    <n v="30"/>
    <n v="0"/>
    <m/>
    <x v="1"/>
    <n v="3.9989549167710838"/>
  </r>
  <r>
    <x v="2"/>
    <x v="0"/>
    <x v="0"/>
    <x v="0"/>
    <x v="2"/>
    <x v="0"/>
    <x v="1"/>
    <x v="1"/>
    <x v="1"/>
    <x v="5"/>
    <n v="4"/>
    <n v="4"/>
    <n v="0"/>
    <m/>
    <x v="1"/>
    <n v="8.3461237697431911E-2"/>
  </r>
  <r>
    <x v="14"/>
    <x v="1"/>
    <x v="0"/>
    <x v="1"/>
    <x v="1"/>
    <x v="0"/>
    <x v="0"/>
    <x v="1"/>
    <x v="1"/>
    <x v="4"/>
    <n v="2"/>
    <n v="3"/>
    <n v="0"/>
    <m/>
    <x v="1"/>
    <n v="9.1378739260983929E-2"/>
  </r>
  <r>
    <x v="6"/>
    <x v="1"/>
    <x v="1"/>
    <x v="0"/>
    <x v="0"/>
    <x v="1"/>
    <x v="1"/>
    <x v="0"/>
    <x v="0"/>
    <x v="2"/>
    <n v="1"/>
    <n v="1"/>
    <n v="0"/>
    <m/>
    <x v="1"/>
    <n v="4.3642654844259644E-2"/>
  </r>
  <r>
    <x v="7"/>
    <x v="0"/>
    <x v="1"/>
    <x v="0"/>
    <x v="2"/>
    <x v="0"/>
    <x v="0"/>
    <x v="0"/>
    <x v="0"/>
    <x v="0"/>
    <n v="2"/>
    <n v="3"/>
    <n v="0"/>
    <m/>
    <x v="1"/>
    <n v="0.13620833165203847"/>
  </r>
  <r>
    <x v="7"/>
    <x v="1"/>
    <x v="1"/>
    <x v="2"/>
    <x v="0"/>
    <x v="0"/>
    <x v="0"/>
    <x v="1"/>
    <x v="1"/>
    <x v="4"/>
    <n v="3"/>
    <n v="3"/>
    <n v="1"/>
    <m/>
    <x v="1"/>
    <n v="0.12202287007959514"/>
  </r>
  <r>
    <x v="16"/>
    <x v="0"/>
    <x v="0"/>
    <x v="0"/>
    <x v="1"/>
    <x v="0"/>
    <x v="0"/>
    <x v="1"/>
    <x v="0"/>
    <x v="1"/>
    <n v="26"/>
    <n v="41"/>
    <n v="2"/>
    <m/>
    <x v="1"/>
    <n v="2.6561424123377098"/>
  </r>
  <r>
    <x v="8"/>
    <x v="0"/>
    <x v="0"/>
    <x v="0"/>
    <x v="2"/>
    <x v="0"/>
    <x v="1"/>
    <x v="1"/>
    <x v="2"/>
    <x v="1"/>
    <n v="2"/>
    <n v="5"/>
    <n v="0"/>
    <m/>
    <x v="1"/>
    <n v="0.33915241967122067"/>
  </r>
  <r>
    <x v="11"/>
    <x v="1"/>
    <x v="1"/>
    <x v="2"/>
    <x v="2"/>
    <x v="0"/>
    <x v="0"/>
    <x v="1"/>
    <x v="2"/>
    <x v="9"/>
    <n v="1"/>
    <n v="2"/>
    <n v="0"/>
    <m/>
    <x v="1"/>
    <n v="0.35044811590602032"/>
  </r>
  <r>
    <x v="20"/>
    <x v="1"/>
    <x v="0"/>
    <x v="0"/>
    <x v="0"/>
    <x v="0"/>
    <x v="1"/>
    <x v="0"/>
    <x v="1"/>
    <x v="7"/>
    <n v="13"/>
    <n v="15"/>
    <n v="1"/>
    <n v="13"/>
    <x v="0"/>
    <n v="0.32226846005703041"/>
  </r>
  <r>
    <x v="0"/>
    <x v="1"/>
    <x v="0"/>
    <x v="2"/>
    <x v="2"/>
    <x v="0"/>
    <x v="1"/>
    <x v="0"/>
    <x v="1"/>
    <x v="4"/>
    <n v="1"/>
    <n v="1"/>
    <n v="0"/>
    <n v="1"/>
    <x v="0"/>
    <n v="4.066159666363986E-2"/>
  </r>
  <r>
    <x v="10"/>
    <x v="1"/>
    <x v="1"/>
    <x v="2"/>
    <x v="1"/>
    <x v="1"/>
    <x v="0"/>
    <x v="1"/>
    <x v="1"/>
    <x v="8"/>
    <n v="2"/>
    <n v="4"/>
    <n v="0"/>
    <m/>
    <x v="1"/>
    <n v="0.44085779762072891"/>
  </r>
  <r>
    <x v="16"/>
    <x v="0"/>
    <x v="1"/>
    <x v="0"/>
    <x v="0"/>
    <x v="0"/>
    <x v="1"/>
    <x v="1"/>
    <x v="1"/>
    <x v="6"/>
    <n v="8"/>
    <n v="8"/>
    <n v="0"/>
    <m/>
    <x v="1"/>
    <n v="7.987849078987122E-2"/>
  </r>
  <r>
    <x v="8"/>
    <x v="1"/>
    <x v="1"/>
    <x v="2"/>
    <x v="2"/>
    <x v="1"/>
    <x v="0"/>
    <x v="0"/>
    <x v="1"/>
    <x v="8"/>
    <n v="1"/>
    <n v="1"/>
    <n v="0"/>
    <m/>
    <x v="1"/>
    <n v="0.10909826649368773"/>
  </r>
  <r>
    <x v="14"/>
    <x v="1"/>
    <x v="0"/>
    <x v="0"/>
    <x v="0"/>
    <x v="0"/>
    <x v="0"/>
    <x v="1"/>
    <x v="1"/>
    <x v="0"/>
    <n v="15"/>
    <n v="21"/>
    <n v="0"/>
    <m/>
    <x v="1"/>
    <n v="0.93132907252731145"/>
  </r>
  <r>
    <x v="15"/>
    <x v="0"/>
    <x v="1"/>
    <x v="1"/>
    <x v="0"/>
    <x v="0"/>
    <x v="1"/>
    <x v="1"/>
    <x v="1"/>
    <x v="6"/>
    <n v="4"/>
    <n v="4"/>
    <n v="0"/>
    <n v="4"/>
    <x v="0"/>
    <n v="1.8315422154747026E-2"/>
  </r>
  <r>
    <x v="17"/>
    <x v="0"/>
    <x v="1"/>
    <x v="1"/>
    <x v="2"/>
    <x v="0"/>
    <x v="1"/>
    <x v="1"/>
    <x v="2"/>
    <x v="7"/>
    <n v="1"/>
    <n v="2"/>
    <n v="0"/>
    <n v="1"/>
    <x v="0"/>
    <n v="4.5059612351109467E-2"/>
  </r>
  <r>
    <x v="17"/>
    <x v="1"/>
    <x v="1"/>
    <x v="2"/>
    <x v="0"/>
    <x v="0"/>
    <x v="1"/>
    <x v="1"/>
    <x v="1"/>
    <x v="5"/>
    <n v="3"/>
    <n v="3"/>
    <n v="0"/>
    <n v="3"/>
    <x v="0"/>
    <n v="5.899616791105624E-2"/>
  </r>
  <r>
    <x v="9"/>
    <x v="1"/>
    <x v="0"/>
    <x v="0"/>
    <x v="2"/>
    <x v="0"/>
    <x v="1"/>
    <x v="1"/>
    <x v="1"/>
    <x v="4"/>
    <n v="2"/>
    <n v="4"/>
    <n v="0"/>
    <n v="2"/>
    <x v="0"/>
    <n v="0.1248541942493863"/>
  </r>
  <r>
    <x v="11"/>
    <x v="0"/>
    <x v="1"/>
    <x v="0"/>
    <x v="1"/>
    <x v="0"/>
    <x v="0"/>
    <x v="1"/>
    <x v="1"/>
    <x v="4"/>
    <n v="18"/>
    <n v="24"/>
    <n v="0"/>
    <m/>
    <x v="1"/>
    <n v="0.73608482055909152"/>
  </r>
  <r>
    <x v="11"/>
    <x v="1"/>
    <x v="0"/>
    <x v="0"/>
    <x v="0"/>
    <x v="0"/>
    <x v="0"/>
    <x v="0"/>
    <x v="0"/>
    <x v="1"/>
    <n v="16"/>
    <n v="18"/>
    <n v="0"/>
    <m/>
    <x v="1"/>
    <n v="1.1863909625688625"/>
  </r>
  <r>
    <x v="21"/>
    <x v="0"/>
    <x v="1"/>
    <x v="0"/>
    <x v="1"/>
    <x v="1"/>
    <x v="0"/>
    <x v="1"/>
    <x v="1"/>
    <x v="0"/>
    <n v="6"/>
    <n v="7"/>
    <n v="0"/>
    <m/>
    <x v="1"/>
    <n v="0.41037747739784614"/>
  </r>
  <r>
    <x v="5"/>
    <x v="0"/>
    <x v="0"/>
    <x v="1"/>
    <x v="0"/>
    <x v="1"/>
    <x v="0"/>
    <x v="1"/>
    <x v="1"/>
    <x v="7"/>
    <n v="2"/>
    <n v="3"/>
    <n v="0"/>
    <n v="2"/>
    <x v="0"/>
    <n v="8.044490172347675E-2"/>
  </r>
  <r>
    <x v="17"/>
    <x v="0"/>
    <x v="1"/>
    <x v="1"/>
    <x v="0"/>
    <x v="0"/>
    <x v="1"/>
    <x v="0"/>
    <x v="1"/>
    <x v="6"/>
    <n v="1"/>
    <n v="1"/>
    <n v="0"/>
    <n v="1"/>
    <x v="0"/>
    <n v="4.5788555386867564E-3"/>
  </r>
  <r>
    <x v="3"/>
    <x v="0"/>
    <x v="0"/>
    <x v="1"/>
    <x v="1"/>
    <x v="1"/>
    <x v="0"/>
    <x v="1"/>
    <x v="1"/>
    <x v="4"/>
    <n v="3"/>
    <n v="4"/>
    <n v="0"/>
    <m/>
    <x v="1"/>
    <n v="0.15716469251542403"/>
  </r>
  <r>
    <x v="10"/>
    <x v="1"/>
    <x v="0"/>
    <x v="1"/>
    <x v="0"/>
    <x v="0"/>
    <x v="1"/>
    <x v="1"/>
    <x v="0"/>
    <x v="5"/>
    <n v="3"/>
    <n v="3"/>
    <n v="0"/>
    <m/>
    <x v="1"/>
    <n v="4.499369767593267E-2"/>
  </r>
  <r>
    <x v="3"/>
    <x v="0"/>
    <x v="0"/>
    <x v="0"/>
    <x v="2"/>
    <x v="1"/>
    <x v="0"/>
    <x v="0"/>
    <x v="2"/>
    <x v="9"/>
    <n v="1"/>
    <n v="5"/>
    <n v="0"/>
    <m/>
    <x v="1"/>
    <n v="1.1618613133484843"/>
  </r>
  <r>
    <x v="14"/>
    <x v="1"/>
    <x v="0"/>
    <x v="0"/>
    <x v="2"/>
    <x v="0"/>
    <x v="1"/>
    <x v="1"/>
    <x v="0"/>
    <x v="0"/>
    <n v="5"/>
    <n v="5"/>
    <n v="0"/>
    <m/>
    <x v="1"/>
    <n v="0.23350519599972364"/>
  </r>
  <r>
    <x v="15"/>
    <x v="1"/>
    <x v="0"/>
    <x v="0"/>
    <x v="0"/>
    <x v="0"/>
    <x v="1"/>
    <x v="0"/>
    <x v="0"/>
    <x v="4"/>
    <n v="3"/>
    <n v="3"/>
    <n v="0"/>
    <n v="3"/>
    <x v="0"/>
    <n v="9.6917149150967677E-2"/>
  </r>
  <r>
    <x v="5"/>
    <x v="0"/>
    <x v="0"/>
    <x v="2"/>
    <x v="0"/>
    <x v="0"/>
    <x v="0"/>
    <x v="1"/>
    <x v="1"/>
    <x v="4"/>
    <n v="4"/>
    <n v="6"/>
    <n v="0"/>
    <n v="4"/>
    <x v="0"/>
    <n v="0.23286771133979997"/>
  </r>
  <r>
    <x v="8"/>
    <x v="0"/>
    <x v="1"/>
    <x v="0"/>
    <x v="2"/>
    <x v="0"/>
    <x v="0"/>
    <x v="1"/>
    <x v="2"/>
    <x v="8"/>
    <n v="2"/>
    <n v="3"/>
    <n v="0"/>
    <m/>
    <x v="1"/>
    <n v="0.28951709683688598"/>
  </r>
  <r>
    <x v="18"/>
    <x v="0"/>
    <x v="0"/>
    <x v="0"/>
    <x v="2"/>
    <x v="0"/>
    <x v="0"/>
    <x v="0"/>
    <x v="2"/>
    <x v="9"/>
    <n v="3"/>
    <n v="3"/>
    <n v="0"/>
    <m/>
    <x v="1"/>
    <n v="0.39989549167710842"/>
  </r>
  <r>
    <x v="4"/>
    <x v="0"/>
    <x v="1"/>
    <x v="0"/>
    <x v="1"/>
    <x v="0"/>
    <x v="0"/>
    <x v="1"/>
    <x v="1"/>
    <x v="4"/>
    <n v="17"/>
    <n v="21"/>
    <n v="0"/>
    <m/>
    <x v="1"/>
    <n v="0.64407421798920506"/>
  </r>
  <r>
    <x v="3"/>
    <x v="1"/>
    <x v="1"/>
    <x v="2"/>
    <x v="2"/>
    <x v="0"/>
    <x v="0"/>
    <x v="1"/>
    <x v="2"/>
    <x v="9"/>
    <n v="1"/>
    <n v="1"/>
    <n v="0"/>
    <m/>
    <x v="1"/>
    <n v="0.17522405795301016"/>
  </r>
  <r>
    <x v="6"/>
    <x v="0"/>
    <x v="1"/>
    <x v="0"/>
    <x v="2"/>
    <x v="0"/>
    <x v="1"/>
    <x v="1"/>
    <x v="1"/>
    <x v="5"/>
    <n v="1"/>
    <n v="1"/>
    <n v="0"/>
    <m/>
    <x v="1"/>
    <n v="1.458390684269004E-2"/>
  </r>
  <r>
    <x v="19"/>
    <x v="1"/>
    <x v="0"/>
    <x v="2"/>
    <x v="1"/>
    <x v="0"/>
    <x v="0"/>
    <x v="1"/>
    <x v="1"/>
    <x v="1"/>
    <n v="26"/>
    <n v="38"/>
    <n v="0"/>
    <m/>
    <x v="1"/>
    <n v="3.1572958354995135"/>
  </r>
  <r>
    <x v="19"/>
    <x v="0"/>
    <x v="1"/>
    <x v="0"/>
    <x v="0"/>
    <x v="0"/>
    <x v="0"/>
    <x v="0"/>
    <x v="0"/>
    <x v="4"/>
    <n v="7"/>
    <n v="9"/>
    <n v="0"/>
    <m/>
    <x v="1"/>
    <n v="0.28255011411378789"/>
  </r>
  <r>
    <x v="4"/>
    <x v="1"/>
    <x v="1"/>
    <x v="2"/>
    <x v="1"/>
    <x v="1"/>
    <x v="0"/>
    <x v="1"/>
    <x v="1"/>
    <x v="8"/>
    <n v="1"/>
    <n v="2"/>
    <n v="0"/>
    <m/>
    <x v="1"/>
    <n v="0.22042889881036445"/>
  </r>
  <r>
    <x v="5"/>
    <x v="0"/>
    <x v="1"/>
    <x v="1"/>
    <x v="0"/>
    <x v="0"/>
    <x v="0"/>
    <x v="1"/>
    <x v="0"/>
    <x v="5"/>
    <n v="1"/>
    <n v="1"/>
    <n v="0"/>
    <n v="1"/>
    <x v="0"/>
    <n v="1.4567498552386326E-2"/>
  </r>
  <r>
    <x v="15"/>
    <x v="0"/>
    <x v="0"/>
    <x v="1"/>
    <x v="2"/>
    <x v="0"/>
    <x v="1"/>
    <x v="1"/>
    <x v="1"/>
    <x v="6"/>
    <n v="3"/>
    <n v="3"/>
    <n v="0"/>
    <n v="2"/>
    <x v="0"/>
    <n v="2.8877199142728294E-2"/>
  </r>
  <r>
    <x v="18"/>
    <x v="1"/>
    <x v="0"/>
    <x v="1"/>
    <x v="2"/>
    <x v="0"/>
    <x v="0"/>
    <x v="0"/>
    <x v="2"/>
    <x v="8"/>
    <n v="1"/>
    <n v="1"/>
    <n v="1"/>
    <m/>
    <x v="1"/>
    <n v="9.5887690107650039E-2"/>
  </r>
  <r>
    <x v="22"/>
    <x v="0"/>
    <x v="1"/>
    <x v="2"/>
    <x v="1"/>
    <x v="1"/>
    <x v="0"/>
    <x v="1"/>
    <x v="1"/>
    <x v="1"/>
    <n v="3"/>
    <n v="3"/>
    <n v="0"/>
    <n v="3"/>
    <x v="0"/>
    <n v="0.22716649774048389"/>
  </r>
  <r>
    <x v="4"/>
    <x v="0"/>
    <x v="0"/>
    <x v="2"/>
    <x v="1"/>
    <x v="1"/>
    <x v="0"/>
    <x v="1"/>
    <x v="0"/>
    <x v="9"/>
    <n v="1"/>
    <n v="6"/>
    <n v="0"/>
    <m/>
    <x v="1"/>
    <n v="0.91250451871139027"/>
  </r>
  <r>
    <x v="15"/>
    <x v="0"/>
    <x v="0"/>
    <x v="2"/>
    <x v="2"/>
    <x v="0"/>
    <x v="0"/>
    <x v="1"/>
    <x v="2"/>
    <x v="9"/>
    <n v="3"/>
    <n v="3"/>
    <n v="0"/>
    <n v="3"/>
    <x v="0"/>
    <n v="0.50483792608287215"/>
  </r>
  <r>
    <x v="19"/>
    <x v="1"/>
    <x v="1"/>
    <x v="0"/>
    <x v="1"/>
    <x v="1"/>
    <x v="0"/>
    <x v="1"/>
    <x v="1"/>
    <x v="8"/>
    <n v="4"/>
    <n v="6"/>
    <n v="0"/>
    <m/>
    <x v="1"/>
    <n v="0.51632959710194015"/>
  </r>
  <r>
    <x v="22"/>
    <x v="0"/>
    <x v="0"/>
    <x v="2"/>
    <x v="2"/>
    <x v="0"/>
    <x v="0"/>
    <x v="1"/>
    <x v="2"/>
    <x v="9"/>
    <n v="9"/>
    <n v="10"/>
    <n v="2"/>
    <n v="9"/>
    <x v="0"/>
    <n v="1.6827930869429071"/>
  </r>
  <r>
    <x v="16"/>
    <x v="0"/>
    <x v="1"/>
    <x v="1"/>
    <x v="0"/>
    <x v="0"/>
    <x v="0"/>
    <x v="0"/>
    <x v="0"/>
    <x v="5"/>
    <n v="1"/>
    <n v="1"/>
    <n v="0"/>
    <m/>
    <x v="1"/>
    <n v="1.4567498552386326E-2"/>
  </r>
  <r>
    <x v="20"/>
    <x v="0"/>
    <x v="0"/>
    <x v="1"/>
    <x v="1"/>
    <x v="0"/>
    <x v="0"/>
    <x v="1"/>
    <x v="1"/>
    <x v="5"/>
    <n v="10"/>
    <n v="11"/>
    <n v="0"/>
    <n v="10"/>
    <x v="0"/>
    <n v="0.22391657154384545"/>
  </r>
  <r>
    <x v="11"/>
    <x v="0"/>
    <x v="0"/>
    <x v="0"/>
    <x v="0"/>
    <x v="0"/>
    <x v="0"/>
    <x v="1"/>
    <x v="0"/>
    <x v="0"/>
    <n v="5"/>
    <n v="7"/>
    <n v="0"/>
    <m/>
    <x v="1"/>
    <n v="0.31212072930553375"/>
  </r>
  <r>
    <x v="8"/>
    <x v="1"/>
    <x v="0"/>
    <x v="2"/>
    <x v="1"/>
    <x v="0"/>
    <x v="0"/>
    <x v="1"/>
    <x v="0"/>
    <x v="8"/>
    <n v="12"/>
    <n v="19"/>
    <n v="0"/>
    <m/>
    <x v="1"/>
    <n v="2.300811907653268"/>
  </r>
  <r>
    <x v="16"/>
    <x v="0"/>
    <x v="1"/>
    <x v="1"/>
    <x v="1"/>
    <x v="1"/>
    <x v="0"/>
    <x v="1"/>
    <x v="2"/>
    <x v="8"/>
    <n v="1"/>
    <n v="1"/>
    <n v="0"/>
    <m/>
    <x v="1"/>
    <n v="8.8413868051613997E-2"/>
  </r>
  <r>
    <x v="14"/>
    <x v="0"/>
    <x v="0"/>
    <x v="0"/>
    <x v="3"/>
    <x v="0"/>
    <x v="1"/>
    <x v="1"/>
    <x v="1"/>
    <x v="7"/>
    <n v="2"/>
    <n v="2"/>
    <n v="0"/>
    <m/>
    <x v="1"/>
    <n v="5.6113586994347098E-2"/>
  </r>
  <r>
    <x v="6"/>
    <x v="1"/>
    <x v="0"/>
    <x v="2"/>
    <x v="1"/>
    <x v="0"/>
    <x v="0"/>
    <x v="0"/>
    <x v="0"/>
    <x v="8"/>
    <n v="2"/>
    <n v="2"/>
    <n v="0"/>
    <m/>
    <x v="1"/>
    <n v="0.24219072712139667"/>
  </r>
  <r>
    <x v="12"/>
    <x v="1"/>
    <x v="0"/>
    <x v="0"/>
    <x v="0"/>
    <x v="0"/>
    <x v="0"/>
    <x v="0"/>
    <x v="0"/>
    <x v="1"/>
    <n v="10"/>
    <n v="13"/>
    <n v="0"/>
    <m/>
    <x v="1"/>
    <n v="0.85683791741084503"/>
  </r>
  <r>
    <x v="14"/>
    <x v="1"/>
    <x v="1"/>
    <x v="0"/>
    <x v="0"/>
    <x v="0"/>
    <x v="1"/>
    <x v="0"/>
    <x v="1"/>
    <x v="5"/>
    <n v="4"/>
    <n v="4"/>
    <n v="0"/>
    <m/>
    <x v="1"/>
    <n v="6.0078389760745872E-2"/>
  </r>
  <r>
    <x v="1"/>
    <x v="0"/>
    <x v="1"/>
    <x v="1"/>
    <x v="2"/>
    <x v="1"/>
    <x v="0"/>
    <x v="1"/>
    <x v="0"/>
    <x v="4"/>
    <n v="1"/>
    <n v="1"/>
    <n v="0"/>
    <n v="1"/>
    <x v="0"/>
    <n v="4.0948154717703626E-2"/>
  </r>
  <r>
    <x v="12"/>
    <x v="0"/>
    <x v="1"/>
    <x v="0"/>
    <x v="0"/>
    <x v="0"/>
    <x v="0"/>
    <x v="1"/>
    <x v="0"/>
    <x v="4"/>
    <n v="1"/>
    <n v="1"/>
    <n v="0"/>
    <m/>
    <x v="1"/>
    <n v="3.1394457123754216E-2"/>
  </r>
  <r>
    <x v="5"/>
    <x v="1"/>
    <x v="0"/>
    <x v="0"/>
    <x v="1"/>
    <x v="0"/>
    <x v="0"/>
    <x v="1"/>
    <x v="0"/>
    <x v="8"/>
    <n v="31"/>
    <n v="38"/>
    <n v="5"/>
    <n v="29"/>
    <x v="0"/>
    <n v="3.6025836483771885"/>
  </r>
  <r>
    <x v="4"/>
    <x v="0"/>
    <x v="1"/>
    <x v="0"/>
    <x v="2"/>
    <x v="0"/>
    <x v="0"/>
    <x v="1"/>
    <x v="2"/>
    <x v="8"/>
    <n v="2"/>
    <n v="3"/>
    <n v="0"/>
    <m/>
    <x v="1"/>
    <n v="0.28951709683688598"/>
  </r>
  <r>
    <x v="16"/>
    <x v="0"/>
    <x v="0"/>
    <x v="1"/>
    <x v="0"/>
    <x v="0"/>
    <x v="0"/>
    <x v="1"/>
    <x v="1"/>
    <x v="6"/>
    <n v="2"/>
    <n v="2"/>
    <n v="0"/>
    <m/>
    <x v="1"/>
    <n v="2.7611900466665982E-2"/>
  </r>
  <r>
    <x v="8"/>
    <x v="1"/>
    <x v="1"/>
    <x v="2"/>
    <x v="1"/>
    <x v="0"/>
    <x v="0"/>
    <x v="1"/>
    <x v="0"/>
    <x v="8"/>
    <n v="2"/>
    <n v="3"/>
    <n v="0"/>
    <m/>
    <x v="1"/>
    <n v="0.26199435739053284"/>
  </r>
  <r>
    <x v="9"/>
    <x v="0"/>
    <x v="0"/>
    <x v="0"/>
    <x v="2"/>
    <x v="0"/>
    <x v="0"/>
    <x v="1"/>
    <x v="1"/>
    <x v="2"/>
    <n v="6"/>
    <n v="7"/>
    <n v="0"/>
    <n v="6"/>
    <x v="0"/>
    <n v="0.30169824558351538"/>
  </r>
  <r>
    <x v="16"/>
    <x v="0"/>
    <x v="0"/>
    <x v="0"/>
    <x v="2"/>
    <x v="0"/>
    <x v="1"/>
    <x v="1"/>
    <x v="1"/>
    <x v="5"/>
    <n v="3"/>
    <n v="3"/>
    <n v="0"/>
    <m/>
    <x v="1"/>
    <n v="6.2595928273073934E-2"/>
  </r>
  <r>
    <x v="5"/>
    <x v="0"/>
    <x v="0"/>
    <x v="1"/>
    <x v="2"/>
    <x v="1"/>
    <x v="0"/>
    <x v="1"/>
    <x v="1"/>
    <x v="4"/>
    <n v="1"/>
    <n v="1"/>
    <n v="0"/>
    <n v="1"/>
    <x v="0"/>
    <n v="3.8861886041588509E-2"/>
  </r>
  <r>
    <x v="1"/>
    <x v="1"/>
    <x v="1"/>
    <x v="0"/>
    <x v="0"/>
    <x v="0"/>
    <x v="0"/>
    <x v="1"/>
    <x v="1"/>
    <x v="4"/>
    <n v="14"/>
    <n v="21"/>
    <n v="2"/>
    <n v="13"/>
    <x v="0"/>
    <n v="0.65569115879883122"/>
  </r>
  <r>
    <x v="14"/>
    <x v="0"/>
    <x v="0"/>
    <x v="1"/>
    <x v="0"/>
    <x v="0"/>
    <x v="1"/>
    <x v="0"/>
    <x v="1"/>
    <x v="6"/>
    <n v="4"/>
    <n v="4"/>
    <n v="0"/>
    <m/>
    <x v="1"/>
    <n v="2.631911178026412E-2"/>
  </r>
  <r>
    <x v="8"/>
    <x v="0"/>
    <x v="1"/>
    <x v="1"/>
    <x v="0"/>
    <x v="0"/>
    <x v="0"/>
    <x v="0"/>
    <x v="0"/>
    <x v="5"/>
    <n v="4"/>
    <n v="4"/>
    <n v="0"/>
    <m/>
    <x v="1"/>
    <n v="5.8269994209545303E-2"/>
  </r>
  <r>
    <x v="2"/>
    <x v="0"/>
    <x v="0"/>
    <x v="0"/>
    <x v="0"/>
    <x v="0"/>
    <x v="0"/>
    <x v="0"/>
    <x v="2"/>
    <x v="8"/>
    <n v="3"/>
    <n v="9"/>
    <n v="0"/>
    <m/>
    <x v="1"/>
    <n v="0.85379714755808811"/>
  </r>
  <r>
    <x v="17"/>
    <x v="0"/>
    <x v="0"/>
    <x v="0"/>
    <x v="2"/>
    <x v="0"/>
    <x v="0"/>
    <x v="0"/>
    <x v="1"/>
    <x v="2"/>
    <n v="6"/>
    <n v="8"/>
    <n v="0"/>
    <n v="6"/>
    <x v="0"/>
    <n v="0.344797994952589"/>
  </r>
  <r>
    <x v="1"/>
    <x v="0"/>
    <x v="1"/>
    <x v="0"/>
    <x v="0"/>
    <x v="0"/>
    <x v="1"/>
    <x v="0"/>
    <x v="1"/>
    <x v="6"/>
    <n v="6"/>
    <n v="6"/>
    <n v="1"/>
    <n v="6"/>
    <x v="0"/>
    <n v="5.9908868092403415E-2"/>
  </r>
  <r>
    <x v="18"/>
    <x v="1"/>
    <x v="0"/>
    <x v="1"/>
    <x v="0"/>
    <x v="0"/>
    <x v="0"/>
    <x v="0"/>
    <x v="1"/>
    <x v="5"/>
    <n v="1"/>
    <n v="1"/>
    <n v="0"/>
    <m/>
    <x v="1"/>
    <n v="2.0727184867413109E-2"/>
  </r>
  <r>
    <x v="20"/>
    <x v="1"/>
    <x v="0"/>
    <x v="0"/>
    <x v="3"/>
    <x v="1"/>
    <x v="0"/>
    <x v="1"/>
    <x v="2"/>
    <x v="9"/>
    <n v="4"/>
    <n v="5"/>
    <n v="0"/>
    <n v="4"/>
    <x v="0"/>
    <n v="1.9135513903738655"/>
  </r>
  <r>
    <x v="2"/>
    <x v="0"/>
    <x v="0"/>
    <x v="1"/>
    <x v="0"/>
    <x v="0"/>
    <x v="1"/>
    <x v="1"/>
    <x v="2"/>
    <x v="7"/>
    <n v="2"/>
    <n v="2"/>
    <n v="0"/>
    <m/>
    <x v="1"/>
    <n v="4.4232660067189462E-2"/>
  </r>
  <r>
    <x v="4"/>
    <x v="0"/>
    <x v="1"/>
    <x v="1"/>
    <x v="1"/>
    <x v="1"/>
    <x v="0"/>
    <x v="1"/>
    <x v="2"/>
    <x v="8"/>
    <n v="2"/>
    <n v="2"/>
    <n v="0"/>
    <m/>
    <x v="1"/>
    <n v="0.17682773610322799"/>
  </r>
  <r>
    <x v="6"/>
    <x v="1"/>
    <x v="0"/>
    <x v="0"/>
    <x v="3"/>
    <x v="0"/>
    <x v="0"/>
    <x v="1"/>
    <x v="0"/>
    <x v="8"/>
    <n v="1"/>
    <n v="1"/>
    <n v="0"/>
    <m/>
    <x v="1"/>
    <n v="0.12300803466666659"/>
  </r>
  <r>
    <x v="14"/>
    <x v="0"/>
    <x v="0"/>
    <x v="0"/>
    <x v="2"/>
    <x v="0"/>
    <x v="0"/>
    <x v="1"/>
    <x v="1"/>
    <x v="2"/>
    <n v="11"/>
    <n v="14"/>
    <n v="0"/>
    <m/>
    <x v="1"/>
    <n v="0.60339649116703076"/>
  </r>
  <r>
    <x v="3"/>
    <x v="0"/>
    <x v="1"/>
    <x v="0"/>
    <x v="0"/>
    <x v="0"/>
    <x v="0"/>
    <x v="0"/>
    <x v="0"/>
    <x v="4"/>
    <n v="5"/>
    <n v="5"/>
    <n v="0"/>
    <m/>
    <x v="1"/>
    <n v="0.15697228561877108"/>
  </r>
  <r>
    <x v="13"/>
    <x v="1"/>
    <x v="0"/>
    <x v="2"/>
    <x v="1"/>
    <x v="0"/>
    <x v="0"/>
    <x v="1"/>
    <x v="2"/>
    <x v="9"/>
    <n v="3"/>
    <n v="3"/>
    <n v="1"/>
    <m/>
    <x v="1"/>
    <n v="0.70891261504951331"/>
  </r>
  <r>
    <x v="22"/>
    <x v="0"/>
    <x v="1"/>
    <x v="0"/>
    <x v="0"/>
    <x v="0"/>
    <x v="0"/>
    <x v="0"/>
    <x v="1"/>
    <x v="5"/>
    <n v="8"/>
    <n v="9"/>
    <n v="2"/>
    <n v="8"/>
    <x v="0"/>
    <n v="0.18784761674927483"/>
  </r>
  <r>
    <x v="16"/>
    <x v="0"/>
    <x v="1"/>
    <x v="2"/>
    <x v="1"/>
    <x v="0"/>
    <x v="0"/>
    <x v="1"/>
    <x v="1"/>
    <x v="4"/>
    <n v="6"/>
    <n v="12"/>
    <n v="0"/>
    <m/>
    <x v="1"/>
    <n v="0.4795267994781886"/>
  </r>
  <r>
    <x v="14"/>
    <x v="1"/>
    <x v="1"/>
    <x v="0"/>
    <x v="1"/>
    <x v="1"/>
    <x v="0"/>
    <x v="1"/>
    <x v="1"/>
    <x v="8"/>
    <n v="7"/>
    <n v="12"/>
    <n v="0"/>
    <m/>
    <x v="1"/>
    <n v="1.0326591942038801"/>
  </r>
  <r>
    <x v="14"/>
    <x v="0"/>
    <x v="1"/>
    <x v="0"/>
    <x v="0"/>
    <x v="0"/>
    <x v="0"/>
    <x v="1"/>
    <x v="1"/>
    <x v="5"/>
    <n v="6"/>
    <n v="9"/>
    <n v="0"/>
    <m/>
    <x v="1"/>
    <n v="0.18784761674927483"/>
  </r>
  <r>
    <x v="17"/>
    <x v="1"/>
    <x v="0"/>
    <x v="0"/>
    <x v="2"/>
    <x v="0"/>
    <x v="0"/>
    <x v="0"/>
    <x v="2"/>
    <x v="9"/>
    <n v="1"/>
    <n v="1"/>
    <n v="0"/>
    <n v="1"/>
    <x v="0"/>
    <n v="0.18866403843496365"/>
  </r>
  <r>
    <x v="4"/>
    <x v="1"/>
    <x v="0"/>
    <x v="0"/>
    <x v="3"/>
    <x v="0"/>
    <x v="1"/>
    <x v="1"/>
    <x v="1"/>
    <x v="4"/>
    <n v="1"/>
    <n v="1"/>
    <n v="0"/>
    <m/>
    <x v="1"/>
    <n v="4.1819346475315163E-2"/>
  </r>
  <r>
    <x v="0"/>
    <x v="1"/>
    <x v="0"/>
    <x v="1"/>
    <x v="0"/>
    <x v="0"/>
    <x v="1"/>
    <x v="0"/>
    <x v="1"/>
    <x v="6"/>
    <n v="2"/>
    <n v="2"/>
    <n v="0"/>
    <n v="2"/>
    <x v="0"/>
    <n v="1.9829579578179591E-2"/>
  </r>
  <r>
    <x v="17"/>
    <x v="0"/>
    <x v="0"/>
    <x v="0"/>
    <x v="2"/>
    <x v="0"/>
    <x v="0"/>
    <x v="1"/>
    <x v="1"/>
    <x v="2"/>
    <n v="6"/>
    <n v="10"/>
    <n v="0"/>
    <n v="6"/>
    <x v="0"/>
    <n v="0.43099749369073626"/>
  </r>
  <r>
    <x v="22"/>
    <x v="0"/>
    <x v="0"/>
    <x v="2"/>
    <x v="1"/>
    <x v="0"/>
    <x v="0"/>
    <x v="1"/>
    <x v="0"/>
    <x v="1"/>
    <n v="5"/>
    <n v="7"/>
    <n v="0"/>
    <n v="4"/>
    <x v="0"/>
    <n v="0.5846221966214975"/>
  </r>
  <r>
    <x v="5"/>
    <x v="0"/>
    <x v="0"/>
    <x v="2"/>
    <x v="2"/>
    <x v="1"/>
    <x v="1"/>
    <x v="1"/>
    <x v="1"/>
    <x v="0"/>
    <n v="2"/>
    <n v="2"/>
    <n v="0"/>
    <n v="2"/>
    <x v="0"/>
    <n v="0.10458334262896614"/>
  </r>
  <r>
    <x v="7"/>
    <x v="0"/>
    <x v="0"/>
    <x v="2"/>
    <x v="2"/>
    <x v="0"/>
    <x v="0"/>
    <x v="0"/>
    <x v="2"/>
    <x v="9"/>
    <n v="1"/>
    <n v="2"/>
    <n v="0"/>
    <m/>
    <x v="1"/>
    <n v="0.33655861738858139"/>
  </r>
  <r>
    <x v="2"/>
    <x v="0"/>
    <x v="1"/>
    <x v="0"/>
    <x v="2"/>
    <x v="0"/>
    <x v="1"/>
    <x v="1"/>
    <x v="1"/>
    <x v="5"/>
    <n v="1"/>
    <n v="1"/>
    <n v="0"/>
    <m/>
    <x v="1"/>
    <n v="1.458390684269004E-2"/>
  </r>
  <r>
    <x v="11"/>
    <x v="1"/>
    <x v="0"/>
    <x v="2"/>
    <x v="1"/>
    <x v="0"/>
    <x v="0"/>
    <x v="1"/>
    <x v="1"/>
    <x v="1"/>
    <n v="21"/>
    <n v="33"/>
    <n v="0"/>
    <m/>
    <x v="1"/>
    <n v="2.7418621729337884"/>
  </r>
  <r>
    <x v="2"/>
    <x v="0"/>
    <x v="0"/>
    <x v="2"/>
    <x v="0"/>
    <x v="0"/>
    <x v="0"/>
    <x v="1"/>
    <x v="1"/>
    <x v="4"/>
    <n v="4"/>
    <n v="5"/>
    <n v="0"/>
    <m/>
    <x v="1"/>
    <n v="0.19405642611649998"/>
  </r>
  <r>
    <x v="3"/>
    <x v="1"/>
    <x v="0"/>
    <x v="2"/>
    <x v="2"/>
    <x v="0"/>
    <x v="0"/>
    <x v="1"/>
    <x v="0"/>
    <x v="8"/>
    <n v="2"/>
    <n v="3"/>
    <n v="0"/>
    <m/>
    <x v="1"/>
    <n v="0.35965149757222215"/>
  </r>
  <r>
    <x v="4"/>
    <x v="0"/>
    <x v="0"/>
    <x v="0"/>
    <x v="3"/>
    <x v="0"/>
    <x v="0"/>
    <x v="1"/>
    <x v="2"/>
    <x v="9"/>
    <n v="3"/>
    <n v="3"/>
    <n v="0"/>
    <m/>
    <x v="1"/>
    <n v="0.51725290808077895"/>
  </r>
  <r>
    <x v="5"/>
    <x v="0"/>
    <x v="0"/>
    <x v="1"/>
    <x v="0"/>
    <x v="0"/>
    <x v="1"/>
    <x v="1"/>
    <x v="1"/>
    <x v="6"/>
    <n v="7"/>
    <n v="7"/>
    <n v="0"/>
    <n v="4"/>
    <x v="0"/>
    <n v="4.6058445615462212E-2"/>
  </r>
  <r>
    <x v="6"/>
    <x v="0"/>
    <x v="0"/>
    <x v="0"/>
    <x v="1"/>
    <x v="1"/>
    <x v="0"/>
    <x v="1"/>
    <x v="1"/>
    <x v="1"/>
    <n v="23"/>
    <n v="30"/>
    <n v="2"/>
    <m/>
    <x v="1"/>
    <n v="2.4687497812868853"/>
  </r>
  <r>
    <x v="4"/>
    <x v="0"/>
    <x v="0"/>
    <x v="0"/>
    <x v="2"/>
    <x v="1"/>
    <x v="0"/>
    <x v="0"/>
    <x v="1"/>
    <x v="1"/>
    <n v="5"/>
    <n v="6"/>
    <n v="0"/>
    <m/>
    <x v="1"/>
    <n v="0.4885942848290129"/>
  </r>
  <r>
    <x v="6"/>
    <x v="1"/>
    <x v="0"/>
    <x v="2"/>
    <x v="1"/>
    <x v="0"/>
    <x v="0"/>
    <x v="1"/>
    <x v="0"/>
    <x v="8"/>
    <n v="4"/>
    <n v="6"/>
    <n v="0"/>
    <m/>
    <x v="1"/>
    <n v="0.72657218136419"/>
  </r>
  <r>
    <x v="3"/>
    <x v="0"/>
    <x v="0"/>
    <x v="2"/>
    <x v="1"/>
    <x v="0"/>
    <x v="0"/>
    <x v="1"/>
    <x v="0"/>
    <x v="1"/>
    <n v="10"/>
    <n v="11"/>
    <n v="0"/>
    <m/>
    <x v="1"/>
    <n v="0.91869202326235322"/>
  </r>
  <r>
    <x v="4"/>
    <x v="1"/>
    <x v="0"/>
    <x v="2"/>
    <x v="1"/>
    <x v="0"/>
    <x v="0"/>
    <x v="1"/>
    <x v="0"/>
    <x v="8"/>
    <n v="5"/>
    <n v="17"/>
    <n v="0"/>
    <m/>
    <x v="1"/>
    <n v="2.0586211805318717"/>
  </r>
  <r>
    <x v="17"/>
    <x v="0"/>
    <x v="1"/>
    <x v="0"/>
    <x v="2"/>
    <x v="0"/>
    <x v="0"/>
    <x v="1"/>
    <x v="0"/>
    <x v="0"/>
    <n v="3"/>
    <n v="3"/>
    <n v="0"/>
    <n v="3"/>
    <x v="0"/>
    <n v="0.13620833165203847"/>
  </r>
  <r>
    <x v="15"/>
    <x v="1"/>
    <x v="0"/>
    <x v="2"/>
    <x v="1"/>
    <x v="1"/>
    <x v="0"/>
    <x v="1"/>
    <x v="1"/>
    <x v="9"/>
    <n v="8"/>
    <n v="9"/>
    <n v="3"/>
    <n v="8"/>
    <x v="0"/>
    <n v="1.3622233000702715"/>
  </r>
  <r>
    <x v="20"/>
    <x v="0"/>
    <x v="0"/>
    <x v="0"/>
    <x v="2"/>
    <x v="1"/>
    <x v="0"/>
    <x v="1"/>
    <x v="0"/>
    <x v="8"/>
    <n v="7"/>
    <n v="7"/>
    <n v="0"/>
    <n v="7"/>
    <x v="0"/>
    <n v="0.83147579376042158"/>
  </r>
  <r>
    <x v="4"/>
    <x v="1"/>
    <x v="1"/>
    <x v="0"/>
    <x v="1"/>
    <x v="1"/>
    <x v="0"/>
    <x v="1"/>
    <x v="1"/>
    <x v="8"/>
    <n v="1"/>
    <n v="2"/>
    <n v="0"/>
    <m/>
    <x v="1"/>
    <n v="0.17210986570064671"/>
  </r>
  <r>
    <x v="16"/>
    <x v="1"/>
    <x v="0"/>
    <x v="2"/>
    <x v="2"/>
    <x v="0"/>
    <x v="1"/>
    <x v="0"/>
    <x v="0"/>
    <x v="3"/>
    <n v="1"/>
    <n v="1"/>
    <n v="0"/>
    <m/>
    <x v="1"/>
    <n v="6.0544035202992515E-2"/>
  </r>
  <r>
    <x v="21"/>
    <x v="0"/>
    <x v="0"/>
    <x v="2"/>
    <x v="0"/>
    <x v="0"/>
    <x v="1"/>
    <x v="0"/>
    <x v="2"/>
    <x v="3"/>
    <n v="1"/>
    <n v="1"/>
    <n v="0"/>
    <m/>
    <x v="1"/>
    <n v="6.1238768703886295E-2"/>
  </r>
  <r>
    <x v="15"/>
    <x v="0"/>
    <x v="0"/>
    <x v="1"/>
    <x v="0"/>
    <x v="0"/>
    <x v="0"/>
    <x v="0"/>
    <x v="1"/>
    <x v="6"/>
    <n v="8"/>
    <n v="8"/>
    <n v="0"/>
    <n v="8"/>
    <x v="0"/>
    <n v="0.11044760186666393"/>
  </r>
  <r>
    <x v="16"/>
    <x v="1"/>
    <x v="1"/>
    <x v="0"/>
    <x v="2"/>
    <x v="1"/>
    <x v="0"/>
    <x v="1"/>
    <x v="1"/>
    <x v="8"/>
    <n v="4"/>
    <n v="4"/>
    <n v="0"/>
    <m/>
    <x v="1"/>
    <n v="0.34064002066679711"/>
  </r>
  <r>
    <x v="22"/>
    <x v="0"/>
    <x v="0"/>
    <x v="0"/>
    <x v="2"/>
    <x v="0"/>
    <x v="0"/>
    <x v="0"/>
    <x v="2"/>
    <x v="9"/>
    <n v="5"/>
    <n v="5"/>
    <n v="0"/>
    <n v="5"/>
    <x v="0"/>
    <n v="0.66649248612851397"/>
  </r>
  <r>
    <x v="9"/>
    <x v="0"/>
    <x v="0"/>
    <x v="2"/>
    <x v="2"/>
    <x v="0"/>
    <x v="0"/>
    <x v="0"/>
    <x v="2"/>
    <x v="9"/>
    <n v="3"/>
    <n v="3"/>
    <n v="0"/>
    <n v="3"/>
    <x v="0"/>
    <n v="0.50483792608287215"/>
  </r>
  <r>
    <x v="15"/>
    <x v="0"/>
    <x v="1"/>
    <x v="2"/>
    <x v="1"/>
    <x v="0"/>
    <x v="0"/>
    <x v="1"/>
    <x v="0"/>
    <x v="3"/>
    <n v="5"/>
    <n v="5"/>
    <n v="0"/>
    <n v="5"/>
    <x v="0"/>
    <n v="0.29760743995658923"/>
  </r>
  <r>
    <x v="3"/>
    <x v="0"/>
    <x v="0"/>
    <x v="2"/>
    <x v="2"/>
    <x v="0"/>
    <x v="0"/>
    <x v="0"/>
    <x v="0"/>
    <x v="1"/>
    <n v="4"/>
    <n v="5"/>
    <n v="0"/>
    <m/>
    <x v="1"/>
    <n v="0.41323265588868885"/>
  </r>
  <r>
    <x v="22"/>
    <x v="1"/>
    <x v="0"/>
    <x v="1"/>
    <x v="2"/>
    <x v="0"/>
    <x v="0"/>
    <x v="1"/>
    <x v="0"/>
    <x v="0"/>
    <n v="1"/>
    <n v="1"/>
    <n v="0"/>
    <n v="1"/>
    <x v="0"/>
    <n v="4.5095690087541995E-2"/>
  </r>
  <r>
    <x v="14"/>
    <x v="1"/>
    <x v="0"/>
    <x v="2"/>
    <x v="0"/>
    <x v="0"/>
    <x v="0"/>
    <x v="1"/>
    <x v="0"/>
    <x v="8"/>
    <n v="1"/>
    <n v="1"/>
    <n v="0"/>
    <m/>
    <x v="1"/>
    <n v="8.4940305954857798E-2"/>
  </r>
  <r>
    <x v="18"/>
    <x v="1"/>
    <x v="0"/>
    <x v="2"/>
    <x v="1"/>
    <x v="0"/>
    <x v="0"/>
    <x v="1"/>
    <x v="2"/>
    <x v="9"/>
    <n v="2"/>
    <n v="3"/>
    <n v="0"/>
    <m/>
    <x v="1"/>
    <n v="0.70891261504951331"/>
  </r>
  <r>
    <x v="0"/>
    <x v="1"/>
    <x v="0"/>
    <x v="0"/>
    <x v="3"/>
    <x v="1"/>
    <x v="0"/>
    <x v="0"/>
    <x v="0"/>
    <x v="9"/>
    <n v="1"/>
    <n v="1"/>
    <n v="0"/>
    <n v="1"/>
    <x v="0"/>
    <n v="0.21634259353047053"/>
  </r>
  <r>
    <x v="16"/>
    <x v="0"/>
    <x v="1"/>
    <x v="1"/>
    <x v="0"/>
    <x v="0"/>
    <x v="0"/>
    <x v="1"/>
    <x v="1"/>
    <x v="6"/>
    <n v="6"/>
    <n v="6"/>
    <n v="0"/>
    <m/>
    <x v="1"/>
    <n v="5.7773010979357449E-2"/>
  </r>
  <r>
    <x v="22"/>
    <x v="1"/>
    <x v="1"/>
    <x v="0"/>
    <x v="0"/>
    <x v="0"/>
    <x v="0"/>
    <x v="1"/>
    <x v="0"/>
    <x v="0"/>
    <n v="1"/>
    <n v="1"/>
    <n v="0"/>
    <n v="1"/>
    <x v="0"/>
    <n v="4.6715526092825782E-2"/>
  </r>
  <r>
    <x v="1"/>
    <x v="1"/>
    <x v="1"/>
    <x v="0"/>
    <x v="2"/>
    <x v="0"/>
    <x v="0"/>
    <x v="1"/>
    <x v="0"/>
    <x v="1"/>
    <n v="1"/>
    <n v="2"/>
    <n v="0"/>
    <n v="1"/>
    <x v="0"/>
    <n v="0.13417334355117133"/>
  </r>
  <r>
    <x v="3"/>
    <x v="1"/>
    <x v="1"/>
    <x v="0"/>
    <x v="0"/>
    <x v="0"/>
    <x v="0"/>
    <x v="1"/>
    <x v="1"/>
    <x v="4"/>
    <n v="7"/>
    <n v="7"/>
    <n v="0"/>
    <m/>
    <x v="1"/>
    <n v="0.21856371959961038"/>
  </r>
  <r>
    <x v="11"/>
    <x v="0"/>
    <x v="1"/>
    <x v="1"/>
    <x v="0"/>
    <x v="0"/>
    <x v="1"/>
    <x v="1"/>
    <x v="1"/>
    <x v="6"/>
    <n v="1"/>
    <n v="1"/>
    <n v="0"/>
    <m/>
    <x v="1"/>
    <n v="4.5788555386867564E-3"/>
  </r>
  <r>
    <x v="2"/>
    <x v="1"/>
    <x v="1"/>
    <x v="0"/>
    <x v="2"/>
    <x v="0"/>
    <x v="0"/>
    <x v="0"/>
    <x v="1"/>
    <x v="0"/>
    <n v="1"/>
    <n v="1"/>
    <n v="0"/>
    <m/>
    <x v="1"/>
    <n v="4.5158935948663145E-2"/>
  </r>
  <r>
    <x v="2"/>
    <x v="0"/>
    <x v="0"/>
    <x v="0"/>
    <x v="3"/>
    <x v="1"/>
    <x v="0"/>
    <x v="1"/>
    <x v="2"/>
    <x v="9"/>
    <n v="1"/>
    <n v="3"/>
    <n v="1"/>
    <m/>
    <x v="1"/>
    <n v="0.87243235062856062"/>
  </r>
  <r>
    <x v="17"/>
    <x v="1"/>
    <x v="1"/>
    <x v="0"/>
    <x v="2"/>
    <x v="0"/>
    <x v="0"/>
    <x v="0"/>
    <x v="2"/>
    <x v="9"/>
    <n v="2"/>
    <n v="2"/>
    <n v="0"/>
    <n v="2"/>
    <x v="0"/>
    <n v="0.27808190480497447"/>
  </r>
  <r>
    <x v="14"/>
    <x v="1"/>
    <x v="1"/>
    <x v="0"/>
    <x v="0"/>
    <x v="0"/>
    <x v="0"/>
    <x v="0"/>
    <x v="0"/>
    <x v="0"/>
    <n v="2"/>
    <n v="2"/>
    <n v="0"/>
    <m/>
    <x v="1"/>
    <n v="9.3431052185651564E-2"/>
  </r>
  <r>
    <x v="2"/>
    <x v="1"/>
    <x v="0"/>
    <x v="0"/>
    <x v="0"/>
    <x v="0"/>
    <x v="1"/>
    <x v="0"/>
    <x v="2"/>
    <x v="1"/>
    <n v="2"/>
    <n v="3"/>
    <n v="0"/>
    <m/>
    <x v="1"/>
    <n v="0.20923294981328672"/>
  </r>
  <r>
    <x v="15"/>
    <x v="1"/>
    <x v="0"/>
    <x v="0"/>
    <x v="0"/>
    <x v="1"/>
    <x v="0"/>
    <x v="0"/>
    <x v="1"/>
    <x v="1"/>
    <n v="4"/>
    <n v="4"/>
    <n v="0"/>
    <n v="4"/>
    <x v="0"/>
    <n v="0.33478212974472921"/>
  </r>
  <r>
    <x v="5"/>
    <x v="0"/>
    <x v="1"/>
    <x v="2"/>
    <x v="0"/>
    <x v="0"/>
    <x v="0"/>
    <x v="0"/>
    <x v="1"/>
    <x v="7"/>
    <n v="4"/>
    <n v="4"/>
    <n v="0"/>
    <n v="4"/>
    <x v="0"/>
    <n v="0.10911136800135676"/>
  </r>
  <r>
    <x v="0"/>
    <x v="1"/>
    <x v="0"/>
    <x v="0"/>
    <x v="0"/>
    <x v="0"/>
    <x v="0"/>
    <x v="0"/>
    <x v="2"/>
    <x v="9"/>
    <n v="5"/>
    <n v="5"/>
    <n v="0"/>
    <n v="5"/>
    <x v="0"/>
    <n v="0.68394223648331687"/>
  </r>
  <r>
    <x v="8"/>
    <x v="0"/>
    <x v="0"/>
    <x v="1"/>
    <x v="0"/>
    <x v="1"/>
    <x v="1"/>
    <x v="0"/>
    <x v="1"/>
    <x v="6"/>
    <n v="2"/>
    <n v="2"/>
    <n v="0"/>
    <m/>
    <x v="1"/>
    <n v="2.5737190059625072E-2"/>
  </r>
  <r>
    <x v="10"/>
    <x v="1"/>
    <x v="0"/>
    <x v="2"/>
    <x v="0"/>
    <x v="0"/>
    <x v="0"/>
    <x v="1"/>
    <x v="1"/>
    <x v="0"/>
    <n v="4"/>
    <n v="9"/>
    <n v="0"/>
    <m/>
    <x v="1"/>
    <n v="0.51783204875206257"/>
  </r>
  <r>
    <x v="10"/>
    <x v="0"/>
    <x v="1"/>
    <x v="0"/>
    <x v="3"/>
    <x v="0"/>
    <x v="0"/>
    <x v="1"/>
    <x v="1"/>
    <x v="4"/>
    <n v="1"/>
    <n v="1"/>
    <n v="0"/>
    <m/>
    <x v="1"/>
    <n v="4.0651005805418881E-2"/>
  </r>
  <r>
    <x v="4"/>
    <x v="1"/>
    <x v="0"/>
    <x v="2"/>
    <x v="0"/>
    <x v="0"/>
    <x v="1"/>
    <x v="0"/>
    <x v="0"/>
    <x v="2"/>
    <n v="4"/>
    <n v="4"/>
    <n v="0"/>
    <m/>
    <x v="1"/>
    <n v="0.16827998981418418"/>
  </r>
  <r>
    <x v="3"/>
    <x v="1"/>
    <x v="1"/>
    <x v="0"/>
    <x v="2"/>
    <x v="0"/>
    <x v="0"/>
    <x v="1"/>
    <x v="0"/>
    <x v="1"/>
    <n v="1"/>
    <n v="1"/>
    <n v="0"/>
    <m/>
    <x v="1"/>
    <n v="6.7086671775585666E-2"/>
  </r>
  <r>
    <x v="2"/>
    <x v="1"/>
    <x v="0"/>
    <x v="2"/>
    <x v="0"/>
    <x v="0"/>
    <x v="0"/>
    <x v="1"/>
    <x v="0"/>
    <x v="8"/>
    <n v="6"/>
    <n v="7"/>
    <n v="1"/>
    <m/>
    <x v="1"/>
    <n v="0.59458214168400458"/>
  </r>
  <r>
    <x v="5"/>
    <x v="1"/>
    <x v="0"/>
    <x v="0"/>
    <x v="0"/>
    <x v="0"/>
    <x v="0"/>
    <x v="1"/>
    <x v="2"/>
    <x v="9"/>
    <n v="3"/>
    <n v="6"/>
    <n v="0"/>
    <n v="3"/>
    <x v="0"/>
    <n v="0.82073068377998026"/>
  </r>
  <r>
    <x v="17"/>
    <x v="1"/>
    <x v="0"/>
    <x v="0"/>
    <x v="0"/>
    <x v="1"/>
    <x v="1"/>
    <x v="0"/>
    <x v="0"/>
    <x v="3"/>
    <n v="1"/>
    <n v="2"/>
    <n v="1"/>
    <n v="1"/>
    <x v="0"/>
    <n v="0.12331356125473709"/>
  </r>
  <r>
    <x v="20"/>
    <x v="1"/>
    <x v="0"/>
    <x v="0"/>
    <x v="0"/>
    <x v="0"/>
    <x v="1"/>
    <x v="1"/>
    <x v="1"/>
    <x v="7"/>
    <n v="15"/>
    <n v="17"/>
    <n v="2"/>
    <n v="15"/>
    <x v="0"/>
    <n v="0.36523758806463447"/>
  </r>
  <r>
    <x v="5"/>
    <x v="1"/>
    <x v="0"/>
    <x v="2"/>
    <x v="2"/>
    <x v="0"/>
    <x v="1"/>
    <x v="1"/>
    <x v="2"/>
    <x v="9"/>
    <n v="1"/>
    <n v="1"/>
    <n v="0"/>
    <n v="1"/>
    <x v="0"/>
    <n v="0.1264319832806283"/>
  </r>
  <r>
    <x v="22"/>
    <x v="0"/>
    <x v="0"/>
    <x v="1"/>
    <x v="1"/>
    <x v="0"/>
    <x v="0"/>
    <x v="1"/>
    <x v="1"/>
    <x v="5"/>
    <n v="5"/>
    <n v="5"/>
    <n v="0"/>
    <n v="3"/>
    <x v="0"/>
    <n v="0.10178025979265702"/>
  </r>
  <r>
    <x v="5"/>
    <x v="1"/>
    <x v="0"/>
    <x v="2"/>
    <x v="0"/>
    <x v="1"/>
    <x v="0"/>
    <x v="0"/>
    <x v="1"/>
    <x v="8"/>
    <n v="2"/>
    <n v="2"/>
    <n v="0"/>
    <n v="2"/>
    <x v="0"/>
    <n v="0.21454080743188383"/>
  </r>
  <r>
    <x v="16"/>
    <x v="0"/>
    <x v="0"/>
    <x v="2"/>
    <x v="0"/>
    <x v="0"/>
    <x v="0"/>
    <x v="0"/>
    <x v="1"/>
    <x v="4"/>
    <n v="12"/>
    <n v="15"/>
    <n v="0"/>
    <m/>
    <x v="1"/>
    <n v="0.58216927834949994"/>
  </r>
  <r>
    <x v="17"/>
    <x v="1"/>
    <x v="0"/>
    <x v="1"/>
    <x v="2"/>
    <x v="0"/>
    <x v="1"/>
    <x v="1"/>
    <x v="2"/>
    <x v="0"/>
    <n v="1"/>
    <n v="1"/>
    <n v="0"/>
    <n v="1"/>
    <x v="0"/>
    <n v="4.778062262691999E-2"/>
  </r>
  <r>
    <x v="9"/>
    <x v="0"/>
    <x v="1"/>
    <x v="1"/>
    <x v="2"/>
    <x v="0"/>
    <x v="1"/>
    <x v="0"/>
    <x v="1"/>
    <x v="6"/>
    <n v="1"/>
    <n v="1"/>
    <n v="0"/>
    <n v="1"/>
    <x v="0"/>
    <n v="6.7047818131641948E-3"/>
  </r>
  <r>
    <x v="2"/>
    <x v="1"/>
    <x v="0"/>
    <x v="2"/>
    <x v="1"/>
    <x v="1"/>
    <x v="0"/>
    <x v="1"/>
    <x v="0"/>
    <x v="9"/>
    <n v="4"/>
    <n v="4"/>
    <n v="0"/>
    <m/>
    <x v="1"/>
    <n v="0.85332670687630885"/>
  </r>
  <r>
    <x v="20"/>
    <x v="0"/>
    <x v="0"/>
    <x v="1"/>
    <x v="1"/>
    <x v="0"/>
    <x v="0"/>
    <x v="1"/>
    <x v="0"/>
    <x v="4"/>
    <n v="4"/>
    <n v="5"/>
    <n v="0"/>
    <n v="4"/>
    <x v="0"/>
    <n v="0.15313297929032194"/>
  </r>
  <r>
    <x v="6"/>
    <x v="1"/>
    <x v="0"/>
    <x v="2"/>
    <x v="0"/>
    <x v="0"/>
    <x v="0"/>
    <x v="0"/>
    <x v="1"/>
    <x v="0"/>
    <n v="10"/>
    <n v="11"/>
    <n v="0"/>
    <m/>
    <x v="1"/>
    <n v="0.63290583736363215"/>
  </r>
  <r>
    <x v="12"/>
    <x v="0"/>
    <x v="1"/>
    <x v="0"/>
    <x v="2"/>
    <x v="0"/>
    <x v="0"/>
    <x v="1"/>
    <x v="2"/>
    <x v="8"/>
    <n v="5"/>
    <n v="5"/>
    <n v="1"/>
    <m/>
    <x v="1"/>
    <n v="0.4825284947281433"/>
  </r>
  <r>
    <x v="4"/>
    <x v="1"/>
    <x v="1"/>
    <x v="0"/>
    <x v="0"/>
    <x v="0"/>
    <x v="1"/>
    <x v="0"/>
    <x v="1"/>
    <x v="5"/>
    <n v="2"/>
    <n v="2"/>
    <n v="0"/>
    <m/>
    <x v="1"/>
    <n v="3.0039194880372936E-2"/>
  </r>
  <r>
    <x v="19"/>
    <x v="0"/>
    <x v="1"/>
    <x v="1"/>
    <x v="1"/>
    <x v="0"/>
    <x v="0"/>
    <x v="1"/>
    <x v="0"/>
    <x v="5"/>
    <n v="2"/>
    <n v="2"/>
    <n v="0"/>
    <m/>
    <x v="1"/>
    <n v="4.2942086682100908E-2"/>
  </r>
  <r>
    <x v="6"/>
    <x v="0"/>
    <x v="1"/>
    <x v="0"/>
    <x v="0"/>
    <x v="0"/>
    <x v="0"/>
    <x v="0"/>
    <x v="0"/>
    <x v="4"/>
    <n v="4"/>
    <n v="4"/>
    <n v="0"/>
    <m/>
    <x v="1"/>
    <n v="0.12557782849501686"/>
  </r>
  <r>
    <x v="9"/>
    <x v="0"/>
    <x v="0"/>
    <x v="1"/>
    <x v="3"/>
    <x v="1"/>
    <x v="1"/>
    <x v="1"/>
    <x v="2"/>
    <x v="1"/>
    <n v="2"/>
    <n v="2"/>
    <n v="1"/>
    <n v="2"/>
    <x v="0"/>
    <n v="0.16258553469110737"/>
  </r>
  <r>
    <x v="14"/>
    <x v="0"/>
    <x v="0"/>
    <x v="2"/>
    <x v="0"/>
    <x v="0"/>
    <x v="1"/>
    <x v="1"/>
    <x v="1"/>
    <x v="5"/>
    <n v="2"/>
    <n v="3"/>
    <n v="0"/>
    <m/>
    <x v="1"/>
    <n v="5.6237555796523855E-2"/>
  </r>
  <r>
    <x v="21"/>
    <x v="1"/>
    <x v="1"/>
    <x v="0"/>
    <x v="0"/>
    <x v="0"/>
    <x v="0"/>
    <x v="0"/>
    <x v="2"/>
    <x v="8"/>
    <n v="3"/>
    <n v="5"/>
    <n v="0"/>
    <m/>
    <x v="1"/>
    <n v="0.49571275461556014"/>
  </r>
  <r>
    <x v="13"/>
    <x v="0"/>
    <x v="1"/>
    <x v="1"/>
    <x v="0"/>
    <x v="0"/>
    <x v="1"/>
    <x v="1"/>
    <x v="1"/>
    <x v="6"/>
    <n v="1"/>
    <n v="1"/>
    <n v="0"/>
    <m/>
    <x v="1"/>
    <n v="4.5788555386867564E-3"/>
  </r>
  <r>
    <x v="11"/>
    <x v="0"/>
    <x v="1"/>
    <x v="0"/>
    <x v="0"/>
    <x v="1"/>
    <x v="0"/>
    <x v="0"/>
    <x v="1"/>
    <x v="4"/>
    <n v="3"/>
    <n v="4"/>
    <n v="0"/>
    <m/>
    <x v="1"/>
    <n v="0.16106898537534534"/>
  </r>
  <r>
    <x v="1"/>
    <x v="0"/>
    <x v="0"/>
    <x v="0"/>
    <x v="2"/>
    <x v="1"/>
    <x v="0"/>
    <x v="1"/>
    <x v="2"/>
    <x v="9"/>
    <n v="1"/>
    <n v="1"/>
    <n v="0"/>
    <n v="1"/>
    <x v="0"/>
    <n v="0.23237226266969685"/>
  </r>
  <r>
    <x v="1"/>
    <x v="1"/>
    <x v="1"/>
    <x v="0"/>
    <x v="1"/>
    <x v="1"/>
    <x v="0"/>
    <x v="1"/>
    <x v="1"/>
    <x v="8"/>
    <n v="15"/>
    <n v="16"/>
    <n v="0"/>
    <n v="14"/>
    <x v="0"/>
    <n v="1.3768789256051737"/>
  </r>
  <r>
    <x v="3"/>
    <x v="1"/>
    <x v="0"/>
    <x v="2"/>
    <x v="3"/>
    <x v="1"/>
    <x v="0"/>
    <x v="1"/>
    <x v="0"/>
    <x v="9"/>
    <n v="2"/>
    <n v="2"/>
    <n v="0"/>
    <m/>
    <x v="1"/>
    <n v="0.53283456137155227"/>
  </r>
  <r>
    <x v="10"/>
    <x v="1"/>
    <x v="0"/>
    <x v="0"/>
    <x v="0"/>
    <x v="0"/>
    <x v="0"/>
    <x v="1"/>
    <x v="0"/>
    <x v="1"/>
    <n v="4"/>
    <n v="6"/>
    <n v="0"/>
    <m/>
    <x v="1"/>
    <n v="0.39546365418962082"/>
  </r>
  <r>
    <x v="9"/>
    <x v="0"/>
    <x v="0"/>
    <x v="0"/>
    <x v="3"/>
    <x v="1"/>
    <x v="0"/>
    <x v="0"/>
    <x v="0"/>
    <x v="9"/>
    <n v="1"/>
    <n v="1"/>
    <n v="1"/>
    <n v="1"/>
    <x v="0"/>
    <n v="0.15440023172603565"/>
  </r>
  <r>
    <x v="6"/>
    <x v="0"/>
    <x v="1"/>
    <x v="2"/>
    <x v="1"/>
    <x v="0"/>
    <x v="0"/>
    <x v="1"/>
    <x v="1"/>
    <x v="4"/>
    <n v="8"/>
    <n v="9"/>
    <n v="0"/>
    <m/>
    <x v="1"/>
    <n v="0.35964509960864144"/>
  </r>
  <r>
    <x v="9"/>
    <x v="1"/>
    <x v="1"/>
    <x v="2"/>
    <x v="0"/>
    <x v="0"/>
    <x v="0"/>
    <x v="1"/>
    <x v="1"/>
    <x v="4"/>
    <n v="2"/>
    <n v="3"/>
    <n v="0"/>
    <n v="2"/>
    <x v="0"/>
    <n v="0.12202287007959514"/>
  </r>
  <r>
    <x v="4"/>
    <x v="1"/>
    <x v="0"/>
    <x v="0"/>
    <x v="0"/>
    <x v="1"/>
    <x v="0"/>
    <x v="0"/>
    <x v="1"/>
    <x v="1"/>
    <n v="3"/>
    <n v="3"/>
    <n v="0"/>
    <m/>
    <x v="1"/>
    <n v="0.25108659730854688"/>
  </r>
  <r>
    <x v="19"/>
    <x v="0"/>
    <x v="0"/>
    <x v="2"/>
    <x v="0"/>
    <x v="0"/>
    <x v="0"/>
    <x v="0"/>
    <x v="1"/>
    <x v="4"/>
    <n v="4"/>
    <n v="4"/>
    <n v="0"/>
    <m/>
    <x v="1"/>
    <n v="0.15524514089319996"/>
  </r>
  <r>
    <x v="15"/>
    <x v="0"/>
    <x v="1"/>
    <x v="0"/>
    <x v="0"/>
    <x v="0"/>
    <x v="1"/>
    <x v="0"/>
    <x v="1"/>
    <x v="6"/>
    <n v="7"/>
    <n v="8"/>
    <n v="0"/>
    <n v="7"/>
    <x v="0"/>
    <n v="7.987849078987122E-2"/>
  </r>
  <r>
    <x v="10"/>
    <x v="1"/>
    <x v="0"/>
    <x v="2"/>
    <x v="0"/>
    <x v="0"/>
    <x v="0"/>
    <x v="0"/>
    <x v="1"/>
    <x v="0"/>
    <n v="11"/>
    <n v="13"/>
    <n v="0"/>
    <m/>
    <x v="1"/>
    <n v="0.74797962597520162"/>
  </r>
  <r>
    <x v="20"/>
    <x v="0"/>
    <x v="1"/>
    <x v="0"/>
    <x v="2"/>
    <x v="0"/>
    <x v="0"/>
    <x v="0"/>
    <x v="1"/>
    <x v="7"/>
    <n v="1"/>
    <n v="1"/>
    <n v="0"/>
    <n v="1"/>
    <x v="0"/>
    <n v="3.0332130839860555E-2"/>
  </r>
  <r>
    <x v="20"/>
    <x v="0"/>
    <x v="0"/>
    <x v="2"/>
    <x v="2"/>
    <x v="0"/>
    <x v="0"/>
    <x v="1"/>
    <x v="1"/>
    <x v="0"/>
    <n v="2"/>
    <n v="2"/>
    <n v="0"/>
    <n v="2"/>
    <x v="0"/>
    <n v="0.11187579774158009"/>
  </r>
  <r>
    <x v="7"/>
    <x v="1"/>
    <x v="1"/>
    <x v="2"/>
    <x v="0"/>
    <x v="0"/>
    <x v="0"/>
    <x v="0"/>
    <x v="0"/>
    <x v="3"/>
    <n v="5"/>
    <n v="6"/>
    <n v="0"/>
    <m/>
    <x v="1"/>
    <n v="0.36337526073388904"/>
  </r>
  <r>
    <x v="7"/>
    <x v="0"/>
    <x v="0"/>
    <x v="2"/>
    <x v="2"/>
    <x v="0"/>
    <x v="0"/>
    <x v="1"/>
    <x v="2"/>
    <x v="9"/>
    <n v="6"/>
    <n v="8"/>
    <n v="0"/>
    <m/>
    <x v="1"/>
    <n v="1.3462344695543258"/>
  </r>
  <r>
    <x v="14"/>
    <x v="0"/>
    <x v="1"/>
    <x v="2"/>
    <x v="0"/>
    <x v="0"/>
    <x v="0"/>
    <x v="0"/>
    <x v="1"/>
    <x v="7"/>
    <n v="6"/>
    <n v="8"/>
    <n v="0"/>
    <m/>
    <x v="1"/>
    <n v="0.21822273600271352"/>
  </r>
  <r>
    <x v="17"/>
    <x v="0"/>
    <x v="0"/>
    <x v="2"/>
    <x v="3"/>
    <x v="0"/>
    <x v="0"/>
    <x v="1"/>
    <x v="0"/>
    <x v="8"/>
    <n v="2"/>
    <n v="2"/>
    <n v="0"/>
    <n v="2"/>
    <x v="0"/>
    <n v="0.21753256567048707"/>
  </r>
  <r>
    <x v="7"/>
    <x v="1"/>
    <x v="0"/>
    <x v="2"/>
    <x v="2"/>
    <x v="0"/>
    <x v="1"/>
    <x v="1"/>
    <x v="0"/>
    <x v="3"/>
    <n v="1"/>
    <n v="1"/>
    <n v="0"/>
    <m/>
    <x v="1"/>
    <n v="6.0544035202992515E-2"/>
  </r>
  <r>
    <x v="15"/>
    <x v="0"/>
    <x v="1"/>
    <x v="2"/>
    <x v="3"/>
    <x v="1"/>
    <x v="0"/>
    <x v="1"/>
    <x v="2"/>
    <x v="9"/>
    <n v="1"/>
    <n v="2"/>
    <n v="0"/>
    <n v="1"/>
    <x v="0"/>
    <n v="0.54507689456356057"/>
  </r>
  <r>
    <x v="19"/>
    <x v="0"/>
    <x v="1"/>
    <x v="2"/>
    <x v="2"/>
    <x v="1"/>
    <x v="1"/>
    <x v="1"/>
    <x v="1"/>
    <x v="4"/>
    <n v="2"/>
    <n v="2"/>
    <n v="0"/>
    <m/>
    <x v="1"/>
    <n v="7.381222334130827E-2"/>
  </r>
  <r>
    <x v="3"/>
    <x v="0"/>
    <x v="1"/>
    <x v="1"/>
    <x v="0"/>
    <x v="1"/>
    <x v="0"/>
    <x v="1"/>
    <x v="1"/>
    <x v="5"/>
    <n v="1"/>
    <n v="2"/>
    <n v="0"/>
    <m/>
    <x v="1"/>
    <n v="3.7553592924621029E-2"/>
  </r>
  <r>
    <x v="6"/>
    <x v="0"/>
    <x v="1"/>
    <x v="2"/>
    <x v="1"/>
    <x v="0"/>
    <x v="0"/>
    <x v="1"/>
    <x v="2"/>
    <x v="8"/>
    <n v="1"/>
    <n v="5"/>
    <n v="0"/>
    <m/>
    <x v="1"/>
    <n v="0.62222020002798129"/>
  </r>
  <r>
    <x v="10"/>
    <x v="1"/>
    <x v="0"/>
    <x v="1"/>
    <x v="0"/>
    <x v="0"/>
    <x v="0"/>
    <x v="0"/>
    <x v="1"/>
    <x v="5"/>
    <n v="3"/>
    <n v="3"/>
    <n v="0"/>
    <m/>
    <x v="1"/>
    <n v="6.2181554602239335E-2"/>
  </r>
  <r>
    <x v="9"/>
    <x v="1"/>
    <x v="0"/>
    <x v="1"/>
    <x v="0"/>
    <x v="0"/>
    <x v="1"/>
    <x v="1"/>
    <x v="2"/>
    <x v="4"/>
    <n v="1"/>
    <n v="1"/>
    <n v="0"/>
    <n v="1"/>
    <x v="0"/>
    <n v="3.306406644322489E-2"/>
  </r>
  <r>
    <x v="0"/>
    <x v="1"/>
    <x v="0"/>
    <x v="1"/>
    <x v="2"/>
    <x v="1"/>
    <x v="1"/>
    <x v="1"/>
    <x v="1"/>
    <x v="7"/>
    <n v="1"/>
    <n v="1"/>
    <n v="0"/>
    <n v="1"/>
    <x v="0"/>
    <n v="2.811008520036597E-2"/>
  </r>
  <r>
    <x v="4"/>
    <x v="0"/>
    <x v="0"/>
    <x v="0"/>
    <x v="0"/>
    <x v="1"/>
    <x v="0"/>
    <x v="0"/>
    <x v="1"/>
    <x v="0"/>
    <n v="5"/>
    <n v="6"/>
    <n v="0"/>
    <m/>
    <x v="1"/>
    <n v="0.34182672852489143"/>
  </r>
  <r>
    <x v="14"/>
    <x v="1"/>
    <x v="1"/>
    <x v="0"/>
    <x v="0"/>
    <x v="0"/>
    <x v="0"/>
    <x v="0"/>
    <x v="1"/>
    <x v="4"/>
    <n v="9"/>
    <n v="17"/>
    <n v="0"/>
    <m/>
    <x v="1"/>
    <n v="0.53079760474191096"/>
  </r>
  <r>
    <x v="7"/>
    <x v="0"/>
    <x v="1"/>
    <x v="0"/>
    <x v="0"/>
    <x v="0"/>
    <x v="1"/>
    <x v="0"/>
    <x v="1"/>
    <x v="6"/>
    <n v="2"/>
    <n v="2"/>
    <n v="0"/>
    <m/>
    <x v="1"/>
    <n v="1.9969622697467805E-2"/>
  </r>
  <r>
    <x v="16"/>
    <x v="0"/>
    <x v="0"/>
    <x v="0"/>
    <x v="3"/>
    <x v="1"/>
    <x v="0"/>
    <x v="1"/>
    <x v="1"/>
    <x v="8"/>
    <n v="2"/>
    <n v="2"/>
    <n v="1"/>
    <m/>
    <x v="1"/>
    <n v="0.21442651361065859"/>
  </r>
  <r>
    <x v="4"/>
    <x v="1"/>
    <x v="1"/>
    <x v="0"/>
    <x v="0"/>
    <x v="1"/>
    <x v="0"/>
    <x v="0"/>
    <x v="0"/>
    <x v="8"/>
    <n v="1"/>
    <n v="1"/>
    <n v="0"/>
    <m/>
    <x v="1"/>
    <n v="8.7968370705737417E-2"/>
  </r>
  <r>
    <x v="8"/>
    <x v="0"/>
    <x v="0"/>
    <x v="2"/>
    <x v="2"/>
    <x v="0"/>
    <x v="0"/>
    <x v="1"/>
    <x v="1"/>
    <x v="0"/>
    <n v="2"/>
    <n v="2"/>
    <n v="0"/>
    <m/>
    <x v="1"/>
    <n v="0.11187579774158009"/>
  </r>
  <r>
    <x v="10"/>
    <x v="0"/>
    <x v="1"/>
    <x v="0"/>
    <x v="2"/>
    <x v="0"/>
    <x v="0"/>
    <x v="1"/>
    <x v="2"/>
    <x v="8"/>
    <n v="3"/>
    <n v="4"/>
    <n v="0"/>
    <m/>
    <x v="1"/>
    <n v="0.38602279578251464"/>
  </r>
  <r>
    <x v="17"/>
    <x v="1"/>
    <x v="0"/>
    <x v="0"/>
    <x v="2"/>
    <x v="0"/>
    <x v="0"/>
    <x v="1"/>
    <x v="0"/>
    <x v="8"/>
    <n v="6"/>
    <n v="7"/>
    <n v="0"/>
    <n v="6"/>
    <x v="0"/>
    <n v="0.65679776683741542"/>
  </r>
  <r>
    <x v="0"/>
    <x v="0"/>
    <x v="1"/>
    <x v="0"/>
    <x v="0"/>
    <x v="0"/>
    <x v="0"/>
    <x v="1"/>
    <x v="0"/>
    <x v="4"/>
    <n v="2"/>
    <n v="4"/>
    <n v="0"/>
    <n v="2"/>
    <x v="0"/>
    <n v="0.12557782849501686"/>
  </r>
  <r>
    <x v="8"/>
    <x v="1"/>
    <x v="0"/>
    <x v="0"/>
    <x v="0"/>
    <x v="0"/>
    <x v="1"/>
    <x v="0"/>
    <x v="1"/>
    <x v="7"/>
    <n v="5"/>
    <n v="6"/>
    <n v="0"/>
    <m/>
    <x v="1"/>
    <n v="0.12890738402281215"/>
  </r>
  <r>
    <x v="4"/>
    <x v="1"/>
    <x v="0"/>
    <x v="0"/>
    <x v="2"/>
    <x v="0"/>
    <x v="0"/>
    <x v="1"/>
    <x v="0"/>
    <x v="8"/>
    <n v="2"/>
    <n v="7"/>
    <n v="0"/>
    <m/>
    <x v="1"/>
    <n v="0.65679776683741542"/>
  </r>
  <r>
    <x v="10"/>
    <x v="0"/>
    <x v="1"/>
    <x v="1"/>
    <x v="0"/>
    <x v="0"/>
    <x v="1"/>
    <x v="1"/>
    <x v="0"/>
    <x v="6"/>
    <n v="1"/>
    <n v="1"/>
    <n v="0"/>
    <m/>
    <x v="1"/>
    <n v="6.9455315248842728E-3"/>
  </r>
  <r>
    <x v="21"/>
    <x v="0"/>
    <x v="1"/>
    <x v="0"/>
    <x v="3"/>
    <x v="1"/>
    <x v="0"/>
    <x v="1"/>
    <x v="2"/>
    <x v="9"/>
    <n v="1"/>
    <n v="3"/>
    <n v="0"/>
    <m/>
    <x v="1"/>
    <n v="0.66498267382666365"/>
  </r>
  <r>
    <x v="0"/>
    <x v="0"/>
    <x v="0"/>
    <x v="0"/>
    <x v="2"/>
    <x v="0"/>
    <x v="1"/>
    <x v="1"/>
    <x v="0"/>
    <x v="4"/>
    <n v="2"/>
    <n v="2"/>
    <n v="0"/>
    <n v="2"/>
    <x v="0"/>
    <n v="6.2769130013339253E-2"/>
  </r>
  <r>
    <x v="7"/>
    <x v="0"/>
    <x v="1"/>
    <x v="2"/>
    <x v="1"/>
    <x v="0"/>
    <x v="0"/>
    <x v="1"/>
    <x v="1"/>
    <x v="4"/>
    <n v="9"/>
    <n v="9"/>
    <n v="0"/>
    <m/>
    <x v="1"/>
    <n v="0.35964509960864144"/>
  </r>
  <r>
    <x v="4"/>
    <x v="0"/>
    <x v="1"/>
    <x v="0"/>
    <x v="0"/>
    <x v="0"/>
    <x v="1"/>
    <x v="1"/>
    <x v="1"/>
    <x v="6"/>
    <n v="7"/>
    <n v="7"/>
    <n v="0"/>
    <m/>
    <x v="1"/>
    <n v="6.9893679441137321E-2"/>
  </r>
  <r>
    <x v="15"/>
    <x v="0"/>
    <x v="0"/>
    <x v="0"/>
    <x v="3"/>
    <x v="1"/>
    <x v="0"/>
    <x v="1"/>
    <x v="1"/>
    <x v="8"/>
    <n v="2"/>
    <n v="2"/>
    <n v="0"/>
    <n v="2"/>
    <x v="0"/>
    <n v="0.21442651361065859"/>
  </r>
  <r>
    <x v="22"/>
    <x v="1"/>
    <x v="0"/>
    <x v="2"/>
    <x v="1"/>
    <x v="0"/>
    <x v="0"/>
    <x v="1"/>
    <x v="2"/>
    <x v="9"/>
    <n v="5"/>
    <n v="5"/>
    <n v="1"/>
    <n v="5"/>
    <x v="0"/>
    <n v="1.1815210250825221"/>
  </r>
  <r>
    <x v="5"/>
    <x v="1"/>
    <x v="0"/>
    <x v="2"/>
    <x v="0"/>
    <x v="0"/>
    <x v="1"/>
    <x v="1"/>
    <x v="1"/>
    <x v="7"/>
    <n v="5"/>
    <n v="6"/>
    <n v="0"/>
    <n v="5"/>
    <x v="0"/>
    <n v="0.16843845033642207"/>
  </r>
  <r>
    <x v="7"/>
    <x v="0"/>
    <x v="0"/>
    <x v="0"/>
    <x v="2"/>
    <x v="0"/>
    <x v="0"/>
    <x v="0"/>
    <x v="0"/>
    <x v="3"/>
    <n v="10"/>
    <n v="10"/>
    <n v="0"/>
    <m/>
    <x v="1"/>
    <n v="0.64094727704312648"/>
  </r>
  <r>
    <x v="16"/>
    <x v="0"/>
    <x v="1"/>
    <x v="0"/>
    <x v="1"/>
    <x v="1"/>
    <x v="0"/>
    <x v="1"/>
    <x v="1"/>
    <x v="0"/>
    <n v="4"/>
    <n v="10"/>
    <n v="0"/>
    <m/>
    <x v="1"/>
    <n v="0.58625353913978018"/>
  </r>
  <r>
    <x v="7"/>
    <x v="1"/>
    <x v="0"/>
    <x v="2"/>
    <x v="2"/>
    <x v="0"/>
    <x v="1"/>
    <x v="1"/>
    <x v="2"/>
    <x v="9"/>
    <n v="1"/>
    <n v="2"/>
    <n v="1"/>
    <m/>
    <x v="1"/>
    <n v="0.25286396656125659"/>
  </r>
  <r>
    <x v="20"/>
    <x v="1"/>
    <x v="1"/>
    <x v="0"/>
    <x v="0"/>
    <x v="0"/>
    <x v="0"/>
    <x v="1"/>
    <x v="1"/>
    <x v="4"/>
    <n v="7"/>
    <n v="7"/>
    <n v="0"/>
    <n v="7"/>
    <x v="0"/>
    <n v="0.21856371959961038"/>
  </r>
  <r>
    <x v="1"/>
    <x v="1"/>
    <x v="0"/>
    <x v="2"/>
    <x v="2"/>
    <x v="1"/>
    <x v="0"/>
    <x v="1"/>
    <x v="1"/>
    <x v="9"/>
    <n v="3"/>
    <n v="4"/>
    <n v="0"/>
    <n v="3"/>
    <x v="0"/>
    <n v="0.59958191401528926"/>
  </r>
  <r>
    <x v="14"/>
    <x v="0"/>
    <x v="0"/>
    <x v="2"/>
    <x v="2"/>
    <x v="0"/>
    <x v="0"/>
    <x v="1"/>
    <x v="0"/>
    <x v="1"/>
    <n v="2"/>
    <n v="4"/>
    <n v="0"/>
    <m/>
    <x v="1"/>
    <n v="0.33058612471095111"/>
  </r>
  <r>
    <x v="8"/>
    <x v="0"/>
    <x v="0"/>
    <x v="0"/>
    <x v="2"/>
    <x v="0"/>
    <x v="0"/>
    <x v="0"/>
    <x v="2"/>
    <x v="9"/>
    <n v="2"/>
    <n v="6"/>
    <n v="0"/>
    <m/>
    <x v="1"/>
    <n v="0.79979098335421683"/>
  </r>
  <r>
    <x v="12"/>
    <x v="1"/>
    <x v="0"/>
    <x v="2"/>
    <x v="1"/>
    <x v="1"/>
    <x v="0"/>
    <x v="1"/>
    <x v="0"/>
    <x v="9"/>
    <n v="2"/>
    <n v="3"/>
    <n v="0"/>
    <m/>
    <x v="1"/>
    <n v="0.63999503015723158"/>
  </r>
  <r>
    <x v="5"/>
    <x v="0"/>
    <x v="1"/>
    <x v="2"/>
    <x v="2"/>
    <x v="0"/>
    <x v="0"/>
    <x v="1"/>
    <x v="2"/>
    <x v="8"/>
    <n v="2"/>
    <n v="3"/>
    <n v="0"/>
    <n v="2"/>
    <x v="0"/>
    <n v="0.36961110781982992"/>
  </r>
  <r>
    <x v="5"/>
    <x v="0"/>
    <x v="0"/>
    <x v="0"/>
    <x v="2"/>
    <x v="1"/>
    <x v="0"/>
    <x v="1"/>
    <x v="1"/>
    <x v="1"/>
    <n v="8"/>
    <n v="11"/>
    <n v="0"/>
    <n v="7"/>
    <x v="0"/>
    <n v="0.8957561888531903"/>
  </r>
  <r>
    <x v="14"/>
    <x v="1"/>
    <x v="0"/>
    <x v="0"/>
    <x v="0"/>
    <x v="0"/>
    <x v="0"/>
    <x v="1"/>
    <x v="2"/>
    <x v="9"/>
    <n v="3"/>
    <n v="3"/>
    <n v="0"/>
    <m/>
    <x v="1"/>
    <n v="0.41036534188999013"/>
  </r>
  <r>
    <x v="19"/>
    <x v="0"/>
    <x v="0"/>
    <x v="0"/>
    <x v="2"/>
    <x v="0"/>
    <x v="1"/>
    <x v="1"/>
    <x v="1"/>
    <x v="5"/>
    <n v="4"/>
    <n v="6"/>
    <n v="0"/>
    <m/>
    <x v="1"/>
    <n v="0.12519185654614787"/>
  </r>
  <r>
    <x v="11"/>
    <x v="0"/>
    <x v="0"/>
    <x v="2"/>
    <x v="0"/>
    <x v="0"/>
    <x v="0"/>
    <x v="0"/>
    <x v="0"/>
    <x v="0"/>
    <n v="7"/>
    <n v="8"/>
    <n v="0"/>
    <m/>
    <x v="1"/>
    <n v="0.46274818401678608"/>
  </r>
  <r>
    <x v="20"/>
    <x v="1"/>
    <x v="0"/>
    <x v="2"/>
    <x v="0"/>
    <x v="0"/>
    <x v="1"/>
    <x v="1"/>
    <x v="1"/>
    <x v="7"/>
    <n v="2"/>
    <n v="2"/>
    <n v="0"/>
    <n v="2"/>
    <x v="0"/>
    <n v="5.6146150112140698E-2"/>
  </r>
  <r>
    <x v="20"/>
    <x v="1"/>
    <x v="1"/>
    <x v="0"/>
    <x v="3"/>
    <x v="1"/>
    <x v="1"/>
    <x v="1"/>
    <x v="1"/>
    <x v="0"/>
    <n v="1"/>
    <n v="1"/>
    <n v="0"/>
    <n v="1"/>
    <x v="0"/>
    <n v="5.6300632156829497E-2"/>
  </r>
  <r>
    <x v="17"/>
    <x v="1"/>
    <x v="0"/>
    <x v="0"/>
    <x v="3"/>
    <x v="1"/>
    <x v="0"/>
    <x v="1"/>
    <x v="1"/>
    <x v="9"/>
    <n v="3"/>
    <n v="3"/>
    <n v="1"/>
    <n v="3"/>
    <x v="0"/>
    <n v="0.46099571299622388"/>
  </r>
  <r>
    <x v="14"/>
    <x v="1"/>
    <x v="0"/>
    <x v="1"/>
    <x v="1"/>
    <x v="0"/>
    <x v="0"/>
    <x v="1"/>
    <x v="2"/>
    <x v="8"/>
    <n v="1"/>
    <n v="1"/>
    <n v="0"/>
    <m/>
    <x v="1"/>
    <n v="9.6883413810830737E-2"/>
  </r>
  <r>
    <x v="12"/>
    <x v="0"/>
    <x v="1"/>
    <x v="0"/>
    <x v="0"/>
    <x v="0"/>
    <x v="0"/>
    <x v="0"/>
    <x v="0"/>
    <x v="4"/>
    <n v="3"/>
    <n v="6"/>
    <n v="0"/>
    <m/>
    <x v="1"/>
    <n v="0.18836674274252529"/>
  </r>
  <r>
    <x v="16"/>
    <x v="1"/>
    <x v="0"/>
    <x v="0"/>
    <x v="3"/>
    <x v="1"/>
    <x v="0"/>
    <x v="1"/>
    <x v="1"/>
    <x v="9"/>
    <n v="2"/>
    <n v="2"/>
    <n v="0"/>
    <m/>
    <x v="1"/>
    <n v="0.30733047533081592"/>
  </r>
  <r>
    <x v="0"/>
    <x v="0"/>
    <x v="1"/>
    <x v="2"/>
    <x v="2"/>
    <x v="0"/>
    <x v="0"/>
    <x v="1"/>
    <x v="1"/>
    <x v="4"/>
    <n v="1"/>
    <n v="2"/>
    <n v="0"/>
    <n v="1"/>
    <x v="0"/>
    <n v="7.9048533545055685E-2"/>
  </r>
  <r>
    <x v="6"/>
    <x v="1"/>
    <x v="0"/>
    <x v="2"/>
    <x v="0"/>
    <x v="0"/>
    <x v="0"/>
    <x v="0"/>
    <x v="0"/>
    <x v="8"/>
    <n v="1"/>
    <n v="1"/>
    <n v="1"/>
    <m/>
    <x v="1"/>
    <n v="8.4940305954857798E-2"/>
  </r>
  <r>
    <x v="6"/>
    <x v="1"/>
    <x v="0"/>
    <x v="0"/>
    <x v="2"/>
    <x v="0"/>
    <x v="0"/>
    <x v="1"/>
    <x v="0"/>
    <x v="8"/>
    <n v="4"/>
    <n v="4"/>
    <n v="0"/>
    <m/>
    <x v="1"/>
    <n v="0.37531300962138026"/>
  </r>
  <r>
    <x v="1"/>
    <x v="1"/>
    <x v="0"/>
    <x v="1"/>
    <x v="3"/>
    <x v="0"/>
    <x v="1"/>
    <x v="1"/>
    <x v="1"/>
    <x v="5"/>
    <n v="1"/>
    <n v="1"/>
    <n v="0"/>
    <n v="1"/>
    <x v="0"/>
    <n v="1.9517393207062139E-2"/>
  </r>
  <r>
    <x v="16"/>
    <x v="1"/>
    <x v="0"/>
    <x v="0"/>
    <x v="2"/>
    <x v="0"/>
    <x v="0"/>
    <x v="1"/>
    <x v="0"/>
    <x v="8"/>
    <n v="5"/>
    <n v="6"/>
    <n v="0"/>
    <m/>
    <x v="1"/>
    <n v="0.56296951443207033"/>
  </r>
  <r>
    <x v="19"/>
    <x v="1"/>
    <x v="1"/>
    <x v="2"/>
    <x v="1"/>
    <x v="0"/>
    <x v="0"/>
    <x v="1"/>
    <x v="2"/>
    <x v="9"/>
    <n v="2"/>
    <n v="3"/>
    <n v="0"/>
    <m/>
    <x v="1"/>
    <n v="0.53064735639543148"/>
  </r>
  <r>
    <x v="15"/>
    <x v="0"/>
    <x v="0"/>
    <x v="2"/>
    <x v="0"/>
    <x v="0"/>
    <x v="0"/>
    <x v="1"/>
    <x v="0"/>
    <x v="0"/>
    <n v="4"/>
    <n v="6"/>
    <n v="0"/>
    <n v="4"/>
    <x v="0"/>
    <n v="0.34706113801258953"/>
  </r>
  <r>
    <x v="16"/>
    <x v="1"/>
    <x v="1"/>
    <x v="0"/>
    <x v="0"/>
    <x v="0"/>
    <x v="0"/>
    <x v="1"/>
    <x v="2"/>
    <x v="8"/>
    <n v="2"/>
    <n v="3"/>
    <n v="0"/>
    <m/>
    <x v="1"/>
    <n v="0.29742765276933614"/>
  </r>
  <r>
    <x v="1"/>
    <x v="0"/>
    <x v="1"/>
    <x v="1"/>
    <x v="0"/>
    <x v="1"/>
    <x v="0"/>
    <x v="0"/>
    <x v="0"/>
    <x v="7"/>
    <n v="1"/>
    <n v="1"/>
    <n v="0"/>
    <n v="1"/>
    <x v="0"/>
    <n v="2.8273531547734397E-2"/>
  </r>
  <r>
    <x v="2"/>
    <x v="1"/>
    <x v="0"/>
    <x v="2"/>
    <x v="1"/>
    <x v="0"/>
    <x v="0"/>
    <x v="1"/>
    <x v="0"/>
    <x v="8"/>
    <n v="5"/>
    <n v="12"/>
    <n v="1"/>
    <m/>
    <x v="1"/>
    <n v="1.45314436272838"/>
  </r>
  <r>
    <x v="10"/>
    <x v="0"/>
    <x v="0"/>
    <x v="0"/>
    <x v="2"/>
    <x v="0"/>
    <x v="0"/>
    <x v="1"/>
    <x v="0"/>
    <x v="3"/>
    <n v="4"/>
    <n v="6"/>
    <n v="0"/>
    <m/>
    <x v="1"/>
    <n v="0.38456836622587587"/>
  </r>
  <r>
    <x v="21"/>
    <x v="1"/>
    <x v="1"/>
    <x v="0"/>
    <x v="1"/>
    <x v="0"/>
    <x v="0"/>
    <x v="1"/>
    <x v="2"/>
    <x v="9"/>
    <n v="5"/>
    <n v="8"/>
    <n v="0"/>
    <m/>
    <x v="1"/>
    <n v="1.1233215657603777"/>
  </r>
  <r>
    <x v="7"/>
    <x v="0"/>
    <x v="0"/>
    <x v="2"/>
    <x v="1"/>
    <x v="1"/>
    <x v="0"/>
    <x v="1"/>
    <x v="1"/>
    <x v="8"/>
    <n v="5"/>
    <n v="7"/>
    <n v="0"/>
    <m/>
    <x v="1"/>
    <n v="0.73861642377633052"/>
  </r>
  <r>
    <x v="9"/>
    <x v="0"/>
    <x v="0"/>
    <x v="1"/>
    <x v="0"/>
    <x v="0"/>
    <x v="1"/>
    <x v="0"/>
    <x v="1"/>
    <x v="6"/>
    <n v="3"/>
    <n v="3"/>
    <n v="0"/>
    <n v="3"/>
    <x v="0"/>
    <n v="1.9739333835198093E-2"/>
  </r>
  <r>
    <x v="14"/>
    <x v="0"/>
    <x v="1"/>
    <x v="1"/>
    <x v="1"/>
    <x v="0"/>
    <x v="0"/>
    <x v="1"/>
    <x v="0"/>
    <x v="5"/>
    <n v="1"/>
    <n v="1"/>
    <n v="0"/>
    <m/>
    <x v="1"/>
    <n v="2.1471043341050454E-2"/>
  </r>
  <r>
    <x v="20"/>
    <x v="0"/>
    <x v="0"/>
    <x v="1"/>
    <x v="2"/>
    <x v="0"/>
    <x v="1"/>
    <x v="1"/>
    <x v="1"/>
    <x v="6"/>
    <n v="1"/>
    <n v="1"/>
    <n v="0"/>
    <n v="1"/>
    <x v="0"/>
    <n v="9.6257330475760985E-3"/>
  </r>
  <r>
    <x v="7"/>
    <x v="1"/>
    <x v="0"/>
    <x v="1"/>
    <x v="0"/>
    <x v="0"/>
    <x v="1"/>
    <x v="1"/>
    <x v="0"/>
    <x v="5"/>
    <n v="1"/>
    <n v="1"/>
    <n v="0"/>
    <m/>
    <x v="1"/>
    <n v="1.4997899225310888E-2"/>
  </r>
  <r>
    <x v="1"/>
    <x v="1"/>
    <x v="0"/>
    <x v="2"/>
    <x v="0"/>
    <x v="0"/>
    <x v="0"/>
    <x v="0"/>
    <x v="0"/>
    <x v="8"/>
    <n v="9"/>
    <n v="10"/>
    <n v="2"/>
    <n v="9"/>
    <x v="0"/>
    <n v="0.84940305954857809"/>
  </r>
  <r>
    <x v="2"/>
    <x v="0"/>
    <x v="0"/>
    <x v="1"/>
    <x v="0"/>
    <x v="0"/>
    <x v="0"/>
    <x v="1"/>
    <x v="1"/>
    <x v="6"/>
    <n v="3"/>
    <n v="6"/>
    <n v="0"/>
    <m/>
    <x v="1"/>
    <n v="8.2835701399997935E-2"/>
  </r>
  <r>
    <x v="16"/>
    <x v="0"/>
    <x v="1"/>
    <x v="0"/>
    <x v="2"/>
    <x v="0"/>
    <x v="1"/>
    <x v="1"/>
    <x v="1"/>
    <x v="5"/>
    <n v="2"/>
    <n v="2"/>
    <n v="0"/>
    <m/>
    <x v="1"/>
    <n v="2.916781368538008E-2"/>
  </r>
  <r>
    <x v="12"/>
    <x v="1"/>
    <x v="0"/>
    <x v="0"/>
    <x v="3"/>
    <x v="1"/>
    <x v="1"/>
    <x v="1"/>
    <x v="2"/>
    <x v="9"/>
    <n v="1"/>
    <n v="1"/>
    <n v="0"/>
    <m/>
    <x v="1"/>
    <n v="0.22680169202414502"/>
  </r>
  <r>
    <x v="2"/>
    <x v="1"/>
    <x v="0"/>
    <x v="0"/>
    <x v="2"/>
    <x v="1"/>
    <x v="1"/>
    <x v="1"/>
    <x v="1"/>
    <x v="3"/>
    <n v="5"/>
    <n v="5"/>
    <n v="1"/>
    <m/>
    <x v="1"/>
    <n v="0.2981674109485275"/>
  </r>
  <r>
    <x v="20"/>
    <x v="1"/>
    <x v="0"/>
    <x v="2"/>
    <x v="0"/>
    <x v="1"/>
    <x v="0"/>
    <x v="1"/>
    <x v="1"/>
    <x v="8"/>
    <n v="1"/>
    <n v="1"/>
    <n v="0"/>
    <n v="1"/>
    <x v="0"/>
    <n v="0.10727040371594192"/>
  </r>
  <r>
    <x v="12"/>
    <x v="0"/>
    <x v="1"/>
    <x v="0"/>
    <x v="2"/>
    <x v="1"/>
    <x v="0"/>
    <x v="1"/>
    <x v="1"/>
    <x v="0"/>
    <n v="1"/>
    <n v="1"/>
    <n v="0"/>
    <m/>
    <x v="1"/>
    <n v="5.7997578176727585E-2"/>
  </r>
  <r>
    <x v="4"/>
    <x v="0"/>
    <x v="1"/>
    <x v="0"/>
    <x v="2"/>
    <x v="1"/>
    <x v="0"/>
    <x v="1"/>
    <x v="1"/>
    <x v="0"/>
    <n v="3"/>
    <n v="3"/>
    <n v="0"/>
    <m/>
    <x v="1"/>
    <n v="0.17399273453018274"/>
  </r>
  <r>
    <x v="6"/>
    <x v="0"/>
    <x v="0"/>
    <x v="1"/>
    <x v="0"/>
    <x v="0"/>
    <x v="0"/>
    <x v="1"/>
    <x v="1"/>
    <x v="6"/>
    <n v="2"/>
    <n v="2"/>
    <n v="0"/>
    <m/>
    <x v="1"/>
    <n v="2.7611900466665982E-2"/>
  </r>
  <r>
    <x v="9"/>
    <x v="1"/>
    <x v="0"/>
    <x v="1"/>
    <x v="0"/>
    <x v="0"/>
    <x v="0"/>
    <x v="0"/>
    <x v="1"/>
    <x v="5"/>
    <n v="7"/>
    <n v="8"/>
    <n v="0"/>
    <n v="7"/>
    <x v="0"/>
    <n v="0.16581747893930487"/>
  </r>
  <r>
    <x v="20"/>
    <x v="1"/>
    <x v="0"/>
    <x v="0"/>
    <x v="2"/>
    <x v="0"/>
    <x v="1"/>
    <x v="1"/>
    <x v="2"/>
    <x v="8"/>
    <n v="4"/>
    <n v="5"/>
    <n v="0"/>
    <n v="4"/>
    <x v="0"/>
    <n v="0.49556748156398495"/>
  </r>
  <r>
    <x v="10"/>
    <x v="0"/>
    <x v="0"/>
    <x v="0"/>
    <x v="3"/>
    <x v="1"/>
    <x v="0"/>
    <x v="0"/>
    <x v="1"/>
    <x v="8"/>
    <n v="1"/>
    <n v="1"/>
    <n v="0"/>
    <m/>
    <x v="1"/>
    <n v="0.1072132568053293"/>
  </r>
  <r>
    <x v="21"/>
    <x v="0"/>
    <x v="0"/>
    <x v="0"/>
    <x v="0"/>
    <x v="0"/>
    <x v="0"/>
    <x v="1"/>
    <x v="0"/>
    <x v="0"/>
    <n v="2"/>
    <n v="6"/>
    <n v="0"/>
    <m/>
    <x v="1"/>
    <n v="0.26753205369045752"/>
  </r>
  <r>
    <x v="15"/>
    <x v="0"/>
    <x v="0"/>
    <x v="2"/>
    <x v="3"/>
    <x v="1"/>
    <x v="1"/>
    <x v="1"/>
    <x v="0"/>
    <x v="8"/>
    <n v="1"/>
    <n v="1"/>
    <n v="0"/>
    <n v="1"/>
    <x v="0"/>
    <n v="0.10204874735038927"/>
  </r>
  <r>
    <x v="18"/>
    <x v="0"/>
    <x v="0"/>
    <x v="2"/>
    <x v="1"/>
    <x v="0"/>
    <x v="0"/>
    <x v="1"/>
    <x v="0"/>
    <x v="1"/>
    <n v="4"/>
    <n v="5"/>
    <n v="0"/>
    <m/>
    <x v="1"/>
    <n v="0.4175872833010697"/>
  </r>
  <r>
    <x v="14"/>
    <x v="0"/>
    <x v="0"/>
    <x v="0"/>
    <x v="0"/>
    <x v="0"/>
    <x v="0"/>
    <x v="1"/>
    <x v="0"/>
    <x v="0"/>
    <n v="2"/>
    <n v="4"/>
    <n v="0"/>
    <m/>
    <x v="1"/>
    <n v="0.17835470246030499"/>
  </r>
  <r>
    <x v="0"/>
    <x v="1"/>
    <x v="0"/>
    <x v="1"/>
    <x v="1"/>
    <x v="0"/>
    <x v="0"/>
    <x v="1"/>
    <x v="1"/>
    <x v="4"/>
    <n v="5"/>
    <n v="5"/>
    <n v="1"/>
    <n v="5"/>
    <x v="0"/>
    <n v="0.15229789876830657"/>
  </r>
  <r>
    <x v="14"/>
    <x v="0"/>
    <x v="1"/>
    <x v="0"/>
    <x v="0"/>
    <x v="1"/>
    <x v="0"/>
    <x v="0"/>
    <x v="1"/>
    <x v="4"/>
    <n v="3"/>
    <n v="3"/>
    <n v="0"/>
    <m/>
    <x v="1"/>
    <n v="0.12080173903150901"/>
  </r>
  <r>
    <x v="6"/>
    <x v="0"/>
    <x v="0"/>
    <x v="0"/>
    <x v="1"/>
    <x v="0"/>
    <x v="0"/>
    <x v="0"/>
    <x v="0"/>
    <x v="1"/>
    <n v="2"/>
    <n v="3"/>
    <n v="0"/>
    <m/>
    <x v="1"/>
    <n v="0.19435188382958851"/>
  </r>
  <r>
    <x v="9"/>
    <x v="0"/>
    <x v="0"/>
    <x v="0"/>
    <x v="0"/>
    <x v="1"/>
    <x v="1"/>
    <x v="1"/>
    <x v="1"/>
    <x v="7"/>
    <n v="3"/>
    <n v="3"/>
    <n v="0"/>
    <n v="3"/>
    <x v="0"/>
    <n v="8.3365451563734885E-2"/>
  </r>
  <r>
    <x v="21"/>
    <x v="0"/>
    <x v="1"/>
    <x v="1"/>
    <x v="1"/>
    <x v="0"/>
    <x v="0"/>
    <x v="1"/>
    <x v="1"/>
    <x v="6"/>
    <n v="3"/>
    <n v="4"/>
    <n v="0"/>
    <m/>
    <x v="1"/>
    <n v="5.6902926035397941E-2"/>
  </r>
  <r>
    <x v="15"/>
    <x v="0"/>
    <x v="0"/>
    <x v="0"/>
    <x v="2"/>
    <x v="1"/>
    <x v="0"/>
    <x v="0"/>
    <x v="1"/>
    <x v="1"/>
    <n v="5"/>
    <n v="6"/>
    <n v="0"/>
    <n v="5"/>
    <x v="0"/>
    <n v="0.4885942848290129"/>
  </r>
  <r>
    <x v="12"/>
    <x v="1"/>
    <x v="1"/>
    <x v="2"/>
    <x v="1"/>
    <x v="1"/>
    <x v="0"/>
    <x v="1"/>
    <x v="1"/>
    <x v="8"/>
    <n v="3"/>
    <n v="3"/>
    <n v="0"/>
    <m/>
    <x v="1"/>
    <n v="0.33064334821554664"/>
  </r>
  <r>
    <x v="15"/>
    <x v="1"/>
    <x v="0"/>
    <x v="0"/>
    <x v="2"/>
    <x v="1"/>
    <x v="0"/>
    <x v="0"/>
    <x v="0"/>
    <x v="9"/>
    <n v="1"/>
    <n v="1"/>
    <n v="0"/>
    <n v="1"/>
    <x v="0"/>
    <n v="0.1692962067399281"/>
  </r>
  <r>
    <x v="2"/>
    <x v="0"/>
    <x v="1"/>
    <x v="0"/>
    <x v="1"/>
    <x v="1"/>
    <x v="0"/>
    <x v="1"/>
    <x v="0"/>
    <x v="8"/>
    <n v="3"/>
    <n v="3"/>
    <n v="0"/>
    <m/>
    <x v="1"/>
    <n v="0.25949877791856496"/>
  </r>
  <r>
    <x v="6"/>
    <x v="0"/>
    <x v="0"/>
    <x v="2"/>
    <x v="1"/>
    <x v="1"/>
    <x v="0"/>
    <x v="1"/>
    <x v="2"/>
    <x v="9"/>
    <n v="3"/>
    <n v="4"/>
    <n v="0"/>
    <m/>
    <x v="1"/>
    <n v="1.1485728730031477"/>
  </r>
  <r>
    <x v="17"/>
    <x v="1"/>
    <x v="0"/>
    <x v="2"/>
    <x v="1"/>
    <x v="0"/>
    <x v="0"/>
    <x v="1"/>
    <x v="2"/>
    <x v="9"/>
    <n v="5"/>
    <n v="9"/>
    <n v="1"/>
    <n v="5"/>
    <x v="0"/>
    <n v="2.1267378451485399"/>
  </r>
  <r>
    <x v="8"/>
    <x v="0"/>
    <x v="0"/>
    <x v="1"/>
    <x v="0"/>
    <x v="0"/>
    <x v="1"/>
    <x v="0"/>
    <x v="1"/>
    <x v="6"/>
    <n v="1"/>
    <n v="1"/>
    <n v="0"/>
    <m/>
    <x v="1"/>
    <n v="6.57977794506603E-3"/>
  </r>
  <r>
    <x v="10"/>
    <x v="0"/>
    <x v="0"/>
    <x v="1"/>
    <x v="1"/>
    <x v="0"/>
    <x v="0"/>
    <x v="1"/>
    <x v="0"/>
    <x v="4"/>
    <n v="3"/>
    <n v="3"/>
    <n v="0"/>
    <m/>
    <x v="1"/>
    <n v="9.1879787574193156E-2"/>
  </r>
  <r>
    <x v="20"/>
    <x v="0"/>
    <x v="0"/>
    <x v="2"/>
    <x v="2"/>
    <x v="0"/>
    <x v="1"/>
    <x v="1"/>
    <x v="1"/>
    <x v="7"/>
    <n v="1"/>
    <n v="1"/>
    <n v="0"/>
    <n v="1"/>
    <x v="0"/>
    <n v="2.7269210474849294E-2"/>
  </r>
  <r>
    <x v="18"/>
    <x v="1"/>
    <x v="0"/>
    <x v="2"/>
    <x v="2"/>
    <x v="0"/>
    <x v="0"/>
    <x v="1"/>
    <x v="2"/>
    <x v="9"/>
    <n v="4"/>
    <n v="4"/>
    <n v="0"/>
    <m/>
    <x v="1"/>
    <n v="0.93698895724395781"/>
  </r>
  <r>
    <x v="0"/>
    <x v="0"/>
    <x v="0"/>
    <x v="1"/>
    <x v="2"/>
    <x v="1"/>
    <x v="1"/>
    <x v="0"/>
    <x v="1"/>
    <x v="5"/>
    <n v="1"/>
    <n v="1"/>
    <n v="0"/>
    <n v="1"/>
    <x v="0"/>
    <n v="1.8770803012868077E-2"/>
  </r>
  <r>
    <x v="17"/>
    <x v="1"/>
    <x v="0"/>
    <x v="1"/>
    <x v="2"/>
    <x v="0"/>
    <x v="1"/>
    <x v="0"/>
    <x v="2"/>
    <x v="0"/>
    <n v="1"/>
    <n v="1"/>
    <n v="0"/>
    <n v="1"/>
    <x v="0"/>
    <n v="4.778062262691999E-2"/>
  </r>
  <r>
    <x v="3"/>
    <x v="0"/>
    <x v="0"/>
    <x v="0"/>
    <x v="0"/>
    <x v="1"/>
    <x v="0"/>
    <x v="0"/>
    <x v="1"/>
    <x v="0"/>
    <n v="7"/>
    <n v="8"/>
    <n v="0"/>
    <m/>
    <x v="1"/>
    <n v="0.45576897136652189"/>
  </r>
  <r>
    <x v="8"/>
    <x v="1"/>
    <x v="0"/>
    <x v="2"/>
    <x v="0"/>
    <x v="0"/>
    <x v="0"/>
    <x v="1"/>
    <x v="1"/>
    <x v="0"/>
    <n v="8"/>
    <n v="14"/>
    <n v="0"/>
    <m/>
    <x v="1"/>
    <n v="0.80551652028098641"/>
  </r>
  <r>
    <x v="20"/>
    <x v="1"/>
    <x v="0"/>
    <x v="1"/>
    <x v="0"/>
    <x v="0"/>
    <x v="0"/>
    <x v="0"/>
    <x v="1"/>
    <x v="5"/>
    <n v="4"/>
    <n v="5"/>
    <n v="0"/>
    <n v="4"/>
    <x v="0"/>
    <n v="0.10363592433706556"/>
  </r>
  <r>
    <x v="20"/>
    <x v="1"/>
    <x v="0"/>
    <x v="0"/>
    <x v="2"/>
    <x v="0"/>
    <x v="1"/>
    <x v="1"/>
    <x v="1"/>
    <x v="4"/>
    <n v="4"/>
    <n v="4"/>
    <n v="0"/>
    <n v="4"/>
    <x v="0"/>
    <n v="0.1248541942493863"/>
  </r>
  <r>
    <x v="1"/>
    <x v="0"/>
    <x v="1"/>
    <x v="0"/>
    <x v="2"/>
    <x v="0"/>
    <x v="0"/>
    <x v="1"/>
    <x v="1"/>
    <x v="7"/>
    <n v="5"/>
    <n v="6"/>
    <n v="0"/>
    <n v="5"/>
    <x v="0"/>
    <n v="0.18199278503916333"/>
  </r>
  <r>
    <x v="1"/>
    <x v="1"/>
    <x v="0"/>
    <x v="2"/>
    <x v="0"/>
    <x v="1"/>
    <x v="1"/>
    <x v="0"/>
    <x v="1"/>
    <x v="0"/>
    <n v="1"/>
    <n v="1"/>
    <n v="0"/>
    <n v="1"/>
    <x v="0"/>
    <n v="5.3792377530532454E-2"/>
  </r>
  <r>
    <x v="0"/>
    <x v="0"/>
    <x v="0"/>
    <x v="0"/>
    <x v="2"/>
    <x v="1"/>
    <x v="1"/>
    <x v="1"/>
    <x v="1"/>
    <x v="4"/>
    <n v="4"/>
    <n v="5"/>
    <n v="0"/>
    <n v="4"/>
    <x v="0"/>
    <n v="0.20127337339092383"/>
  </r>
  <r>
    <x v="19"/>
    <x v="0"/>
    <x v="0"/>
    <x v="0"/>
    <x v="2"/>
    <x v="1"/>
    <x v="0"/>
    <x v="0"/>
    <x v="2"/>
    <x v="9"/>
    <n v="4"/>
    <n v="4"/>
    <n v="0"/>
    <m/>
    <x v="1"/>
    <n v="0.9294890506787874"/>
  </r>
  <r>
    <x v="5"/>
    <x v="0"/>
    <x v="1"/>
    <x v="0"/>
    <x v="2"/>
    <x v="1"/>
    <x v="0"/>
    <x v="0"/>
    <x v="2"/>
    <x v="9"/>
    <n v="1"/>
    <n v="2"/>
    <n v="0"/>
    <n v="1"/>
    <x v="0"/>
    <n v="0.34742868800139037"/>
  </r>
  <r>
    <x v="15"/>
    <x v="1"/>
    <x v="0"/>
    <x v="0"/>
    <x v="2"/>
    <x v="0"/>
    <x v="0"/>
    <x v="0"/>
    <x v="1"/>
    <x v="3"/>
    <n v="3"/>
    <n v="3"/>
    <n v="0"/>
    <n v="3"/>
    <x v="0"/>
    <n v="0.19127161148809305"/>
  </r>
  <r>
    <x v="17"/>
    <x v="1"/>
    <x v="0"/>
    <x v="2"/>
    <x v="0"/>
    <x v="1"/>
    <x v="0"/>
    <x v="1"/>
    <x v="1"/>
    <x v="8"/>
    <n v="1"/>
    <n v="1"/>
    <n v="0"/>
    <n v="1"/>
    <x v="0"/>
    <n v="0.10727040371594192"/>
  </r>
  <r>
    <x v="13"/>
    <x v="0"/>
    <x v="1"/>
    <x v="2"/>
    <x v="0"/>
    <x v="0"/>
    <x v="0"/>
    <x v="0"/>
    <x v="0"/>
    <x v="4"/>
    <n v="1"/>
    <n v="1"/>
    <n v="1"/>
    <m/>
    <x v="1"/>
    <n v="4.089495301709424E-2"/>
  </r>
  <r>
    <x v="9"/>
    <x v="0"/>
    <x v="0"/>
    <x v="0"/>
    <x v="2"/>
    <x v="1"/>
    <x v="0"/>
    <x v="1"/>
    <x v="0"/>
    <x v="8"/>
    <n v="2"/>
    <n v="2"/>
    <n v="0"/>
    <n v="2"/>
    <x v="0"/>
    <n v="0.23756451250297758"/>
  </r>
  <r>
    <x v="12"/>
    <x v="0"/>
    <x v="1"/>
    <x v="2"/>
    <x v="0"/>
    <x v="0"/>
    <x v="1"/>
    <x v="0"/>
    <x v="1"/>
    <x v="6"/>
    <n v="1"/>
    <n v="1"/>
    <n v="0"/>
    <m/>
    <x v="1"/>
    <n v="1.3093969311862536E-2"/>
  </r>
  <r>
    <x v="1"/>
    <x v="1"/>
    <x v="1"/>
    <x v="0"/>
    <x v="2"/>
    <x v="0"/>
    <x v="1"/>
    <x v="1"/>
    <x v="2"/>
    <x v="1"/>
    <n v="2"/>
    <n v="3"/>
    <n v="1"/>
    <n v="2"/>
    <x v="0"/>
    <n v="0.21295076104061192"/>
  </r>
  <r>
    <x v="8"/>
    <x v="0"/>
    <x v="1"/>
    <x v="0"/>
    <x v="0"/>
    <x v="0"/>
    <x v="0"/>
    <x v="1"/>
    <x v="0"/>
    <x v="4"/>
    <n v="1"/>
    <n v="1"/>
    <n v="0"/>
    <m/>
    <x v="1"/>
    <n v="3.1394457123754216E-2"/>
  </r>
  <r>
    <x v="22"/>
    <x v="0"/>
    <x v="0"/>
    <x v="2"/>
    <x v="1"/>
    <x v="1"/>
    <x v="0"/>
    <x v="1"/>
    <x v="0"/>
    <x v="9"/>
    <n v="2"/>
    <n v="3"/>
    <n v="1"/>
    <n v="2"/>
    <x v="0"/>
    <n v="0.45625225935569513"/>
  </r>
  <r>
    <x v="0"/>
    <x v="1"/>
    <x v="0"/>
    <x v="2"/>
    <x v="1"/>
    <x v="1"/>
    <x v="0"/>
    <x v="1"/>
    <x v="2"/>
    <x v="9"/>
    <n v="1"/>
    <n v="4"/>
    <n v="0"/>
    <n v="1"/>
    <x v="0"/>
    <n v="1.5140091514087373"/>
  </r>
  <r>
    <x v="1"/>
    <x v="0"/>
    <x v="1"/>
    <x v="2"/>
    <x v="1"/>
    <x v="1"/>
    <x v="0"/>
    <x v="1"/>
    <x v="0"/>
    <x v="8"/>
    <n v="4"/>
    <n v="5"/>
    <n v="0"/>
    <n v="4"/>
    <x v="0"/>
    <n v="0.55384407687173709"/>
  </r>
  <r>
    <x v="0"/>
    <x v="1"/>
    <x v="1"/>
    <x v="1"/>
    <x v="0"/>
    <x v="1"/>
    <x v="0"/>
    <x v="0"/>
    <x v="1"/>
    <x v="7"/>
    <n v="2"/>
    <n v="2"/>
    <n v="0"/>
    <n v="2"/>
    <x v="0"/>
    <n v="5.623795038797403E-2"/>
  </r>
  <r>
    <x v="8"/>
    <x v="0"/>
    <x v="0"/>
    <x v="1"/>
    <x v="0"/>
    <x v="0"/>
    <x v="0"/>
    <x v="1"/>
    <x v="1"/>
    <x v="6"/>
    <n v="2"/>
    <n v="2"/>
    <n v="0"/>
    <m/>
    <x v="1"/>
    <n v="2.7611900466665982E-2"/>
  </r>
  <r>
    <x v="22"/>
    <x v="0"/>
    <x v="0"/>
    <x v="1"/>
    <x v="1"/>
    <x v="1"/>
    <x v="0"/>
    <x v="1"/>
    <x v="1"/>
    <x v="4"/>
    <n v="4"/>
    <n v="4"/>
    <n v="0"/>
    <n v="4"/>
    <x v="0"/>
    <n v="0.15716469251542403"/>
  </r>
  <r>
    <x v="1"/>
    <x v="1"/>
    <x v="0"/>
    <x v="0"/>
    <x v="0"/>
    <x v="0"/>
    <x v="1"/>
    <x v="0"/>
    <x v="0"/>
    <x v="4"/>
    <n v="3"/>
    <n v="3"/>
    <n v="0"/>
    <n v="3"/>
    <x v="0"/>
    <n v="9.6917149150967677E-2"/>
  </r>
  <r>
    <x v="14"/>
    <x v="0"/>
    <x v="0"/>
    <x v="0"/>
    <x v="2"/>
    <x v="0"/>
    <x v="1"/>
    <x v="1"/>
    <x v="0"/>
    <x v="4"/>
    <n v="3"/>
    <n v="5"/>
    <n v="0"/>
    <m/>
    <x v="1"/>
    <n v="0.15692282503334812"/>
  </r>
  <r>
    <x v="0"/>
    <x v="1"/>
    <x v="0"/>
    <x v="0"/>
    <x v="2"/>
    <x v="0"/>
    <x v="0"/>
    <x v="0"/>
    <x v="0"/>
    <x v="8"/>
    <n v="3"/>
    <n v="3"/>
    <n v="1"/>
    <n v="3"/>
    <x v="0"/>
    <n v="0.28148475721603516"/>
  </r>
  <r>
    <x v="6"/>
    <x v="1"/>
    <x v="0"/>
    <x v="0"/>
    <x v="1"/>
    <x v="1"/>
    <x v="0"/>
    <x v="1"/>
    <x v="0"/>
    <x v="9"/>
    <n v="3"/>
    <n v="5"/>
    <n v="1"/>
    <m/>
    <x v="1"/>
    <n v="0.85455061524630627"/>
  </r>
  <r>
    <x v="5"/>
    <x v="0"/>
    <x v="0"/>
    <x v="2"/>
    <x v="2"/>
    <x v="0"/>
    <x v="0"/>
    <x v="0"/>
    <x v="0"/>
    <x v="1"/>
    <n v="1"/>
    <n v="2"/>
    <n v="0"/>
    <n v="1"/>
    <x v="0"/>
    <n v="0.16529306235547556"/>
  </r>
  <r>
    <x v="1"/>
    <x v="0"/>
    <x v="0"/>
    <x v="1"/>
    <x v="3"/>
    <x v="1"/>
    <x v="0"/>
    <x v="0"/>
    <x v="0"/>
    <x v="1"/>
    <n v="1"/>
    <n v="1"/>
    <n v="0"/>
    <n v="1"/>
    <x v="0"/>
    <n v="7.6876723979707504E-2"/>
  </r>
  <r>
    <x v="2"/>
    <x v="1"/>
    <x v="1"/>
    <x v="0"/>
    <x v="1"/>
    <x v="1"/>
    <x v="0"/>
    <x v="1"/>
    <x v="2"/>
    <x v="9"/>
    <n v="1"/>
    <n v="1"/>
    <n v="0"/>
    <m/>
    <x v="1"/>
    <n v="0.24329361132019353"/>
  </r>
  <r>
    <x v="21"/>
    <x v="0"/>
    <x v="1"/>
    <x v="1"/>
    <x v="0"/>
    <x v="0"/>
    <x v="1"/>
    <x v="1"/>
    <x v="0"/>
    <x v="6"/>
    <n v="1"/>
    <n v="1"/>
    <n v="0"/>
    <m/>
    <x v="1"/>
    <n v="6.9455315248842728E-3"/>
  </r>
  <r>
    <x v="8"/>
    <x v="1"/>
    <x v="0"/>
    <x v="0"/>
    <x v="3"/>
    <x v="1"/>
    <x v="0"/>
    <x v="0"/>
    <x v="1"/>
    <x v="9"/>
    <n v="1"/>
    <n v="1"/>
    <n v="0"/>
    <m/>
    <x v="1"/>
    <n v="0.15366523766540796"/>
  </r>
  <r>
    <x v="17"/>
    <x v="0"/>
    <x v="1"/>
    <x v="1"/>
    <x v="0"/>
    <x v="0"/>
    <x v="0"/>
    <x v="1"/>
    <x v="1"/>
    <x v="6"/>
    <n v="2"/>
    <n v="2"/>
    <n v="0"/>
    <n v="2"/>
    <x v="0"/>
    <n v="1.9257670326452481E-2"/>
  </r>
  <r>
    <x v="12"/>
    <x v="1"/>
    <x v="0"/>
    <x v="0"/>
    <x v="3"/>
    <x v="0"/>
    <x v="1"/>
    <x v="1"/>
    <x v="2"/>
    <x v="9"/>
    <n v="1"/>
    <n v="1"/>
    <n v="0"/>
    <m/>
    <x v="1"/>
    <n v="0.12970168387961117"/>
  </r>
  <r>
    <x v="11"/>
    <x v="0"/>
    <x v="1"/>
    <x v="0"/>
    <x v="3"/>
    <x v="0"/>
    <x v="0"/>
    <x v="1"/>
    <x v="1"/>
    <x v="4"/>
    <n v="1"/>
    <n v="1"/>
    <n v="0"/>
    <m/>
    <x v="1"/>
    <n v="4.0651005805418881E-2"/>
  </r>
  <r>
    <x v="0"/>
    <x v="0"/>
    <x v="0"/>
    <x v="1"/>
    <x v="0"/>
    <x v="0"/>
    <x v="0"/>
    <x v="1"/>
    <x v="1"/>
    <x v="6"/>
    <n v="2"/>
    <n v="2"/>
    <n v="0"/>
    <n v="1"/>
    <x v="0"/>
    <n v="2.7611900466665982E-2"/>
  </r>
  <r>
    <x v="6"/>
    <x v="1"/>
    <x v="1"/>
    <x v="0"/>
    <x v="1"/>
    <x v="0"/>
    <x v="0"/>
    <x v="1"/>
    <x v="2"/>
    <x v="9"/>
    <n v="3"/>
    <n v="3"/>
    <n v="0"/>
    <m/>
    <x v="1"/>
    <n v="0.42124558716014165"/>
  </r>
  <r>
    <x v="10"/>
    <x v="0"/>
    <x v="1"/>
    <x v="0"/>
    <x v="2"/>
    <x v="0"/>
    <x v="0"/>
    <x v="1"/>
    <x v="0"/>
    <x v="0"/>
    <n v="1"/>
    <n v="1"/>
    <n v="0"/>
    <m/>
    <x v="1"/>
    <n v="4.540277721734616E-2"/>
  </r>
  <r>
    <x v="9"/>
    <x v="0"/>
    <x v="1"/>
    <x v="2"/>
    <x v="1"/>
    <x v="1"/>
    <x v="0"/>
    <x v="1"/>
    <x v="0"/>
    <x v="8"/>
    <n v="1"/>
    <n v="1"/>
    <n v="0"/>
    <n v="1"/>
    <x v="0"/>
    <n v="0.11076881537434741"/>
  </r>
  <r>
    <x v="11"/>
    <x v="0"/>
    <x v="0"/>
    <x v="1"/>
    <x v="3"/>
    <x v="1"/>
    <x v="1"/>
    <x v="1"/>
    <x v="0"/>
    <x v="4"/>
    <n v="1"/>
    <n v="1"/>
    <n v="0"/>
    <m/>
    <x v="1"/>
    <n v="3.7907598023617026E-2"/>
  </r>
  <r>
    <x v="2"/>
    <x v="1"/>
    <x v="1"/>
    <x v="2"/>
    <x v="3"/>
    <x v="1"/>
    <x v="1"/>
    <x v="1"/>
    <x v="2"/>
    <x v="9"/>
    <n v="1"/>
    <n v="1"/>
    <n v="0"/>
    <m/>
    <x v="1"/>
    <n v="0.21135260968507869"/>
  </r>
  <r>
    <x v="14"/>
    <x v="0"/>
    <x v="1"/>
    <x v="1"/>
    <x v="3"/>
    <x v="1"/>
    <x v="1"/>
    <x v="1"/>
    <x v="0"/>
    <x v="7"/>
    <n v="1"/>
    <n v="1"/>
    <n v="0"/>
    <m/>
    <x v="1"/>
    <n v="2.6635259430474494E-2"/>
  </r>
  <r>
    <x v="9"/>
    <x v="0"/>
    <x v="1"/>
    <x v="0"/>
    <x v="0"/>
    <x v="1"/>
    <x v="0"/>
    <x v="0"/>
    <x v="1"/>
    <x v="4"/>
    <n v="3"/>
    <n v="3"/>
    <n v="0"/>
    <n v="3"/>
    <x v="0"/>
    <n v="0.12080173903150901"/>
  </r>
  <r>
    <x v="5"/>
    <x v="0"/>
    <x v="1"/>
    <x v="0"/>
    <x v="2"/>
    <x v="1"/>
    <x v="0"/>
    <x v="1"/>
    <x v="1"/>
    <x v="0"/>
    <n v="2"/>
    <n v="3"/>
    <n v="0"/>
    <n v="2"/>
    <x v="0"/>
    <n v="0.17399273453018274"/>
  </r>
  <r>
    <x v="8"/>
    <x v="0"/>
    <x v="1"/>
    <x v="0"/>
    <x v="0"/>
    <x v="0"/>
    <x v="0"/>
    <x v="1"/>
    <x v="1"/>
    <x v="5"/>
    <n v="7"/>
    <n v="11"/>
    <n v="0"/>
    <m/>
    <x v="1"/>
    <n v="0.22959153158244705"/>
  </r>
  <r>
    <x v="3"/>
    <x v="1"/>
    <x v="0"/>
    <x v="1"/>
    <x v="0"/>
    <x v="0"/>
    <x v="1"/>
    <x v="1"/>
    <x v="1"/>
    <x v="6"/>
    <n v="3"/>
    <n v="4"/>
    <n v="0"/>
    <m/>
    <x v="1"/>
    <n v="3.9659159156359182E-2"/>
  </r>
  <r>
    <x v="12"/>
    <x v="1"/>
    <x v="1"/>
    <x v="2"/>
    <x v="0"/>
    <x v="0"/>
    <x v="1"/>
    <x v="1"/>
    <x v="1"/>
    <x v="5"/>
    <n v="1"/>
    <n v="2"/>
    <n v="0"/>
    <m/>
    <x v="1"/>
    <n v="3.9330778607370831E-2"/>
  </r>
  <r>
    <x v="14"/>
    <x v="0"/>
    <x v="0"/>
    <x v="0"/>
    <x v="0"/>
    <x v="1"/>
    <x v="0"/>
    <x v="0"/>
    <x v="2"/>
    <x v="9"/>
    <n v="1"/>
    <n v="1"/>
    <n v="0"/>
    <m/>
    <x v="1"/>
    <n v="0.1710116934768498"/>
  </r>
  <r>
    <x v="9"/>
    <x v="0"/>
    <x v="0"/>
    <x v="0"/>
    <x v="3"/>
    <x v="0"/>
    <x v="1"/>
    <x v="1"/>
    <x v="2"/>
    <x v="8"/>
    <n v="1"/>
    <n v="1"/>
    <n v="0"/>
    <n v="1"/>
    <x v="0"/>
    <n v="8.9725737736983821E-2"/>
  </r>
  <r>
    <x v="1"/>
    <x v="1"/>
    <x v="0"/>
    <x v="0"/>
    <x v="2"/>
    <x v="0"/>
    <x v="1"/>
    <x v="0"/>
    <x v="0"/>
    <x v="0"/>
    <n v="1"/>
    <n v="1"/>
    <n v="0"/>
    <n v="1"/>
    <x v="0"/>
    <n v="4.6701039199944734E-2"/>
  </r>
  <r>
    <x v="20"/>
    <x v="1"/>
    <x v="0"/>
    <x v="0"/>
    <x v="3"/>
    <x v="1"/>
    <x v="1"/>
    <x v="1"/>
    <x v="2"/>
    <x v="9"/>
    <n v="1"/>
    <n v="1"/>
    <n v="0"/>
    <n v="1"/>
    <x v="0"/>
    <n v="0.22680169202414502"/>
  </r>
  <r>
    <x v="17"/>
    <x v="0"/>
    <x v="1"/>
    <x v="2"/>
    <x v="3"/>
    <x v="0"/>
    <x v="0"/>
    <x v="1"/>
    <x v="2"/>
    <x v="9"/>
    <n v="1"/>
    <n v="1"/>
    <n v="0"/>
    <n v="1"/>
    <x v="0"/>
    <n v="0.15990690671494345"/>
  </r>
  <r>
    <x v="8"/>
    <x v="1"/>
    <x v="1"/>
    <x v="0"/>
    <x v="2"/>
    <x v="0"/>
    <x v="0"/>
    <x v="1"/>
    <x v="1"/>
    <x v="0"/>
    <n v="2"/>
    <n v="3"/>
    <n v="0"/>
    <m/>
    <x v="1"/>
    <n v="0.13547680784598942"/>
  </r>
  <r>
    <x v="4"/>
    <x v="0"/>
    <x v="0"/>
    <x v="0"/>
    <x v="3"/>
    <x v="0"/>
    <x v="1"/>
    <x v="1"/>
    <x v="2"/>
    <x v="8"/>
    <n v="1"/>
    <n v="3"/>
    <n v="0"/>
    <m/>
    <x v="1"/>
    <n v="0.2691772132109515"/>
  </r>
  <r>
    <x v="14"/>
    <x v="1"/>
    <x v="1"/>
    <x v="0"/>
    <x v="2"/>
    <x v="0"/>
    <x v="0"/>
    <x v="0"/>
    <x v="1"/>
    <x v="0"/>
    <n v="1"/>
    <n v="1"/>
    <n v="0"/>
    <m/>
    <x v="1"/>
    <n v="4.5158935948663145E-2"/>
  </r>
  <r>
    <x v="10"/>
    <x v="0"/>
    <x v="0"/>
    <x v="0"/>
    <x v="2"/>
    <x v="1"/>
    <x v="1"/>
    <x v="1"/>
    <x v="0"/>
    <x v="3"/>
    <n v="2"/>
    <n v="3"/>
    <n v="0"/>
    <m/>
    <x v="1"/>
    <n v="0.17985172019451962"/>
  </r>
  <r>
    <x v="12"/>
    <x v="1"/>
    <x v="0"/>
    <x v="0"/>
    <x v="2"/>
    <x v="0"/>
    <x v="0"/>
    <x v="0"/>
    <x v="0"/>
    <x v="8"/>
    <n v="1"/>
    <n v="2"/>
    <n v="0"/>
    <m/>
    <x v="1"/>
    <n v="0.18765650481069013"/>
  </r>
  <r>
    <x v="20"/>
    <x v="0"/>
    <x v="0"/>
    <x v="1"/>
    <x v="0"/>
    <x v="1"/>
    <x v="0"/>
    <x v="0"/>
    <x v="0"/>
    <x v="4"/>
    <n v="2"/>
    <n v="2"/>
    <n v="0"/>
    <n v="2"/>
    <x v="0"/>
    <n v="8.0421125741101357E-2"/>
  </r>
  <r>
    <x v="14"/>
    <x v="1"/>
    <x v="0"/>
    <x v="2"/>
    <x v="2"/>
    <x v="1"/>
    <x v="0"/>
    <x v="1"/>
    <x v="1"/>
    <x v="9"/>
    <n v="1"/>
    <n v="1"/>
    <n v="0"/>
    <m/>
    <x v="1"/>
    <n v="0.14989547850382232"/>
  </r>
  <r>
    <x v="15"/>
    <x v="0"/>
    <x v="0"/>
    <x v="0"/>
    <x v="0"/>
    <x v="0"/>
    <x v="1"/>
    <x v="0"/>
    <x v="2"/>
    <x v="0"/>
    <n v="2"/>
    <n v="2"/>
    <n v="0"/>
    <n v="2"/>
    <x v="0"/>
    <n v="9.4489829543465659E-2"/>
  </r>
  <r>
    <x v="10"/>
    <x v="0"/>
    <x v="0"/>
    <x v="0"/>
    <x v="2"/>
    <x v="1"/>
    <x v="0"/>
    <x v="0"/>
    <x v="2"/>
    <x v="9"/>
    <n v="1"/>
    <n v="2"/>
    <n v="0"/>
    <m/>
    <x v="1"/>
    <n v="0.4647445253393937"/>
  </r>
  <r>
    <x v="7"/>
    <x v="1"/>
    <x v="0"/>
    <x v="1"/>
    <x v="3"/>
    <x v="1"/>
    <x v="1"/>
    <x v="1"/>
    <x v="1"/>
    <x v="4"/>
    <n v="1"/>
    <n v="1"/>
    <n v="1"/>
    <m/>
    <x v="1"/>
    <n v="3.770242069910227E-2"/>
  </r>
  <r>
    <x v="21"/>
    <x v="0"/>
    <x v="1"/>
    <x v="0"/>
    <x v="3"/>
    <x v="1"/>
    <x v="1"/>
    <x v="1"/>
    <x v="2"/>
    <x v="8"/>
    <n v="1"/>
    <n v="1"/>
    <n v="0"/>
    <m/>
    <x v="1"/>
    <n v="0.11874037378146943"/>
  </r>
  <r>
    <x v="17"/>
    <x v="1"/>
    <x v="0"/>
    <x v="1"/>
    <x v="2"/>
    <x v="1"/>
    <x v="0"/>
    <x v="0"/>
    <x v="0"/>
    <x v="8"/>
    <n v="1"/>
    <n v="1"/>
    <n v="0"/>
    <n v="1"/>
    <x v="0"/>
    <n v="8.5045726905154884E-2"/>
  </r>
  <r>
    <x v="18"/>
    <x v="1"/>
    <x v="1"/>
    <x v="0"/>
    <x v="1"/>
    <x v="0"/>
    <x v="0"/>
    <x v="1"/>
    <x v="2"/>
    <x v="9"/>
    <n v="2"/>
    <n v="4"/>
    <n v="0"/>
    <m/>
    <x v="1"/>
    <n v="0.56166078288018884"/>
  </r>
  <r>
    <x v="6"/>
    <x v="0"/>
    <x v="0"/>
    <x v="2"/>
    <x v="1"/>
    <x v="0"/>
    <x v="1"/>
    <x v="0"/>
    <x v="2"/>
    <x v="8"/>
    <n v="1"/>
    <n v="1"/>
    <n v="0"/>
    <m/>
    <x v="1"/>
    <n v="8.8278485254435241E-2"/>
  </r>
  <r>
    <x v="6"/>
    <x v="0"/>
    <x v="0"/>
    <x v="0"/>
    <x v="2"/>
    <x v="0"/>
    <x v="1"/>
    <x v="1"/>
    <x v="2"/>
    <x v="1"/>
    <n v="3"/>
    <n v="5"/>
    <n v="0"/>
    <m/>
    <x v="1"/>
    <n v="0.33915241967122067"/>
  </r>
  <r>
    <x v="1"/>
    <x v="0"/>
    <x v="1"/>
    <x v="1"/>
    <x v="2"/>
    <x v="1"/>
    <x v="1"/>
    <x v="1"/>
    <x v="1"/>
    <x v="6"/>
    <n v="1"/>
    <n v="1"/>
    <n v="0"/>
    <n v="1"/>
    <x v="0"/>
    <n v="1.3111498149720941E-2"/>
  </r>
  <r>
    <x v="15"/>
    <x v="1"/>
    <x v="0"/>
    <x v="1"/>
    <x v="0"/>
    <x v="0"/>
    <x v="0"/>
    <x v="1"/>
    <x v="1"/>
    <x v="5"/>
    <n v="1"/>
    <n v="1"/>
    <n v="0"/>
    <n v="1"/>
    <x v="0"/>
    <n v="2.0727184867413109E-2"/>
  </r>
  <r>
    <x v="3"/>
    <x v="0"/>
    <x v="1"/>
    <x v="0"/>
    <x v="2"/>
    <x v="0"/>
    <x v="0"/>
    <x v="0"/>
    <x v="0"/>
    <x v="0"/>
    <n v="1"/>
    <n v="1"/>
    <n v="0"/>
    <m/>
    <x v="1"/>
    <n v="4.540277721734616E-2"/>
  </r>
  <r>
    <x v="20"/>
    <x v="1"/>
    <x v="1"/>
    <x v="0"/>
    <x v="0"/>
    <x v="0"/>
    <x v="0"/>
    <x v="1"/>
    <x v="0"/>
    <x v="0"/>
    <n v="1"/>
    <n v="1"/>
    <n v="0"/>
    <n v="1"/>
    <x v="0"/>
    <n v="4.6715526092825782E-2"/>
  </r>
  <r>
    <x v="3"/>
    <x v="1"/>
    <x v="0"/>
    <x v="2"/>
    <x v="0"/>
    <x v="0"/>
    <x v="0"/>
    <x v="0"/>
    <x v="2"/>
    <x v="9"/>
    <n v="7"/>
    <n v="9"/>
    <n v="0"/>
    <m/>
    <x v="1"/>
    <n v="1.5525254058628837"/>
  </r>
  <r>
    <x v="2"/>
    <x v="1"/>
    <x v="1"/>
    <x v="0"/>
    <x v="2"/>
    <x v="1"/>
    <x v="0"/>
    <x v="1"/>
    <x v="1"/>
    <x v="8"/>
    <n v="1"/>
    <n v="1"/>
    <n v="0"/>
    <m/>
    <x v="1"/>
    <n v="8.5160005166699276E-2"/>
  </r>
  <r>
    <x v="19"/>
    <x v="1"/>
    <x v="1"/>
    <x v="0"/>
    <x v="2"/>
    <x v="1"/>
    <x v="0"/>
    <x v="1"/>
    <x v="1"/>
    <x v="8"/>
    <n v="1"/>
    <n v="1"/>
    <n v="0"/>
    <m/>
    <x v="1"/>
    <n v="8.5160005166699276E-2"/>
  </r>
  <r>
    <x v="21"/>
    <x v="1"/>
    <x v="1"/>
    <x v="2"/>
    <x v="2"/>
    <x v="0"/>
    <x v="1"/>
    <x v="1"/>
    <x v="1"/>
    <x v="7"/>
    <n v="1"/>
    <n v="1"/>
    <n v="0"/>
    <m/>
    <x v="1"/>
    <n v="2.8594659155834135E-2"/>
  </r>
  <r>
    <x v="8"/>
    <x v="0"/>
    <x v="0"/>
    <x v="2"/>
    <x v="0"/>
    <x v="0"/>
    <x v="1"/>
    <x v="1"/>
    <x v="1"/>
    <x v="5"/>
    <n v="1"/>
    <n v="1"/>
    <n v="0"/>
    <m/>
    <x v="1"/>
    <n v="1.874585193217462E-2"/>
  </r>
  <r>
    <x v="9"/>
    <x v="0"/>
    <x v="0"/>
    <x v="0"/>
    <x v="3"/>
    <x v="0"/>
    <x v="0"/>
    <x v="0"/>
    <x v="0"/>
    <x v="8"/>
    <n v="1"/>
    <n v="1"/>
    <n v="0"/>
    <n v="1"/>
    <x v="0"/>
    <n v="8.4893923858991527E-2"/>
  </r>
  <r>
    <x v="9"/>
    <x v="1"/>
    <x v="0"/>
    <x v="2"/>
    <x v="2"/>
    <x v="0"/>
    <x v="0"/>
    <x v="1"/>
    <x v="1"/>
    <x v="1"/>
    <n v="3"/>
    <n v="4"/>
    <n v="0"/>
    <n v="3"/>
    <x v="0"/>
    <n v="0.32887958278383228"/>
  </r>
  <r>
    <x v="21"/>
    <x v="1"/>
    <x v="0"/>
    <x v="0"/>
    <x v="0"/>
    <x v="1"/>
    <x v="0"/>
    <x v="1"/>
    <x v="0"/>
    <x v="8"/>
    <n v="1"/>
    <n v="1"/>
    <n v="0"/>
    <m/>
    <x v="1"/>
    <n v="0.12194562411528299"/>
  </r>
  <r>
    <x v="3"/>
    <x v="1"/>
    <x v="1"/>
    <x v="2"/>
    <x v="0"/>
    <x v="0"/>
    <x v="0"/>
    <x v="1"/>
    <x v="2"/>
    <x v="9"/>
    <n v="1"/>
    <n v="2"/>
    <n v="0"/>
    <m/>
    <x v="1"/>
    <n v="0.25293584389992857"/>
  </r>
  <r>
    <x v="16"/>
    <x v="0"/>
    <x v="1"/>
    <x v="2"/>
    <x v="0"/>
    <x v="0"/>
    <x v="0"/>
    <x v="1"/>
    <x v="0"/>
    <x v="4"/>
    <n v="1"/>
    <n v="1"/>
    <n v="0"/>
    <m/>
    <x v="1"/>
    <n v="4.089495301709424E-2"/>
  </r>
  <r>
    <x v="19"/>
    <x v="0"/>
    <x v="1"/>
    <x v="2"/>
    <x v="0"/>
    <x v="0"/>
    <x v="0"/>
    <x v="0"/>
    <x v="0"/>
    <x v="4"/>
    <n v="1"/>
    <n v="2"/>
    <n v="0"/>
    <m/>
    <x v="1"/>
    <n v="8.1789906034188481E-2"/>
  </r>
  <r>
    <x v="9"/>
    <x v="0"/>
    <x v="1"/>
    <x v="0"/>
    <x v="3"/>
    <x v="1"/>
    <x v="1"/>
    <x v="1"/>
    <x v="2"/>
    <x v="8"/>
    <n v="1"/>
    <n v="1"/>
    <n v="0"/>
    <n v="1"/>
    <x v="0"/>
    <n v="0.11874037378146943"/>
  </r>
  <r>
    <x v="16"/>
    <x v="1"/>
    <x v="0"/>
    <x v="2"/>
    <x v="2"/>
    <x v="0"/>
    <x v="0"/>
    <x v="0"/>
    <x v="1"/>
    <x v="1"/>
    <n v="2"/>
    <n v="2"/>
    <n v="0"/>
    <m/>
    <x v="1"/>
    <n v="0.16443979139191614"/>
  </r>
  <r>
    <x v="3"/>
    <x v="0"/>
    <x v="1"/>
    <x v="1"/>
    <x v="0"/>
    <x v="0"/>
    <x v="1"/>
    <x v="0"/>
    <x v="0"/>
    <x v="6"/>
    <n v="1"/>
    <n v="1"/>
    <n v="0"/>
    <m/>
    <x v="1"/>
    <n v="6.9455315248842728E-3"/>
  </r>
  <r>
    <x v="14"/>
    <x v="1"/>
    <x v="0"/>
    <x v="2"/>
    <x v="0"/>
    <x v="0"/>
    <x v="1"/>
    <x v="1"/>
    <x v="2"/>
    <x v="8"/>
    <n v="2"/>
    <n v="2"/>
    <n v="0"/>
    <m/>
    <x v="1"/>
    <n v="0.17954900146378353"/>
  </r>
  <r>
    <x v="20"/>
    <x v="1"/>
    <x v="0"/>
    <x v="0"/>
    <x v="2"/>
    <x v="1"/>
    <x v="0"/>
    <x v="0"/>
    <x v="1"/>
    <x v="8"/>
    <n v="4"/>
    <n v="4"/>
    <n v="0"/>
    <n v="4"/>
    <x v="0"/>
    <n v="0.472772463663992"/>
  </r>
  <r>
    <x v="19"/>
    <x v="0"/>
    <x v="0"/>
    <x v="2"/>
    <x v="0"/>
    <x v="0"/>
    <x v="0"/>
    <x v="1"/>
    <x v="1"/>
    <x v="4"/>
    <n v="2"/>
    <n v="2"/>
    <n v="0"/>
    <m/>
    <x v="1"/>
    <n v="7.7622570446599981E-2"/>
  </r>
  <r>
    <x v="10"/>
    <x v="0"/>
    <x v="1"/>
    <x v="0"/>
    <x v="0"/>
    <x v="0"/>
    <x v="1"/>
    <x v="0"/>
    <x v="0"/>
    <x v="5"/>
    <n v="1"/>
    <n v="1"/>
    <n v="0"/>
    <m/>
    <x v="1"/>
    <n v="1.5103271786810353E-2"/>
  </r>
  <r>
    <x v="9"/>
    <x v="0"/>
    <x v="1"/>
    <x v="0"/>
    <x v="3"/>
    <x v="0"/>
    <x v="1"/>
    <x v="1"/>
    <x v="1"/>
    <x v="5"/>
    <n v="1"/>
    <n v="1"/>
    <n v="0"/>
    <n v="1"/>
    <x v="0"/>
    <n v="1.9653885350930222E-2"/>
  </r>
  <r>
    <x v="21"/>
    <x v="1"/>
    <x v="0"/>
    <x v="2"/>
    <x v="1"/>
    <x v="1"/>
    <x v="0"/>
    <x v="1"/>
    <x v="1"/>
    <x v="9"/>
    <n v="3"/>
    <n v="8"/>
    <n v="0"/>
    <m/>
    <x v="1"/>
    <n v="1.210865155618019"/>
  </r>
  <r>
    <x v="1"/>
    <x v="1"/>
    <x v="0"/>
    <x v="1"/>
    <x v="2"/>
    <x v="0"/>
    <x v="0"/>
    <x v="1"/>
    <x v="1"/>
    <x v="7"/>
    <n v="1"/>
    <n v="1"/>
    <n v="0"/>
    <n v="1"/>
    <x v="0"/>
    <n v="3.012375921220177E-2"/>
  </r>
  <r>
    <x v="1"/>
    <x v="1"/>
    <x v="1"/>
    <x v="0"/>
    <x v="3"/>
    <x v="0"/>
    <x v="0"/>
    <x v="1"/>
    <x v="1"/>
    <x v="3"/>
    <n v="1"/>
    <n v="1"/>
    <n v="0"/>
    <n v="1"/>
    <x v="0"/>
    <n v="6.0208639779017012E-2"/>
  </r>
  <r>
    <x v="19"/>
    <x v="0"/>
    <x v="1"/>
    <x v="0"/>
    <x v="0"/>
    <x v="0"/>
    <x v="1"/>
    <x v="0"/>
    <x v="2"/>
    <x v="4"/>
    <n v="1"/>
    <n v="1"/>
    <n v="0"/>
    <m/>
    <x v="1"/>
    <n v="3.3292078574409821E-2"/>
  </r>
  <r>
    <x v="15"/>
    <x v="0"/>
    <x v="0"/>
    <x v="2"/>
    <x v="3"/>
    <x v="1"/>
    <x v="0"/>
    <x v="1"/>
    <x v="1"/>
    <x v="9"/>
    <n v="1"/>
    <n v="1"/>
    <n v="0"/>
    <n v="1"/>
    <x v="0"/>
    <n v="0.13642618392543343"/>
  </r>
  <r>
    <x v="0"/>
    <x v="0"/>
    <x v="1"/>
    <x v="0"/>
    <x v="3"/>
    <x v="1"/>
    <x v="0"/>
    <x v="0"/>
    <x v="0"/>
    <x v="8"/>
    <n v="1"/>
    <n v="1"/>
    <n v="0"/>
    <n v="1"/>
    <x v="0"/>
    <n v="0.11253926602183867"/>
  </r>
  <r>
    <x v="21"/>
    <x v="1"/>
    <x v="0"/>
    <x v="1"/>
    <x v="3"/>
    <x v="0"/>
    <x v="1"/>
    <x v="1"/>
    <x v="1"/>
    <x v="5"/>
    <n v="1"/>
    <n v="1"/>
    <n v="0"/>
    <m/>
    <x v="1"/>
    <n v="1.9517393207062139E-2"/>
  </r>
  <r>
    <x v="3"/>
    <x v="0"/>
    <x v="0"/>
    <x v="0"/>
    <x v="2"/>
    <x v="1"/>
    <x v="0"/>
    <x v="1"/>
    <x v="2"/>
    <x v="9"/>
    <n v="4"/>
    <n v="4"/>
    <n v="0"/>
    <m/>
    <x v="1"/>
    <n v="0.9294890506787874"/>
  </r>
  <r>
    <x v="9"/>
    <x v="1"/>
    <x v="0"/>
    <x v="2"/>
    <x v="2"/>
    <x v="1"/>
    <x v="0"/>
    <x v="1"/>
    <x v="1"/>
    <x v="9"/>
    <n v="1"/>
    <n v="1"/>
    <n v="0"/>
    <n v="1"/>
    <x v="0"/>
    <n v="0.14989547850382232"/>
  </r>
  <r>
    <x v="12"/>
    <x v="0"/>
    <x v="0"/>
    <x v="2"/>
    <x v="1"/>
    <x v="1"/>
    <x v="0"/>
    <x v="1"/>
    <x v="0"/>
    <x v="9"/>
    <n v="2"/>
    <n v="3"/>
    <n v="0"/>
    <m/>
    <x v="1"/>
    <n v="0.45625225935569513"/>
  </r>
  <r>
    <x v="16"/>
    <x v="0"/>
    <x v="0"/>
    <x v="0"/>
    <x v="0"/>
    <x v="1"/>
    <x v="0"/>
    <x v="0"/>
    <x v="1"/>
    <x v="0"/>
    <n v="11"/>
    <n v="14"/>
    <n v="0"/>
    <m/>
    <x v="1"/>
    <n v="0.79759569989141332"/>
  </r>
  <r>
    <x v="18"/>
    <x v="0"/>
    <x v="0"/>
    <x v="2"/>
    <x v="0"/>
    <x v="0"/>
    <x v="0"/>
    <x v="0"/>
    <x v="0"/>
    <x v="0"/>
    <n v="2"/>
    <n v="2"/>
    <n v="0"/>
    <m/>
    <x v="1"/>
    <n v="0.11568704600419652"/>
  </r>
  <r>
    <x v="20"/>
    <x v="0"/>
    <x v="1"/>
    <x v="0"/>
    <x v="0"/>
    <x v="1"/>
    <x v="0"/>
    <x v="0"/>
    <x v="0"/>
    <x v="3"/>
    <n v="2"/>
    <n v="2"/>
    <n v="0"/>
    <n v="2"/>
    <x v="0"/>
    <n v="0.11993782362175887"/>
  </r>
  <r>
    <x v="16"/>
    <x v="0"/>
    <x v="0"/>
    <x v="0"/>
    <x v="0"/>
    <x v="0"/>
    <x v="0"/>
    <x v="1"/>
    <x v="2"/>
    <x v="8"/>
    <n v="5"/>
    <n v="10"/>
    <n v="0"/>
    <m/>
    <x v="1"/>
    <n v="0.94866349728676458"/>
  </r>
  <r>
    <x v="17"/>
    <x v="0"/>
    <x v="1"/>
    <x v="0"/>
    <x v="0"/>
    <x v="0"/>
    <x v="0"/>
    <x v="0"/>
    <x v="2"/>
    <x v="1"/>
    <n v="3"/>
    <n v="4"/>
    <n v="0"/>
    <n v="3"/>
    <x v="0"/>
    <n v="0.2714042350863638"/>
  </r>
  <r>
    <x v="17"/>
    <x v="1"/>
    <x v="1"/>
    <x v="1"/>
    <x v="0"/>
    <x v="0"/>
    <x v="0"/>
    <x v="1"/>
    <x v="1"/>
    <x v="6"/>
    <n v="3"/>
    <n v="3"/>
    <n v="0"/>
    <n v="3"/>
    <x v="0"/>
    <n v="4.3460246425157632E-2"/>
  </r>
  <r>
    <x v="1"/>
    <x v="0"/>
    <x v="0"/>
    <x v="2"/>
    <x v="0"/>
    <x v="1"/>
    <x v="0"/>
    <x v="0"/>
    <x v="1"/>
    <x v="1"/>
    <n v="1"/>
    <n v="1"/>
    <n v="0"/>
    <n v="1"/>
    <x v="0"/>
    <n v="7.3623241710018827E-2"/>
  </r>
  <r>
    <x v="16"/>
    <x v="1"/>
    <x v="0"/>
    <x v="2"/>
    <x v="2"/>
    <x v="1"/>
    <x v="0"/>
    <x v="0"/>
    <x v="0"/>
    <x v="9"/>
    <n v="1"/>
    <n v="1"/>
    <n v="0"/>
    <m/>
    <x v="1"/>
    <n v="0.21141932175066067"/>
  </r>
  <r>
    <x v="7"/>
    <x v="1"/>
    <x v="1"/>
    <x v="0"/>
    <x v="0"/>
    <x v="0"/>
    <x v="1"/>
    <x v="0"/>
    <x v="0"/>
    <x v="7"/>
    <n v="1"/>
    <n v="1"/>
    <n v="0"/>
    <m/>
    <x v="1"/>
    <n v="2.2659939205773683E-2"/>
  </r>
  <r>
    <x v="16"/>
    <x v="0"/>
    <x v="1"/>
    <x v="2"/>
    <x v="0"/>
    <x v="1"/>
    <x v="0"/>
    <x v="0"/>
    <x v="0"/>
    <x v="1"/>
    <n v="1"/>
    <n v="1"/>
    <n v="0"/>
    <m/>
    <x v="1"/>
    <n v="7.7425317298704582E-2"/>
  </r>
  <r>
    <x v="1"/>
    <x v="1"/>
    <x v="0"/>
    <x v="1"/>
    <x v="1"/>
    <x v="0"/>
    <x v="0"/>
    <x v="1"/>
    <x v="2"/>
    <x v="8"/>
    <n v="3"/>
    <n v="3"/>
    <n v="0"/>
    <n v="3"/>
    <x v="0"/>
    <n v="0.29065024143249224"/>
  </r>
  <r>
    <x v="9"/>
    <x v="1"/>
    <x v="0"/>
    <x v="0"/>
    <x v="0"/>
    <x v="0"/>
    <x v="1"/>
    <x v="0"/>
    <x v="2"/>
    <x v="1"/>
    <n v="2"/>
    <n v="3"/>
    <n v="0"/>
    <n v="2"/>
    <x v="0"/>
    <n v="0.20923294981328672"/>
  </r>
  <r>
    <x v="9"/>
    <x v="0"/>
    <x v="1"/>
    <x v="1"/>
    <x v="2"/>
    <x v="0"/>
    <x v="0"/>
    <x v="1"/>
    <x v="2"/>
    <x v="0"/>
    <n v="1"/>
    <n v="2"/>
    <n v="0"/>
    <n v="1"/>
    <x v="0"/>
    <n v="9.2907622615736166E-2"/>
  </r>
  <r>
    <x v="3"/>
    <x v="0"/>
    <x v="1"/>
    <x v="2"/>
    <x v="0"/>
    <x v="0"/>
    <x v="0"/>
    <x v="0"/>
    <x v="0"/>
    <x v="4"/>
    <n v="1"/>
    <n v="1"/>
    <n v="0"/>
    <m/>
    <x v="1"/>
    <n v="4.089495301709424E-2"/>
  </r>
  <r>
    <x v="14"/>
    <x v="0"/>
    <x v="1"/>
    <x v="2"/>
    <x v="0"/>
    <x v="0"/>
    <x v="0"/>
    <x v="0"/>
    <x v="2"/>
    <x v="8"/>
    <n v="1"/>
    <n v="2"/>
    <n v="0"/>
    <m/>
    <x v="1"/>
    <n v="0.17477717635732895"/>
  </r>
  <r>
    <x v="4"/>
    <x v="0"/>
    <x v="0"/>
    <x v="1"/>
    <x v="0"/>
    <x v="0"/>
    <x v="1"/>
    <x v="1"/>
    <x v="1"/>
    <x v="6"/>
    <n v="1"/>
    <n v="1"/>
    <n v="0"/>
    <m/>
    <x v="1"/>
    <n v="6.57977794506603E-3"/>
  </r>
  <r>
    <x v="21"/>
    <x v="0"/>
    <x v="1"/>
    <x v="2"/>
    <x v="2"/>
    <x v="0"/>
    <x v="0"/>
    <x v="1"/>
    <x v="0"/>
    <x v="3"/>
    <n v="1"/>
    <n v="2"/>
    <n v="0"/>
    <m/>
    <x v="1"/>
    <n v="0.11776943292837963"/>
  </r>
  <r>
    <x v="3"/>
    <x v="0"/>
    <x v="0"/>
    <x v="1"/>
    <x v="1"/>
    <x v="0"/>
    <x v="0"/>
    <x v="1"/>
    <x v="2"/>
    <x v="1"/>
    <n v="1"/>
    <n v="3"/>
    <n v="0"/>
    <m/>
    <x v="1"/>
    <n v="0.19875754252291369"/>
  </r>
  <r>
    <x v="6"/>
    <x v="0"/>
    <x v="1"/>
    <x v="2"/>
    <x v="0"/>
    <x v="0"/>
    <x v="1"/>
    <x v="1"/>
    <x v="1"/>
    <x v="6"/>
    <n v="1"/>
    <n v="1"/>
    <n v="0"/>
    <m/>
    <x v="1"/>
    <n v="1.3093969311862536E-2"/>
  </r>
  <r>
    <x v="2"/>
    <x v="1"/>
    <x v="0"/>
    <x v="0"/>
    <x v="2"/>
    <x v="0"/>
    <x v="1"/>
    <x v="0"/>
    <x v="2"/>
    <x v="8"/>
    <n v="2"/>
    <n v="2"/>
    <n v="1"/>
    <m/>
    <x v="1"/>
    <n v="0.19822699262559396"/>
  </r>
  <r>
    <x v="9"/>
    <x v="1"/>
    <x v="1"/>
    <x v="0"/>
    <x v="3"/>
    <x v="1"/>
    <x v="0"/>
    <x v="1"/>
    <x v="0"/>
    <x v="9"/>
    <n v="2"/>
    <n v="3"/>
    <n v="1"/>
    <n v="2"/>
    <x v="0"/>
    <n v="0.48264899270430561"/>
  </r>
  <r>
    <x v="10"/>
    <x v="0"/>
    <x v="0"/>
    <x v="0"/>
    <x v="2"/>
    <x v="1"/>
    <x v="0"/>
    <x v="0"/>
    <x v="1"/>
    <x v="1"/>
    <n v="2"/>
    <n v="3"/>
    <n v="0"/>
    <m/>
    <x v="1"/>
    <n v="0.24429714241450645"/>
  </r>
  <r>
    <x v="16"/>
    <x v="0"/>
    <x v="0"/>
    <x v="0"/>
    <x v="3"/>
    <x v="0"/>
    <x v="0"/>
    <x v="1"/>
    <x v="2"/>
    <x v="9"/>
    <n v="1"/>
    <n v="1"/>
    <n v="0"/>
    <m/>
    <x v="1"/>
    <n v="0.17241763602692631"/>
  </r>
  <r>
    <x v="16"/>
    <x v="1"/>
    <x v="0"/>
    <x v="0"/>
    <x v="3"/>
    <x v="1"/>
    <x v="1"/>
    <x v="1"/>
    <x v="2"/>
    <x v="9"/>
    <n v="1"/>
    <n v="1"/>
    <n v="0"/>
    <m/>
    <x v="1"/>
    <n v="0.22680169202414502"/>
  </r>
  <r>
    <x v="10"/>
    <x v="0"/>
    <x v="0"/>
    <x v="1"/>
    <x v="2"/>
    <x v="1"/>
    <x v="0"/>
    <x v="1"/>
    <x v="1"/>
    <x v="4"/>
    <n v="1"/>
    <n v="1"/>
    <n v="0"/>
    <m/>
    <x v="1"/>
    <n v="3.8861886041588509E-2"/>
  </r>
  <r>
    <x v="19"/>
    <x v="0"/>
    <x v="1"/>
    <x v="0"/>
    <x v="0"/>
    <x v="1"/>
    <x v="0"/>
    <x v="0"/>
    <x v="1"/>
    <x v="4"/>
    <n v="4"/>
    <n v="5"/>
    <n v="0"/>
    <m/>
    <x v="1"/>
    <n v="0.20133623171918169"/>
  </r>
  <r>
    <x v="9"/>
    <x v="0"/>
    <x v="1"/>
    <x v="2"/>
    <x v="1"/>
    <x v="0"/>
    <x v="0"/>
    <x v="1"/>
    <x v="2"/>
    <x v="8"/>
    <n v="2"/>
    <n v="4"/>
    <n v="0"/>
    <n v="2"/>
    <x v="0"/>
    <n v="0.49777616002238495"/>
  </r>
  <r>
    <x v="22"/>
    <x v="1"/>
    <x v="0"/>
    <x v="1"/>
    <x v="3"/>
    <x v="1"/>
    <x v="0"/>
    <x v="1"/>
    <x v="0"/>
    <x v="8"/>
    <n v="1"/>
    <n v="1"/>
    <n v="0"/>
    <n v="1"/>
    <x v="0"/>
    <n v="0.11183128944304827"/>
  </r>
  <r>
    <x v="20"/>
    <x v="1"/>
    <x v="0"/>
    <x v="1"/>
    <x v="0"/>
    <x v="0"/>
    <x v="1"/>
    <x v="1"/>
    <x v="0"/>
    <x v="5"/>
    <n v="2"/>
    <n v="2"/>
    <n v="0"/>
    <n v="2"/>
    <x v="0"/>
    <n v="2.9995798450621777E-2"/>
  </r>
  <r>
    <x v="4"/>
    <x v="0"/>
    <x v="1"/>
    <x v="2"/>
    <x v="2"/>
    <x v="0"/>
    <x v="0"/>
    <x v="1"/>
    <x v="2"/>
    <x v="8"/>
    <n v="1"/>
    <n v="2"/>
    <n v="0"/>
    <m/>
    <x v="1"/>
    <n v="0.24640740521321994"/>
  </r>
  <r>
    <x v="9"/>
    <x v="0"/>
    <x v="0"/>
    <x v="0"/>
    <x v="0"/>
    <x v="0"/>
    <x v="1"/>
    <x v="1"/>
    <x v="0"/>
    <x v="7"/>
    <n v="3"/>
    <n v="3"/>
    <n v="1"/>
    <n v="3"/>
    <x v="0"/>
    <n v="6.4810394424951609E-2"/>
  </r>
  <r>
    <x v="4"/>
    <x v="1"/>
    <x v="0"/>
    <x v="1"/>
    <x v="2"/>
    <x v="0"/>
    <x v="0"/>
    <x v="0"/>
    <x v="1"/>
    <x v="7"/>
    <n v="1"/>
    <n v="1"/>
    <n v="0"/>
    <m/>
    <x v="1"/>
    <n v="3.012375921220177E-2"/>
  </r>
  <r>
    <x v="19"/>
    <x v="0"/>
    <x v="0"/>
    <x v="1"/>
    <x v="1"/>
    <x v="1"/>
    <x v="0"/>
    <x v="1"/>
    <x v="1"/>
    <x v="4"/>
    <n v="3"/>
    <n v="3"/>
    <n v="0"/>
    <m/>
    <x v="1"/>
    <n v="0.11787351938656804"/>
  </r>
  <r>
    <x v="16"/>
    <x v="0"/>
    <x v="1"/>
    <x v="2"/>
    <x v="1"/>
    <x v="0"/>
    <x v="0"/>
    <x v="1"/>
    <x v="2"/>
    <x v="8"/>
    <n v="2"/>
    <n v="3"/>
    <n v="0"/>
    <m/>
    <x v="1"/>
    <n v="0.37333212001678878"/>
  </r>
  <r>
    <x v="17"/>
    <x v="0"/>
    <x v="0"/>
    <x v="2"/>
    <x v="2"/>
    <x v="0"/>
    <x v="0"/>
    <x v="0"/>
    <x v="1"/>
    <x v="0"/>
    <n v="2"/>
    <n v="3"/>
    <n v="0"/>
    <n v="2"/>
    <x v="0"/>
    <n v="0.16781369661237011"/>
  </r>
  <r>
    <x v="16"/>
    <x v="1"/>
    <x v="0"/>
    <x v="1"/>
    <x v="0"/>
    <x v="0"/>
    <x v="0"/>
    <x v="1"/>
    <x v="1"/>
    <x v="5"/>
    <n v="2"/>
    <n v="2"/>
    <n v="0"/>
    <m/>
    <x v="1"/>
    <n v="4.1454369734826219E-2"/>
  </r>
  <r>
    <x v="11"/>
    <x v="1"/>
    <x v="0"/>
    <x v="2"/>
    <x v="2"/>
    <x v="0"/>
    <x v="1"/>
    <x v="1"/>
    <x v="0"/>
    <x v="3"/>
    <n v="1"/>
    <n v="1"/>
    <n v="0"/>
    <m/>
    <x v="1"/>
    <n v="6.0544035202992515E-2"/>
  </r>
  <r>
    <x v="4"/>
    <x v="0"/>
    <x v="0"/>
    <x v="2"/>
    <x v="2"/>
    <x v="0"/>
    <x v="1"/>
    <x v="0"/>
    <x v="2"/>
    <x v="8"/>
    <n v="1"/>
    <n v="1"/>
    <n v="0"/>
    <m/>
    <x v="1"/>
    <n v="8.7362644124071173E-2"/>
  </r>
  <r>
    <x v="1"/>
    <x v="1"/>
    <x v="0"/>
    <x v="0"/>
    <x v="3"/>
    <x v="0"/>
    <x v="0"/>
    <x v="1"/>
    <x v="2"/>
    <x v="9"/>
    <n v="1"/>
    <n v="1"/>
    <n v="1"/>
    <n v="1"/>
    <x v="0"/>
    <n v="0.23954062322918226"/>
  </r>
  <r>
    <x v="21"/>
    <x v="0"/>
    <x v="0"/>
    <x v="2"/>
    <x v="2"/>
    <x v="1"/>
    <x v="0"/>
    <x v="1"/>
    <x v="1"/>
    <x v="8"/>
    <n v="2"/>
    <n v="4"/>
    <n v="0"/>
    <m/>
    <x v="1"/>
    <n v="0.41776976441899105"/>
  </r>
  <r>
    <x v="21"/>
    <x v="1"/>
    <x v="1"/>
    <x v="2"/>
    <x v="1"/>
    <x v="0"/>
    <x v="0"/>
    <x v="1"/>
    <x v="1"/>
    <x v="3"/>
    <n v="4"/>
    <n v="8"/>
    <n v="0"/>
    <m/>
    <x v="1"/>
    <n v="0.47365218692826527"/>
  </r>
  <r>
    <x v="5"/>
    <x v="1"/>
    <x v="1"/>
    <x v="0"/>
    <x v="3"/>
    <x v="1"/>
    <x v="1"/>
    <x v="1"/>
    <x v="0"/>
    <x v="1"/>
    <n v="1"/>
    <n v="1"/>
    <n v="1"/>
    <n v="1"/>
    <x v="0"/>
    <n v="8.3167200953685433E-2"/>
  </r>
  <r>
    <x v="21"/>
    <x v="1"/>
    <x v="0"/>
    <x v="1"/>
    <x v="2"/>
    <x v="0"/>
    <x v="0"/>
    <x v="0"/>
    <x v="0"/>
    <x v="0"/>
    <n v="1"/>
    <n v="1"/>
    <n v="0"/>
    <m/>
    <x v="1"/>
    <n v="4.5095690087541995E-2"/>
  </r>
  <r>
    <x v="12"/>
    <x v="1"/>
    <x v="0"/>
    <x v="1"/>
    <x v="2"/>
    <x v="1"/>
    <x v="0"/>
    <x v="1"/>
    <x v="1"/>
    <x v="0"/>
    <n v="1"/>
    <n v="1"/>
    <n v="0"/>
    <m/>
    <x v="1"/>
    <n v="5.7610445646867868E-2"/>
  </r>
  <r>
    <x v="7"/>
    <x v="1"/>
    <x v="0"/>
    <x v="2"/>
    <x v="2"/>
    <x v="0"/>
    <x v="0"/>
    <x v="1"/>
    <x v="1"/>
    <x v="1"/>
    <n v="2"/>
    <n v="3"/>
    <n v="0"/>
    <m/>
    <x v="1"/>
    <n v="0.24665968708787422"/>
  </r>
  <r>
    <x v="3"/>
    <x v="0"/>
    <x v="0"/>
    <x v="1"/>
    <x v="3"/>
    <x v="1"/>
    <x v="1"/>
    <x v="0"/>
    <x v="1"/>
    <x v="7"/>
    <n v="1"/>
    <n v="1"/>
    <n v="0"/>
    <m/>
    <x v="1"/>
    <n v="2.5259012821724224E-2"/>
  </r>
  <r>
    <x v="13"/>
    <x v="1"/>
    <x v="0"/>
    <x v="2"/>
    <x v="0"/>
    <x v="1"/>
    <x v="1"/>
    <x v="0"/>
    <x v="1"/>
    <x v="0"/>
    <n v="1"/>
    <n v="1"/>
    <n v="0"/>
    <m/>
    <x v="1"/>
    <n v="5.3792377530532454E-2"/>
  </r>
  <r>
    <x v="7"/>
    <x v="0"/>
    <x v="0"/>
    <x v="0"/>
    <x v="2"/>
    <x v="1"/>
    <x v="1"/>
    <x v="1"/>
    <x v="0"/>
    <x v="3"/>
    <n v="1"/>
    <n v="1"/>
    <n v="0"/>
    <m/>
    <x v="1"/>
    <n v="5.995057339817321E-2"/>
  </r>
  <r>
    <x v="16"/>
    <x v="0"/>
    <x v="0"/>
    <x v="1"/>
    <x v="0"/>
    <x v="1"/>
    <x v="0"/>
    <x v="0"/>
    <x v="0"/>
    <x v="4"/>
    <n v="1"/>
    <n v="1"/>
    <n v="0"/>
    <m/>
    <x v="1"/>
    <n v="4.0210562870550678E-2"/>
  </r>
  <r>
    <x v="1"/>
    <x v="1"/>
    <x v="0"/>
    <x v="1"/>
    <x v="2"/>
    <x v="1"/>
    <x v="0"/>
    <x v="0"/>
    <x v="0"/>
    <x v="8"/>
    <n v="1"/>
    <n v="1"/>
    <n v="0"/>
    <n v="1"/>
    <x v="0"/>
    <n v="8.5045726905154884E-2"/>
  </r>
  <r>
    <x v="9"/>
    <x v="0"/>
    <x v="1"/>
    <x v="1"/>
    <x v="0"/>
    <x v="0"/>
    <x v="0"/>
    <x v="0"/>
    <x v="0"/>
    <x v="5"/>
    <n v="1"/>
    <n v="1"/>
    <n v="0"/>
    <n v="1"/>
    <x v="0"/>
    <n v="1.4567498552386326E-2"/>
  </r>
  <r>
    <x v="16"/>
    <x v="0"/>
    <x v="1"/>
    <x v="0"/>
    <x v="0"/>
    <x v="1"/>
    <x v="0"/>
    <x v="0"/>
    <x v="0"/>
    <x v="3"/>
    <n v="2"/>
    <n v="2"/>
    <n v="0"/>
    <m/>
    <x v="1"/>
    <n v="0.11993782362175887"/>
  </r>
  <r>
    <x v="21"/>
    <x v="0"/>
    <x v="0"/>
    <x v="2"/>
    <x v="0"/>
    <x v="0"/>
    <x v="0"/>
    <x v="1"/>
    <x v="0"/>
    <x v="0"/>
    <n v="1"/>
    <n v="1"/>
    <n v="0"/>
    <m/>
    <x v="1"/>
    <n v="5.784352300209826E-2"/>
  </r>
  <r>
    <x v="11"/>
    <x v="1"/>
    <x v="0"/>
    <x v="2"/>
    <x v="1"/>
    <x v="1"/>
    <x v="0"/>
    <x v="1"/>
    <x v="2"/>
    <x v="9"/>
    <n v="2"/>
    <n v="5"/>
    <n v="0"/>
    <m/>
    <x v="1"/>
    <n v="1.8925114392609215"/>
  </r>
  <r>
    <x v="5"/>
    <x v="0"/>
    <x v="0"/>
    <x v="0"/>
    <x v="0"/>
    <x v="0"/>
    <x v="1"/>
    <x v="0"/>
    <x v="0"/>
    <x v="7"/>
    <n v="1"/>
    <n v="1"/>
    <n v="1"/>
    <n v="1"/>
    <x v="0"/>
    <n v="2.1603464808317204E-2"/>
  </r>
  <r>
    <x v="0"/>
    <x v="0"/>
    <x v="0"/>
    <x v="2"/>
    <x v="0"/>
    <x v="0"/>
    <x v="1"/>
    <x v="1"/>
    <x v="1"/>
    <x v="5"/>
    <n v="3"/>
    <n v="3"/>
    <n v="0"/>
    <n v="3"/>
    <x v="0"/>
    <n v="5.6237555796523855E-2"/>
  </r>
  <r>
    <x v="9"/>
    <x v="0"/>
    <x v="0"/>
    <x v="0"/>
    <x v="3"/>
    <x v="1"/>
    <x v="1"/>
    <x v="1"/>
    <x v="0"/>
    <x v="1"/>
    <n v="2"/>
    <n v="2"/>
    <n v="0"/>
    <n v="1"/>
    <x v="0"/>
    <n v="0.15903844711423848"/>
  </r>
  <r>
    <x v="16"/>
    <x v="1"/>
    <x v="0"/>
    <x v="2"/>
    <x v="0"/>
    <x v="0"/>
    <x v="1"/>
    <x v="0"/>
    <x v="1"/>
    <x v="7"/>
    <n v="2"/>
    <n v="3"/>
    <n v="0"/>
    <m/>
    <x v="1"/>
    <n v="8.4219225168211037E-2"/>
  </r>
  <r>
    <x v="8"/>
    <x v="0"/>
    <x v="1"/>
    <x v="0"/>
    <x v="3"/>
    <x v="1"/>
    <x v="0"/>
    <x v="0"/>
    <x v="2"/>
    <x v="9"/>
    <n v="1"/>
    <n v="1"/>
    <n v="0"/>
    <m/>
    <x v="1"/>
    <n v="0.22166089127555452"/>
  </r>
  <r>
    <x v="19"/>
    <x v="1"/>
    <x v="0"/>
    <x v="1"/>
    <x v="0"/>
    <x v="0"/>
    <x v="1"/>
    <x v="0"/>
    <x v="1"/>
    <x v="6"/>
    <n v="2"/>
    <n v="2"/>
    <n v="0"/>
    <m/>
    <x v="1"/>
    <n v="1.9829579578179591E-2"/>
  </r>
  <r>
    <x v="15"/>
    <x v="0"/>
    <x v="1"/>
    <x v="2"/>
    <x v="1"/>
    <x v="0"/>
    <x v="0"/>
    <x v="1"/>
    <x v="2"/>
    <x v="8"/>
    <n v="1"/>
    <n v="1"/>
    <n v="0"/>
    <n v="1"/>
    <x v="0"/>
    <n v="0.12444404000559624"/>
  </r>
  <r>
    <x v="4"/>
    <x v="0"/>
    <x v="1"/>
    <x v="1"/>
    <x v="0"/>
    <x v="0"/>
    <x v="1"/>
    <x v="1"/>
    <x v="1"/>
    <x v="6"/>
    <n v="1"/>
    <n v="1"/>
    <n v="0"/>
    <m/>
    <x v="1"/>
    <n v="4.5788555386867564E-3"/>
  </r>
  <r>
    <x v="22"/>
    <x v="1"/>
    <x v="1"/>
    <x v="0"/>
    <x v="1"/>
    <x v="1"/>
    <x v="0"/>
    <x v="1"/>
    <x v="0"/>
    <x v="9"/>
    <n v="1"/>
    <n v="1"/>
    <n v="0"/>
    <n v="1"/>
    <x v="0"/>
    <n v="0.12523593124339735"/>
  </r>
  <r>
    <x v="20"/>
    <x v="0"/>
    <x v="0"/>
    <x v="1"/>
    <x v="1"/>
    <x v="1"/>
    <x v="0"/>
    <x v="1"/>
    <x v="2"/>
    <x v="8"/>
    <n v="2"/>
    <n v="2"/>
    <n v="0"/>
    <n v="2"/>
    <x v="0"/>
    <n v="0.24508014561402286"/>
  </r>
  <r>
    <x v="9"/>
    <x v="1"/>
    <x v="0"/>
    <x v="0"/>
    <x v="0"/>
    <x v="0"/>
    <x v="1"/>
    <x v="1"/>
    <x v="2"/>
    <x v="1"/>
    <n v="1"/>
    <n v="1"/>
    <n v="0"/>
    <n v="1"/>
    <x v="0"/>
    <n v="6.974431660442891E-2"/>
  </r>
  <r>
    <x v="5"/>
    <x v="0"/>
    <x v="0"/>
    <x v="2"/>
    <x v="2"/>
    <x v="0"/>
    <x v="0"/>
    <x v="1"/>
    <x v="0"/>
    <x v="1"/>
    <n v="2"/>
    <n v="2"/>
    <n v="0"/>
    <n v="2"/>
    <x v="0"/>
    <n v="0.16529306235547556"/>
  </r>
  <r>
    <x v="6"/>
    <x v="0"/>
    <x v="0"/>
    <x v="1"/>
    <x v="0"/>
    <x v="0"/>
    <x v="1"/>
    <x v="1"/>
    <x v="1"/>
    <x v="6"/>
    <n v="3"/>
    <n v="3"/>
    <n v="0"/>
    <m/>
    <x v="1"/>
    <n v="1.9739333835198093E-2"/>
  </r>
  <r>
    <x v="17"/>
    <x v="0"/>
    <x v="0"/>
    <x v="0"/>
    <x v="2"/>
    <x v="1"/>
    <x v="0"/>
    <x v="0"/>
    <x v="1"/>
    <x v="1"/>
    <n v="4"/>
    <n v="4"/>
    <n v="1"/>
    <n v="4"/>
    <x v="0"/>
    <n v="0.32572952321934195"/>
  </r>
  <r>
    <x v="1"/>
    <x v="0"/>
    <x v="1"/>
    <x v="2"/>
    <x v="0"/>
    <x v="0"/>
    <x v="0"/>
    <x v="0"/>
    <x v="2"/>
    <x v="8"/>
    <n v="3"/>
    <n v="3"/>
    <n v="0"/>
    <n v="3"/>
    <x v="0"/>
    <n v="0.26216576453599344"/>
  </r>
  <r>
    <x v="10"/>
    <x v="1"/>
    <x v="1"/>
    <x v="0"/>
    <x v="0"/>
    <x v="0"/>
    <x v="1"/>
    <x v="0"/>
    <x v="0"/>
    <x v="7"/>
    <n v="2"/>
    <n v="2"/>
    <n v="0"/>
    <m/>
    <x v="1"/>
    <n v="4.5319878411547367E-2"/>
  </r>
  <r>
    <x v="7"/>
    <x v="1"/>
    <x v="1"/>
    <x v="1"/>
    <x v="2"/>
    <x v="1"/>
    <x v="1"/>
    <x v="1"/>
    <x v="1"/>
    <x v="5"/>
    <n v="1"/>
    <n v="1"/>
    <n v="0"/>
    <m/>
    <x v="1"/>
    <n v="1.9691539744554062E-2"/>
  </r>
  <r>
    <x v="14"/>
    <x v="0"/>
    <x v="0"/>
    <x v="0"/>
    <x v="2"/>
    <x v="1"/>
    <x v="1"/>
    <x v="0"/>
    <x v="1"/>
    <x v="4"/>
    <n v="2"/>
    <n v="2"/>
    <n v="0"/>
    <m/>
    <x v="1"/>
    <n v="8.0509349356369539E-2"/>
  </r>
  <r>
    <x v="21"/>
    <x v="0"/>
    <x v="0"/>
    <x v="1"/>
    <x v="2"/>
    <x v="1"/>
    <x v="0"/>
    <x v="0"/>
    <x v="1"/>
    <x v="4"/>
    <n v="1"/>
    <n v="1"/>
    <n v="0"/>
    <m/>
    <x v="1"/>
    <n v="3.8861886041588509E-2"/>
  </r>
  <r>
    <x v="5"/>
    <x v="0"/>
    <x v="0"/>
    <x v="0"/>
    <x v="0"/>
    <x v="1"/>
    <x v="0"/>
    <x v="1"/>
    <x v="1"/>
    <x v="0"/>
    <n v="2"/>
    <n v="2"/>
    <n v="0"/>
    <n v="2"/>
    <x v="0"/>
    <n v="0.11394224284163047"/>
  </r>
  <r>
    <x v="1"/>
    <x v="1"/>
    <x v="0"/>
    <x v="2"/>
    <x v="2"/>
    <x v="1"/>
    <x v="0"/>
    <x v="0"/>
    <x v="2"/>
    <x v="9"/>
    <n v="1"/>
    <n v="1"/>
    <n v="0"/>
    <n v="1"/>
    <x v="0"/>
    <n v="0.37581664832801498"/>
  </r>
  <r>
    <x v="17"/>
    <x v="0"/>
    <x v="0"/>
    <x v="2"/>
    <x v="0"/>
    <x v="0"/>
    <x v="1"/>
    <x v="1"/>
    <x v="1"/>
    <x v="5"/>
    <n v="1"/>
    <n v="1"/>
    <n v="0"/>
    <n v="1"/>
    <x v="0"/>
    <n v="1.874585193217462E-2"/>
  </r>
  <r>
    <x v="13"/>
    <x v="1"/>
    <x v="1"/>
    <x v="0"/>
    <x v="2"/>
    <x v="0"/>
    <x v="1"/>
    <x v="1"/>
    <x v="0"/>
    <x v="4"/>
    <n v="1"/>
    <n v="1"/>
    <n v="0"/>
    <m/>
    <x v="1"/>
    <n v="3.2903278637901254E-2"/>
  </r>
  <r>
    <x v="17"/>
    <x v="0"/>
    <x v="1"/>
    <x v="1"/>
    <x v="0"/>
    <x v="0"/>
    <x v="1"/>
    <x v="1"/>
    <x v="0"/>
    <x v="6"/>
    <n v="1"/>
    <n v="1"/>
    <n v="0"/>
    <n v="1"/>
    <x v="0"/>
    <n v="6.9455315248842728E-3"/>
  </r>
  <r>
    <x v="11"/>
    <x v="0"/>
    <x v="1"/>
    <x v="2"/>
    <x v="0"/>
    <x v="0"/>
    <x v="0"/>
    <x v="1"/>
    <x v="2"/>
    <x v="8"/>
    <n v="1"/>
    <n v="1"/>
    <n v="0"/>
    <m/>
    <x v="1"/>
    <n v="8.7388588178664475E-2"/>
  </r>
  <r>
    <x v="2"/>
    <x v="1"/>
    <x v="0"/>
    <x v="2"/>
    <x v="2"/>
    <x v="1"/>
    <x v="0"/>
    <x v="1"/>
    <x v="0"/>
    <x v="9"/>
    <n v="1"/>
    <n v="1"/>
    <n v="0"/>
    <m/>
    <x v="1"/>
    <n v="0.21141932175066067"/>
  </r>
  <r>
    <x v="8"/>
    <x v="1"/>
    <x v="0"/>
    <x v="1"/>
    <x v="1"/>
    <x v="0"/>
    <x v="0"/>
    <x v="1"/>
    <x v="1"/>
    <x v="4"/>
    <n v="4"/>
    <n v="4"/>
    <n v="0"/>
    <m/>
    <x v="1"/>
    <n v="0.12183831901464526"/>
  </r>
  <r>
    <x v="0"/>
    <x v="0"/>
    <x v="0"/>
    <x v="1"/>
    <x v="0"/>
    <x v="0"/>
    <x v="1"/>
    <x v="1"/>
    <x v="0"/>
    <x v="6"/>
    <n v="1"/>
    <n v="1"/>
    <n v="0"/>
    <n v="1"/>
    <x v="0"/>
    <n v="9.9703130635719027E-3"/>
  </r>
  <r>
    <x v="16"/>
    <x v="0"/>
    <x v="0"/>
    <x v="0"/>
    <x v="3"/>
    <x v="1"/>
    <x v="0"/>
    <x v="1"/>
    <x v="0"/>
    <x v="9"/>
    <n v="1"/>
    <n v="1"/>
    <n v="0"/>
    <m/>
    <x v="1"/>
    <n v="0.15440023172603565"/>
  </r>
  <r>
    <x v="1"/>
    <x v="0"/>
    <x v="0"/>
    <x v="0"/>
    <x v="3"/>
    <x v="0"/>
    <x v="0"/>
    <x v="0"/>
    <x v="2"/>
    <x v="9"/>
    <n v="1"/>
    <n v="1"/>
    <n v="0"/>
    <n v="1"/>
    <x v="0"/>
    <n v="0.17241763602692631"/>
  </r>
  <r>
    <x v="15"/>
    <x v="1"/>
    <x v="1"/>
    <x v="0"/>
    <x v="3"/>
    <x v="1"/>
    <x v="1"/>
    <x v="1"/>
    <x v="2"/>
    <x v="9"/>
    <n v="1"/>
    <n v="1"/>
    <n v="1"/>
    <n v="1"/>
    <x v="0"/>
    <n v="0.1692399337900779"/>
  </r>
  <r>
    <x v="21"/>
    <x v="1"/>
    <x v="1"/>
    <x v="0"/>
    <x v="0"/>
    <x v="0"/>
    <x v="0"/>
    <x v="0"/>
    <x v="1"/>
    <x v="4"/>
    <n v="5"/>
    <n v="7"/>
    <n v="0"/>
    <m/>
    <x v="1"/>
    <n v="0.21856371959961038"/>
  </r>
  <r>
    <x v="17"/>
    <x v="0"/>
    <x v="0"/>
    <x v="1"/>
    <x v="1"/>
    <x v="1"/>
    <x v="0"/>
    <x v="1"/>
    <x v="1"/>
    <x v="4"/>
    <n v="2"/>
    <n v="2"/>
    <n v="0"/>
    <n v="2"/>
    <x v="0"/>
    <n v="7.8582346257712016E-2"/>
  </r>
  <r>
    <x v="8"/>
    <x v="1"/>
    <x v="0"/>
    <x v="2"/>
    <x v="0"/>
    <x v="0"/>
    <x v="0"/>
    <x v="0"/>
    <x v="2"/>
    <x v="9"/>
    <n v="2"/>
    <n v="3"/>
    <n v="0"/>
    <m/>
    <x v="1"/>
    <n v="0.51750846862096134"/>
  </r>
  <r>
    <x v="16"/>
    <x v="0"/>
    <x v="1"/>
    <x v="2"/>
    <x v="0"/>
    <x v="0"/>
    <x v="0"/>
    <x v="0"/>
    <x v="0"/>
    <x v="4"/>
    <n v="1"/>
    <n v="1"/>
    <n v="0"/>
    <m/>
    <x v="1"/>
    <n v="4.089495301709424E-2"/>
  </r>
  <r>
    <x v="10"/>
    <x v="0"/>
    <x v="1"/>
    <x v="1"/>
    <x v="2"/>
    <x v="0"/>
    <x v="1"/>
    <x v="1"/>
    <x v="2"/>
    <x v="7"/>
    <n v="1"/>
    <n v="1"/>
    <n v="0"/>
    <m/>
    <x v="1"/>
    <n v="2.2529806175554733E-2"/>
  </r>
  <r>
    <x v="17"/>
    <x v="1"/>
    <x v="0"/>
    <x v="1"/>
    <x v="2"/>
    <x v="0"/>
    <x v="1"/>
    <x v="1"/>
    <x v="1"/>
    <x v="6"/>
    <n v="1"/>
    <n v="1"/>
    <n v="0"/>
    <n v="1"/>
    <x v="0"/>
    <n v="1.4482104507696861E-2"/>
  </r>
  <r>
    <x v="10"/>
    <x v="1"/>
    <x v="0"/>
    <x v="1"/>
    <x v="2"/>
    <x v="1"/>
    <x v="0"/>
    <x v="0"/>
    <x v="0"/>
    <x v="8"/>
    <n v="1"/>
    <n v="1"/>
    <n v="0"/>
    <m/>
    <x v="1"/>
    <n v="8.5045726905154884E-2"/>
  </r>
  <r>
    <x v="11"/>
    <x v="0"/>
    <x v="1"/>
    <x v="0"/>
    <x v="3"/>
    <x v="0"/>
    <x v="0"/>
    <x v="1"/>
    <x v="0"/>
    <x v="3"/>
    <n v="1"/>
    <n v="1"/>
    <n v="0"/>
    <m/>
    <x v="1"/>
    <n v="6.0528592439100186E-2"/>
  </r>
  <r>
    <x v="21"/>
    <x v="1"/>
    <x v="1"/>
    <x v="2"/>
    <x v="0"/>
    <x v="0"/>
    <x v="1"/>
    <x v="0"/>
    <x v="1"/>
    <x v="5"/>
    <n v="2"/>
    <n v="2"/>
    <n v="0"/>
    <m/>
    <x v="1"/>
    <n v="3.9330778607370831E-2"/>
  </r>
  <r>
    <x v="9"/>
    <x v="0"/>
    <x v="1"/>
    <x v="2"/>
    <x v="2"/>
    <x v="0"/>
    <x v="1"/>
    <x v="1"/>
    <x v="2"/>
    <x v="3"/>
    <n v="1"/>
    <n v="1"/>
    <n v="0"/>
    <n v="1"/>
    <x v="0"/>
    <n v="6.2337033552238463E-2"/>
  </r>
  <r>
    <x v="0"/>
    <x v="1"/>
    <x v="0"/>
    <x v="0"/>
    <x v="0"/>
    <x v="0"/>
    <x v="0"/>
    <x v="1"/>
    <x v="2"/>
    <x v="9"/>
    <n v="4"/>
    <n v="5"/>
    <n v="2"/>
    <n v="4"/>
    <x v="0"/>
    <n v="0.68394223648331687"/>
  </r>
  <r>
    <x v="11"/>
    <x v="0"/>
    <x v="0"/>
    <x v="0"/>
    <x v="0"/>
    <x v="1"/>
    <x v="1"/>
    <x v="0"/>
    <x v="1"/>
    <x v="7"/>
    <n v="1"/>
    <n v="1"/>
    <n v="0"/>
    <m/>
    <x v="1"/>
    <n v="2.7788483854578296E-2"/>
  </r>
  <r>
    <x v="7"/>
    <x v="1"/>
    <x v="1"/>
    <x v="0"/>
    <x v="3"/>
    <x v="0"/>
    <x v="1"/>
    <x v="1"/>
    <x v="1"/>
    <x v="7"/>
    <n v="1"/>
    <n v="1"/>
    <n v="0"/>
    <m/>
    <x v="1"/>
    <n v="2.9419365696574228E-2"/>
  </r>
  <r>
    <x v="16"/>
    <x v="0"/>
    <x v="0"/>
    <x v="0"/>
    <x v="0"/>
    <x v="1"/>
    <x v="0"/>
    <x v="1"/>
    <x v="1"/>
    <x v="0"/>
    <n v="1"/>
    <n v="1"/>
    <n v="0"/>
    <m/>
    <x v="1"/>
    <n v="5.6971121420815236E-2"/>
  </r>
  <r>
    <x v="14"/>
    <x v="0"/>
    <x v="0"/>
    <x v="0"/>
    <x v="0"/>
    <x v="1"/>
    <x v="0"/>
    <x v="0"/>
    <x v="0"/>
    <x v="1"/>
    <n v="1"/>
    <n v="1"/>
    <n v="0"/>
    <m/>
    <x v="1"/>
    <n v="8.4129123046113322E-2"/>
  </r>
  <r>
    <x v="7"/>
    <x v="1"/>
    <x v="1"/>
    <x v="0"/>
    <x v="0"/>
    <x v="0"/>
    <x v="0"/>
    <x v="0"/>
    <x v="1"/>
    <x v="4"/>
    <n v="4"/>
    <n v="6"/>
    <n v="0"/>
    <m/>
    <x v="1"/>
    <n v="0.18734033108538034"/>
  </r>
  <r>
    <x v="5"/>
    <x v="0"/>
    <x v="1"/>
    <x v="2"/>
    <x v="2"/>
    <x v="0"/>
    <x v="0"/>
    <x v="0"/>
    <x v="2"/>
    <x v="8"/>
    <n v="1"/>
    <n v="1"/>
    <n v="0"/>
    <n v="1"/>
    <x v="0"/>
    <n v="0.12320370260660997"/>
  </r>
  <r>
    <x v="3"/>
    <x v="0"/>
    <x v="0"/>
    <x v="2"/>
    <x v="0"/>
    <x v="0"/>
    <x v="0"/>
    <x v="0"/>
    <x v="2"/>
    <x v="8"/>
    <n v="3"/>
    <n v="4"/>
    <n v="0"/>
    <m/>
    <x v="1"/>
    <n v="0.48468662481451541"/>
  </r>
  <r>
    <x v="5"/>
    <x v="0"/>
    <x v="0"/>
    <x v="0"/>
    <x v="2"/>
    <x v="1"/>
    <x v="0"/>
    <x v="0"/>
    <x v="1"/>
    <x v="1"/>
    <n v="3"/>
    <n v="3"/>
    <n v="0"/>
    <n v="3"/>
    <x v="0"/>
    <n v="0.24429714241450645"/>
  </r>
  <r>
    <x v="16"/>
    <x v="1"/>
    <x v="0"/>
    <x v="0"/>
    <x v="2"/>
    <x v="0"/>
    <x v="0"/>
    <x v="0"/>
    <x v="0"/>
    <x v="8"/>
    <n v="4"/>
    <n v="4"/>
    <n v="0"/>
    <m/>
    <x v="1"/>
    <n v="0.37531300962138026"/>
  </r>
  <r>
    <x v="8"/>
    <x v="0"/>
    <x v="1"/>
    <x v="1"/>
    <x v="0"/>
    <x v="0"/>
    <x v="0"/>
    <x v="1"/>
    <x v="1"/>
    <x v="6"/>
    <n v="2"/>
    <n v="3"/>
    <n v="0"/>
    <m/>
    <x v="1"/>
    <n v="2.8886505489678724E-2"/>
  </r>
  <r>
    <x v="12"/>
    <x v="1"/>
    <x v="1"/>
    <x v="2"/>
    <x v="1"/>
    <x v="0"/>
    <x v="0"/>
    <x v="1"/>
    <x v="1"/>
    <x v="3"/>
    <n v="4"/>
    <n v="4"/>
    <n v="0"/>
    <m/>
    <x v="1"/>
    <n v="0.23682609346413264"/>
  </r>
  <r>
    <x v="11"/>
    <x v="1"/>
    <x v="1"/>
    <x v="1"/>
    <x v="0"/>
    <x v="0"/>
    <x v="0"/>
    <x v="0"/>
    <x v="1"/>
    <x v="6"/>
    <n v="1"/>
    <n v="1"/>
    <n v="0"/>
    <m/>
    <x v="1"/>
    <n v="1.4486748808385878E-2"/>
  </r>
  <r>
    <x v="3"/>
    <x v="0"/>
    <x v="0"/>
    <x v="1"/>
    <x v="1"/>
    <x v="1"/>
    <x v="0"/>
    <x v="1"/>
    <x v="0"/>
    <x v="0"/>
    <n v="2"/>
    <n v="2"/>
    <n v="0"/>
    <m/>
    <x v="1"/>
    <n v="0.11708880893825875"/>
  </r>
  <r>
    <x v="22"/>
    <x v="1"/>
    <x v="0"/>
    <x v="1"/>
    <x v="1"/>
    <x v="1"/>
    <x v="0"/>
    <x v="1"/>
    <x v="1"/>
    <x v="0"/>
    <n v="2"/>
    <n v="2"/>
    <n v="0"/>
    <n v="2"/>
    <x v="0"/>
    <n v="0.11646858008740466"/>
  </r>
  <r>
    <x v="15"/>
    <x v="1"/>
    <x v="1"/>
    <x v="0"/>
    <x v="0"/>
    <x v="0"/>
    <x v="0"/>
    <x v="0"/>
    <x v="2"/>
    <x v="8"/>
    <n v="1"/>
    <n v="1"/>
    <n v="0"/>
    <n v="1"/>
    <x v="0"/>
    <n v="9.9142550923112027E-2"/>
  </r>
  <r>
    <x v="1"/>
    <x v="1"/>
    <x v="1"/>
    <x v="2"/>
    <x v="0"/>
    <x v="0"/>
    <x v="0"/>
    <x v="0"/>
    <x v="0"/>
    <x v="3"/>
    <n v="1"/>
    <n v="2"/>
    <n v="0"/>
    <n v="1"/>
    <x v="0"/>
    <n v="0.12112508691129635"/>
  </r>
  <r>
    <x v="22"/>
    <x v="1"/>
    <x v="1"/>
    <x v="2"/>
    <x v="0"/>
    <x v="0"/>
    <x v="1"/>
    <x v="0"/>
    <x v="1"/>
    <x v="5"/>
    <n v="1"/>
    <n v="1"/>
    <n v="0"/>
    <n v="1"/>
    <x v="0"/>
    <n v="1.9665389303685415E-2"/>
  </r>
  <r>
    <x v="20"/>
    <x v="1"/>
    <x v="0"/>
    <x v="2"/>
    <x v="3"/>
    <x v="1"/>
    <x v="0"/>
    <x v="1"/>
    <x v="0"/>
    <x v="9"/>
    <n v="2"/>
    <n v="2"/>
    <n v="2"/>
    <n v="2"/>
    <x v="0"/>
    <n v="0.53283456137155227"/>
  </r>
  <r>
    <x v="18"/>
    <x v="1"/>
    <x v="0"/>
    <x v="2"/>
    <x v="1"/>
    <x v="0"/>
    <x v="0"/>
    <x v="1"/>
    <x v="0"/>
    <x v="8"/>
    <n v="1"/>
    <n v="1"/>
    <n v="0"/>
    <m/>
    <x v="1"/>
    <n v="0.12109536356069833"/>
  </r>
  <r>
    <x v="4"/>
    <x v="0"/>
    <x v="0"/>
    <x v="2"/>
    <x v="0"/>
    <x v="1"/>
    <x v="0"/>
    <x v="0"/>
    <x v="1"/>
    <x v="1"/>
    <n v="1"/>
    <n v="2"/>
    <n v="0"/>
    <m/>
    <x v="1"/>
    <n v="0.14724648342003765"/>
  </r>
  <r>
    <x v="4"/>
    <x v="0"/>
    <x v="0"/>
    <x v="0"/>
    <x v="2"/>
    <x v="1"/>
    <x v="0"/>
    <x v="0"/>
    <x v="0"/>
    <x v="8"/>
    <n v="1"/>
    <n v="2"/>
    <n v="0"/>
    <m/>
    <x v="1"/>
    <n v="0.23756451250297758"/>
  </r>
  <r>
    <x v="2"/>
    <x v="0"/>
    <x v="0"/>
    <x v="0"/>
    <x v="0"/>
    <x v="1"/>
    <x v="0"/>
    <x v="0"/>
    <x v="0"/>
    <x v="1"/>
    <n v="1"/>
    <n v="1"/>
    <n v="0"/>
    <m/>
    <x v="1"/>
    <n v="8.4129123046113322E-2"/>
  </r>
  <r>
    <x v="14"/>
    <x v="0"/>
    <x v="0"/>
    <x v="0"/>
    <x v="2"/>
    <x v="1"/>
    <x v="0"/>
    <x v="0"/>
    <x v="2"/>
    <x v="9"/>
    <n v="1"/>
    <n v="4"/>
    <n v="0"/>
    <m/>
    <x v="1"/>
    <n v="0.9294890506787874"/>
  </r>
  <r>
    <x v="16"/>
    <x v="1"/>
    <x v="1"/>
    <x v="2"/>
    <x v="0"/>
    <x v="0"/>
    <x v="0"/>
    <x v="1"/>
    <x v="1"/>
    <x v="4"/>
    <n v="1"/>
    <n v="1"/>
    <n v="0"/>
    <m/>
    <x v="1"/>
    <n v="4.0674290026531716E-2"/>
  </r>
  <r>
    <x v="22"/>
    <x v="0"/>
    <x v="1"/>
    <x v="0"/>
    <x v="2"/>
    <x v="0"/>
    <x v="1"/>
    <x v="1"/>
    <x v="1"/>
    <x v="5"/>
    <n v="2"/>
    <n v="2"/>
    <n v="0"/>
    <n v="2"/>
    <x v="0"/>
    <n v="2.916781368538008E-2"/>
  </r>
  <r>
    <x v="9"/>
    <x v="0"/>
    <x v="0"/>
    <x v="2"/>
    <x v="0"/>
    <x v="0"/>
    <x v="0"/>
    <x v="0"/>
    <x v="2"/>
    <x v="8"/>
    <n v="3"/>
    <n v="3"/>
    <n v="0"/>
    <n v="3"/>
    <x v="0"/>
    <n v="0.36351496861088656"/>
  </r>
  <r>
    <x v="12"/>
    <x v="1"/>
    <x v="0"/>
    <x v="2"/>
    <x v="0"/>
    <x v="0"/>
    <x v="0"/>
    <x v="1"/>
    <x v="0"/>
    <x v="8"/>
    <n v="1"/>
    <n v="1"/>
    <n v="0"/>
    <m/>
    <x v="1"/>
    <n v="8.4940305954857798E-2"/>
  </r>
  <r>
    <x v="9"/>
    <x v="1"/>
    <x v="0"/>
    <x v="0"/>
    <x v="3"/>
    <x v="1"/>
    <x v="0"/>
    <x v="0"/>
    <x v="1"/>
    <x v="9"/>
    <n v="1"/>
    <n v="1"/>
    <n v="0"/>
    <n v="1"/>
    <x v="0"/>
    <n v="0.15366523766540796"/>
  </r>
  <r>
    <x v="21"/>
    <x v="0"/>
    <x v="1"/>
    <x v="2"/>
    <x v="0"/>
    <x v="0"/>
    <x v="1"/>
    <x v="1"/>
    <x v="1"/>
    <x v="6"/>
    <n v="2"/>
    <n v="2"/>
    <n v="0"/>
    <m/>
    <x v="1"/>
    <n v="2.6187938623725072E-2"/>
  </r>
  <r>
    <x v="5"/>
    <x v="0"/>
    <x v="1"/>
    <x v="0"/>
    <x v="0"/>
    <x v="0"/>
    <x v="1"/>
    <x v="0"/>
    <x v="1"/>
    <x v="6"/>
    <n v="1"/>
    <n v="1"/>
    <n v="0"/>
    <n v="1"/>
    <x v="0"/>
    <n v="9.9848113487339026E-3"/>
  </r>
  <r>
    <x v="3"/>
    <x v="0"/>
    <x v="0"/>
    <x v="2"/>
    <x v="0"/>
    <x v="0"/>
    <x v="0"/>
    <x v="1"/>
    <x v="0"/>
    <x v="0"/>
    <n v="2"/>
    <n v="2"/>
    <n v="0"/>
    <m/>
    <x v="1"/>
    <n v="0.11568704600419652"/>
  </r>
  <r>
    <x v="10"/>
    <x v="0"/>
    <x v="0"/>
    <x v="0"/>
    <x v="3"/>
    <x v="1"/>
    <x v="0"/>
    <x v="1"/>
    <x v="0"/>
    <x v="9"/>
    <n v="1"/>
    <n v="1"/>
    <n v="0"/>
    <m/>
    <x v="1"/>
    <n v="0.15440023172603565"/>
  </r>
  <r>
    <x v="4"/>
    <x v="0"/>
    <x v="1"/>
    <x v="0"/>
    <x v="2"/>
    <x v="0"/>
    <x v="1"/>
    <x v="1"/>
    <x v="2"/>
    <x v="0"/>
    <n v="1"/>
    <n v="2"/>
    <n v="0"/>
    <m/>
    <x v="1"/>
    <n v="9.6210144432727171E-2"/>
  </r>
  <r>
    <x v="20"/>
    <x v="1"/>
    <x v="1"/>
    <x v="0"/>
    <x v="0"/>
    <x v="1"/>
    <x v="1"/>
    <x v="1"/>
    <x v="1"/>
    <x v="7"/>
    <n v="1"/>
    <n v="1"/>
    <n v="0"/>
    <n v="1"/>
    <x v="0"/>
    <n v="2.9138416298841268E-2"/>
  </r>
  <r>
    <x v="4"/>
    <x v="0"/>
    <x v="0"/>
    <x v="2"/>
    <x v="3"/>
    <x v="1"/>
    <x v="1"/>
    <x v="1"/>
    <x v="1"/>
    <x v="1"/>
    <n v="1"/>
    <n v="2"/>
    <n v="0"/>
    <m/>
    <x v="1"/>
    <n v="0.13909060890690983"/>
  </r>
  <r>
    <x v="17"/>
    <x v="0"/>
    <x v="0"/>
    <x v="1"/>
    <x v="2"/>
    <x v="0"/>
    <x v="1"/>
    <x v="1"/>
    <x v="0"/>
    <x v="5"/>
    <n v="1"/>
    <n v="1"/>
    <n v="0"/>
    <n v="1"/>
    <x v="0"/>
    <n v="1.4562828746708278E-2"/>
  </r>
  <r>
    <x v="8"/>
    <x v="1"/>
    <x v="0"/>
    <x v="1"/>
    <x v="0"/>
    <x v="0"/>
    <x v="1"/>
    <x v="1"/>
    <x v="2"/>
    <x v="4"/>
    <n v="2"/>
    <n v="3"/>
    <n v="0"/>
    <m/>
    <x v="1"/>
    <n v="9.9192199329674671E-2"/>
  </r>
  <r>
    <x v="1"/>
    <x v="0"/>
    <x v="0"/>
    <x v="0"/>
    <x v="2"/>
    <x v="1"/>
    <x v="0"/>
    <x v="1"/>
    <x v="0"/>
    <x v="8"/>
    <n v="1"/>
    <n v="1"/>
    <n v="0"/>
    <n v="1"/>
    <x v="0"/>
    <n v="0.11878225625148879"/>
  </r>
  <r>
    <x v="17"/>
    <x v="0"/>
    <x v="1"/>
    <x v="0"/>
    <x v="0"/>
    <x v="0"/>
    <x v="0"/>
    <x v="1"/>
    <x v="1"/>
    <x v="5"/>
    <n v="5"/>
    <n v="5"/>
    <n v="0"/>
    <n v="4"/>
    <x v="0"/>
    <n v="0.10435978708293048"/>
  </r>
  <r>
    <x v="17"/>
    <x v="1"/>
    <x v="1"/>
    <x v="1"/>
    <x v="0"/>
    <x v="0"/>
    <x v="1"/>
    <x v="1"/>
    <x v="1"/>
    <x v="6"/>
    <n v="1"/>
    <n v="1"/>
    <n v="0"/>
    <n v="1"/>
    <x v="0"/>
    <n v="6.9067353216518941E-3"/>
  </r>
  <r>
    <x v="9"/>
    <x v="0"/>
    <x v="0"/>
    <x v="2"/>
    <x v="0"/>
    <x v="0"/>
    <x v="0"/>
    <x v="0"/>
    <x v="0"/>
    <x v="0"/>
    <n v="2"/>
    <n v="2"/>
    <n v="0"/>
    <n v="2"/>
    <x v="0"/>
    <n v="0.11568704600419652"/>
  </r>
  <r>
    <x v="5"/>
    <x v="1"/>
    <x v="0"/>
    <x v="2"/>
    <x v="2"/>
    <x v="0"/>
    <x v="1"/>
    <x v="1"/>
    <x v="1"/>
    <x v="4"/>
    <n v="1"/>
    <n v="2"/>
    <n v="0"/>
    <n v="1"/>
    <x v="0"/>
    <n v="8.1323193327279719E-2"/>
  </r>
  <r>
    <x v="20"/>
    <x v="1"/>
    <x v="1"/>
    <x v="0"/>
    <x v="2"/>
    <x v="0"/>
    <x v="1"/>
    <x v="1"/>
    <x v="2"/>
    <x v="1"/>
    <n v="1"/>
    <n v="2"/>
    <n v="0"/>
    <n v="1"/>
    <x v="0"/>
    <n v="0.14196717402707462"/>
  </r>
  <r>
    <x v="11"/>
    <x v="1"/>
    <x v="1"/>
    <x v="0"/>
    <x v="3"/>
    <x v="1"/>
    <x v="0"/>
    <x v="1"/>
    <x v="1"/>
    <x v="8"/>
    <n v="1"/>
    <n v="1"/>
    <n v="0"/>
    <m/>
    <x v="1"/>
    <n v="0.11197715523543472"/>
  </r>
  <r>
    <x v="8"/>
    <x v="0"/>
    <x v="1"/>
    <x v="1"/>
    <x v="2"/>
    <x v="0"/>
    <x v="0"/>
    <x v="1"/>
    <x v="0"/>
    <x v="5"/>
    <n v="1"/>
    <n v="1"/>
    <n v="0"/>
    <m/>
    <x v="1"/>
    <n v="2.1232152294556311E-2"/>
  </r>
  <r>
    <x v="6"/>
    <x v="0"/>
    <x v="0"/>
    <x v="2"/>
    <x v="0"/>
    <x v="1"/>
    <x v="0"/>
    <x v="1"/>
    <x v="1"/>
    <x v="1"/>
    <n v="1"/>
    <n v="1"/>
    <n v="0"/>
    <m/>
    <x v="1"/>
    <n v="7.3623241710018827E-2"/>
  </r>
  <r>
    <x v="17"/>
    <x v="1"/>
    <x v="0"/>
    <x v="0"/>
    <x v="3"/>
    <x v="1"/>
    <x v="0"/>
    <x v="0"/>
    <x v="2"/>
    <x v="9"/>
    <n v="2"/>
    <n v="2"/>
    <n v="0"/>
    <n v="2"/>
    <x v="0"/>
    <n v="0.76542055614954618"/>
  </r>
  <r>
    <x v="12"/>
    <x v="0"/>
    <x v="0"/>
    <x v="2"/>
    <x v="2"/>
    <x v="0"/>
    <x v="0"/>
    <x v="1"/>
    <x v="2"/>
    <x v="9"/>
    <n v="3"/>
    <n v="3"/>
    <n v="0"/>
    <m/>
    <x v="1"/>
    <n v="0.50483792608287215"/>
  </r>
  <r>
    <x v="5"/>
    <x v="1"/>
    <x v="0"/>
    <x v="2"/>
    <x v="2"/>
    <x v="1"/>
    <x v="0"/>
    <x v="0"/>
    <x v="1"/>
    <x v="9"/>
    <n v="1"/>
    <n v="1"/>
    <n v="1"/>
    <n v="1"/>
    <x v="0"/>
    <n v="0.14989547850382232"/>
  </r>
  <r>
    <x v="9"/>
    <x v="1"/>
    <x v="1"/>
    <x v="2"/>
    <x v="0"/>
    <x v="0"/>
    <x v="0"/>
    <x v="0"/>
    <x v="0"/>
    <x v="3"/>
    <n v="2"/>
    <n v="3"/>
    <n v="0"/>
    <n v="2"/>
    <x v="0"/>
    <n v="0.18168763036694452"/>
  </r>
  <r>
    <x v="22"/>
    <x v="0"/>
    <x v="0"/>
    <x v="0"/>
    <x v="3"/>
    <x v="0"/>
    <x v="1"/>
    <x v="1"/>
    <x v="2"/>
    <x v="8"/>
    <n v="1"/>
    <n v="2"/>
    <n v="0"/>
    <n v="1"/>
    <x v="0"/>
    <n v="0.17945147547396764"/>
  </r>
  <r>
    <x v="9"/>
    <x v="0"/>
    <x v="0"/>
    <x v="2"/>
    <x v="2"/>
    <x v="1"/>
    <x v="1"/>
    <x v="0"/>
    <x v="2"/>
    <x v="9"/>
    <n v="1"/>
    <n v="1"/>
    <n v="0"/>
    <n v="1"/>
    <x v="0"/>
    <n v="0.15854002300480582"/>
  </r>
  <r>
    <x v="21"/>
    <x v="0"/>
    <x v="1"/>
    <x v="2"/>
    <x v="1"/>
    <x v="0"/>
    <x v="0"/>
    <x v="1"/>
    <x v="2"/>
    <x v="8"/>
    <n v="1"/>
    <n v="4"/>
    <n v="0"/>
    <m/>
    <x v="1"/>
    <n v="0.49777616002238495"/>
  </r>
  <r>
    <x v="0"/>
    <x v="0"/>
    <x v="1"/>
    <x v="2"/>
    <x v="1"/>
    <x v="1"/>
    <x v="0"/>
    <x v="1"/>
    <x v="0"/>
    <x v="8"/>
    <n v="2"/>
    <n v="2"/>
    <n v="0"/>
    <n v="2"/>
    <x v="0"/>
    <n v="0.22153763074869481"/>
  </r>
  <r>
    <x v="19"/>
    <x v="0"/>
    <x v="1"/>
    <x v="1"/>
    <x v="0"/>
    <x v="0"/>
    <x v="0"/>
    <x v="1"/>
    <x v="1"/>
    <x v="6"/>
    <n v="3"/>
    <n v="3"/>
    <n v="0"/>
    <m/>
    <x v="1"/>
    <n v="2.8886505489678724E-2"/>
  </r>
  <r>
    <x v="3"/>
    <x v="1"/>
    <x v="0"/>
    <x v="1"/>
    <x v="0"/>
    <x v="0"/>
    <x v="0"/>
    <x v="0"/>
    <x v="1"/>
    <x v="5"/>
    <n v="2"/>
    <n v="2"/>
    <n v="0"/>
    <m/>
    <x v="1"/>
    <n v="4.1454369734826219E-2"/>
  </r>
  <r>
    <x v="11"/>
    <x v="1"/>
    <x v="1"/>
    <x v="2"/>
    <x v="2"/>
    <x v="0"/>
    <x v="0"/>
    <x v="1"/>
    <x v="0"/>
    <x v="8"/>
    <n v="1"/>
    <n v="1"/>
    <n v="0"/>
    <m/>
    <x v="1"/>
    <n v="8.6424504948779526E-2"/>
  </r>
  <r>
    <x v="8"/>
    <x v="1"/>
    <x v="1"/>
    <x v="0"/>
    <x v="0"/>
    <x v="0"/>
    <x v="1"/>
    <x v="0"/>
    <x v="2"/>
    <x v="0"/>
    <n v="1"/>
    <n v="1"/>
    <n v="0"/>
    <m/>
    <x v="1"/>
    <n v="4.9491902792675999E-2"/>
  </r>
  <r>
    <x v="10"/>
    <x v="0"/>
    <x v="0"/>
    <x v="1"/>
    <x v="0"/>
    <x v="1"/>
    <x v="0"/>
    <x v="0"/>
    <x v="1"/>
    <x v="7"/>
    <n v="1"/>
    <n v="1"/>
    <n v="0"/>
    <m/>
    <x v="1"/>
    <n v="2.6814967241158918E-2"/>
  </r>
  <r>
    <x v="22"/>
    <x v="0"/>
    <x v="0"/>
    <x v="2"/>
    <x v="2"/>
    <x v="0"/>
    <x v="0"/>
    <x v="1"/>
    <x v="1"/>
    <x v="0"/>
    <n v="1"/>
    <n v="1"/>
    <n v="0"/>
    <n v="1"/>
    <x v="0"/>
    <n v="5.5937898870790044E-2"/>
  </r>
  <r>
    <x v="1"/>
    <x v="0"/>
    <x v="1"/>
    <x v="1"/>
    <x v="1"/>
    <x v="1"/>
    <x v="0"/>
    <x v="1"/>
    <x v="0"/>
    <x v="4"/>
    <n v="2"/>
    <n v="2"/>
    <n v="0"/>
    <n v="2"/>
    <x v="0"/>
    <n v="8.2798990131375066E-2"/>
  </r>
  <r>
    <x v="20"/>
    <x v="0"/>
    <x v="0"/>
    <x v="1"/>
    <x v="0"/>
    <x v="1"/>
    <x v="0"/>
    <x v="1"/>
    <x v="1"/>
    <x v="7"/>
    <n v="1"/>
    <n v="1"/>
    <n v="0"/>
    <n v="1"/>
    <x v="0"/>
    <n v="2.6814967241158918E-2"/>
  </r>
  <r>
    <x v="9"/>
    <x v="1"/>
    <x v="1"/>
    <x v="2"/>
    <x v="0"/>
    <x v="0"/>
    <x v="1"/>
    <x v="1"/>
    <x v="1"/>
    <x v="5"/>
    <n v="1"/>
    <n v="1"/>
    <n v="0"/>
    <n v="1"/>
    <x v="0"/>
    <n v="1.9665389303685415E-2"/>
  </r>
  <r>
    <x v="20"/>
    <x v="0"/>
    <x v="0"/>
    <x v="1"/>
    <x v="2"/>
    <x v="1"/>
    <x v="0"/>
    <x v="1"/>
    <x v="0"/>
    <x v="0"/>
    <n v="1"/>
    <n v="1"/>
    <n v="0"/>
    <n v="1"/>
    <x v="0"/>
    <n v="5.7917442228855184E-2"/>
  </r>
  <r>
    <x v="2"/>
    <x v="0"/>
    <x v="0"/>
    <x v="1"/>
    <x v="2"/>
    <x v="1"/>
    <x v="1"/>
    <x v="1"/>
    <x v="0"/>
    <x v="7"/>
    <n v="1"/>
    <n v="1"/>
    <n v="0"/>
    <m/>
    <x v="1"/>
    <n v="2.8264594111214687E-2"/>
  </r>
  <r>
    <x v="19"/>
    <x v="0"/>
    <x v="1"/>
    <x v="2"/>
    <x v="0"/>
    <x v="0"/>
    <x v="0"/>
    <x v="0"/>
    <x v="2"/>
    <x v="8"/>
    <n v="1"/>
    <n v="1"/>
    <n v="0"/>
    <m/>
    <x v="1"/>
    <n v="8.7388588178664475E-2"/>
  </r>
  <r>
    <x v="8"/>
    <x v="0"/>
    <x v="0"/>
    <x v="0"/>
    <x v="3"/>
    <x v="1"/>
    <x v="0"/>
    <x v="0"/>
    <x v="2"/>
    <x v="9"/>
    <n v="1"/>
    <n v="1"/>
    <n v="0"/>
    <m/>
    <x v="1"/>
    <n v="0.29081078354285356"/>
  </r>
  <r>
    <x v="12"/>
    <x v="0"/>
    <x v="0"/>
    <x v="2"/>
    <x v="2"/>
    <x v="0"/>
    <x v="0"/>
    <x v="0"/>
    <x v="0"/>
    <x v="1"/>
    <n v="1"/>
    <n v="2"/>
    <n v="1"/>
    <m/>
    <x v="1"/>
    <n v="0.16529306235547556"/>
  </r>
  <r>
    <x v="1"/>
    <x v="0"/>
    <x v="1"/>
    <x v="0"/>
    <x v="0"/>
    <x v="1"/>
    <x v="1"/>
    <x v="1"/>
    <x v="1"/>
    <x v="5"/>
    <n v="2"/>
    <n v="2"/>
    <n v="0"/>
    <n v="2"/>
    <x v="0"/>
    <n v="3.892864843052074E-2"/>
  </r>
  <r>
    <x v="4"/>
    <x v="0"/>
    <x v="0"/>
    <x v="2"/>
    <x v="2"/>
    <x v="1"/>
    <x v="0"/>
    <x v="1"/>
    <x v="0"/>
    <x v="9"/>
    <n v="1"/>
    <n v="1"/>
    <n v="0"/>
    <m/>
    <x v="1"/>
    <n v="0.15061565033412677"/>
  </r>
  <r>
    <x v="9"/>
    <x v="1"/>
    <x v="1"/>
    <x v="1"/>
    <x v="2"/>
    <x v="1"/>
    <x v="1"/>
    <x v="0"/>
    <x v="1"/>
    <x v="5"/>
    <n v="1"/>
    <n v="1"/>
    <n v="0"/>
    <m/>
    <x v="0"/>
    <n v="1.9691539744554062E-2"/>
  </r>
  <r>
    <x v="15"/>
    <x v="0"/>
    <x v="1"/>
    <x v="0"/>
    <x v="3"/>
    <x v="1"/>
    <x v="1"/>
    <x v="1"/>
    <x v="0"/>
    <x v="0"/>
    <n v="1"/>
    <n v="2"/>
    <n v="0"/>
    <n v="1"/>
    <x v="0"/>
    <n v="0.11320213634494582"/>
  </r>
  <r>
    <x v="12"/>
    <x v="1"/>
    <x v="0"/>
    <x v="0"/>
    <x v="1"/>
    <x v="1"/>
    <x v="0"/>
    <x v="1"/>
    <x v="2"/>
    <x v="9"/>
    <n v="2"/>
    <n v="6"/>
    <n v="0"/>
    <m/>
    <x v="1"/>
    <n v="1.8986899967529538"/>
  </r>
  <r>
    <x v="11"/>
    <x v="0"/>
    <x v="0"/>
    <x v="1"/>
    <x v="0"/>
    <x v="0"/>
    <x v="1"/>
    <x v="0"/>
    <x v="1"/>
    <x v="6"/>
    <n v="4"/>
    <n v="4"/>
    <n v="0"/>
    <m/>
    <x v="1"/>
    <n v="2.631911178026412E-2"/>
  </r>
  <r>
    <x v="12"/>
    <x v="0"/>
    <x v="0"/>
    <x v="0"/>
    <x v="0"/>
    <x v="0"/>
    <x v="1"/>
    <x v="0"/>
    <x v="0"/>
    <x v="7"/>
    <n v="1"/>
    <n v="1"/>
    <n v="0"/>
    <m/>
    <x v="1"/>
    <n v="2.1603464808317204E-2"/>
  </r>
  <r>
    <x v="16"/>
    <x v="0"/>
    <x v="0"/>
    <x v="2"/>
    <x v="3"/>
    <x v="1"/>
    <x v="0"/>
    <x v="0"/>
    <x v="2"/>
    <x v="9"/>
    <n v="1"/>
    <n v="1"/>
    <n v="0"/>
    <m/>
    <x v="1"/>
    <n v="0.35041457657899155"/>
  </r>
  <r>
    <x v="13"/>
    <x v="0"/>
    <x v="0"/>
    <x v="2"/>
    <x v="1"/>
    <x v="0"/>
    <x v="0"/>
    <x v="1"/>
    <x v="2"/>
    <x v="9"/>
    <n v="2"/>
    <n v="3"/>
    <n v="0"/>
    <m/>
    <x v="1"/>
    <n v="0.5096565400747386"/>
  </r>
  <r>
    <x v="5"/>
    <x v="0"/>
    <x v="0"/>
    <x v="1"/>
    <x v="0"/>
    <x v="1"/>
    <x v="0"/>
    <x v="0"/>
    <x v="2"/>
    <x v="8"/>
    <n v="1"/>
    <n v="1"/>
    <n v="0"/>
    <n v="1"/>
    <x v="0"/>
    <n v="8.5995877369438381E-2"/>
  </r>
  <r>
    <x v="16"/>
    <x v="0"/>
    <x v="0"/>
    <x v="0"/>
    <x v="3"/>
    <x v="0"/>
    <x v="1"/>
    <x v="1"/>
    <x v="2"/>
    <x v="8"/>
    <n v="1"/>
    <n v="2"/>
    <n v="0"/>
    <m/>
    <x v="1"/>
    <n v="0.17945147547396764"/>
  </r>
  <r>
    <x v="6"/>
    <x v="0"/>
    <x v="1"/>
    <x v="0"/>
    <x v="3"/>
    <x v="1"/>
    <x v="0"/>
    <x v="1"/>
    <x v="2"/>
    <x v="9"/>
    <n v="1"/>
    <n v="1"/>
    <n v="0"/>
    <m/>
    <x v="1"/>
    <n v="0.22166089127555452"/>
  </r>
  <r>
    <x v="9"/>
    <x v="0"/>
    <x v="1"/>
    <x v="0"/>
    <x v="0"/>
    <x v="0"/>
    <x v="0"/>
    <x v="0"/>
    <x v="2"/>
    <x v="1"/>
    <n v="1"/>
    <n v="1"/>
    <n v="0"/>
    <n v="1"/>
    <x v="0"/>
    <n v="6.785105877159095E-2"/>
  </r>
  <r>
    <x v="19"/>
    <x v="1"/>
    <x v="0"/>
    <x v="0"/>
    <x v="0"/>
    <x v="0"/>
    <x v="0"/>
    <x v="1"/>
    <x v="0"/>
    <x v="1"/>
    <n v="6"/>
    <n v="10"/>
    <n v="0"/>
    <m/>
    <x v="1"/>
    <n v="0.65910609031603462"/>
  </r>
  <r>
    <x v="22"/>
    <x v="1"/>
    <x v="1"/>
    <x v="0"/>
    <x v="0"/>
    <x v="0"/>
    <x v="1"/>
    <x v="0"/>
    <x v="0"/>
    <x v="7"/>
    <n v="1"/>
    <n v="1"/>
    <n v="0"/>
    <n v="1"/>
    <x v="0"/>
    <n v="2.2659939205773683E-2"/>
  </r>
  <r>
    <x v="7"/>
    <x v="0"/>
    <x v="1"/>
    <x v="0"/>
    <x v="3"/>
    <x v="1"/>
    <x v="1"/>
    <x v="1"/>
    <x v="0"/>
    <x v="0"/>
    <n v="1"/>
    <n v="1"/>
    <n v="0"/>
    <m/>
    <x v="1"/>
    <n v="5.6601068172472908E-2"/>
  </r>
  <r>
    <x v="20"/>
    <x v="1"/>
    <x v="1"/>
    <x v="2"/>
    <x v="1"/>
    <x v="1"/>
    <x v="0"/>
    <x v="1"/>
    <x v="0"/>
    <x v="9"/>
    <n v="2"/>
    <n v="3"/>
    <n v="0"/>
    <n v="2"/>
    <x v="0"/>
    <n v="0.47546349480990163"/>
  </r>
  <r>
    <x v="11"/>
    <x v="1"/>
    <x v="1"/>
    <x v="0"/>
    <x v="3"/>
    <x v="1"/>
    <x v="0"/>
    <x v="0"/>
    <x v="2"/>
    <x v="9"/>
    <n v="1"/>
    <n v="1"/>
    <n v="0"/>
    <m/>
    <x v="1"/>
    <n v="0.30098236555114261"/>
  </r>
  <r>
    <x v="4"/>
    <x v="1"/>
    <x v="0"/>
    <x v="0"/>
    <x v="2"/>
    <x v="0"/>
    <x v="0"/>
    <x v="0"/>
    <x v="0"/>
    <x v="8"/>
    <n v="2"/>
    <n v="6"/>
    <n v="0"/>
    <m/>
    <x v="1"/>
    <n v="0.56296951443207033"/>
  </r>
  <r>
    <x v="5"/>
    <x v="0"/>
    <x v="1"/>
    <x v="0"/>
    <x v="2"/>
    <x v="1"/>
    <x v="1"/>
    <x v="0"/>
    <x v="1"/>
    <x v="7"/>
    <n v="1"/>
    <n v="1"/>
    <n v="0"/>
    <m/>
    <x v="0"/>
    <n v="2.8304934375149939E-2"/>
  </r>
  <r>
    <x v="2"/>
    <x v="0"/>
    <x v="1"/>
    <x v="2"/>
    <x v="2"/>
    <x v="0"/>
    <x v="0"/>
    <x v="1"/>
    <x v="1"/>
    <x v="4"/>
    <n v="1"/>
    <n v="2"/>
    <n v="0"/>
    <m/>
    <x v="1"/>
    <n v="7.9048533545055685E-2"/>
  </r>
  <r>
    <x v="2"/>
    <x v="1"/>
    <x v="1"/>
    <x v="2"/>
    <x v="2"/>
    <x v="0"/>
    <x v="0"/>
    <x v="1"/>
    <x v="1"/>
    <x v="0"/>
    <n v="1"/>
    <n v="1"/>
    <n v="0"/>
    <m/>
    <x v="1"/>
    <n v="5.857291153169402E-2"/>
  </r>
  <r>
    <x v="18"/>
    <x v="0"/>
    <x v="0"/>
    <x v="1"/>
    <x v="2"/>
    <x v="1"/>
    <x v="0"/>
    <x v="1"/>
    <x v="1"/>
    <x v="4"/>
    <n v="2"/>
    <n v="2"/>
    <n v="0"/>
    <m/>
    <x v="1"/>
    <n v="7.7723772083177017E-2"/>
  </r>
  <r>
    <x v="15"/>
    <x v="1"/>
    <x v="0"/>
    <x v="0"/>
    <x v="0"/>
    <x v="1"/>
    <x v="0"/>
    <x v="0"/>
    <x v="0"/>
    <x v="8"/>
    <n v="1"/>
    <n v="1"/>
    <n v="0"/>
    <n v="1"/>
    <x v="0"/>
    <n v="0.12194562411528299"/>
  </r>
  <r>
    <x v="4"/>
    <x v="1"/>
    <x v="0"/>
    <x v="1"/>
    <x v="1"/>
    <x v="0"/>
    <x v="0"/>
    <x v="1"/>
    <x v="0"/>
    <x v="0"/>
    <n v="1"/>
    <n v="1"/>
    <n v="0"/>
    <m/>
    <x v="1"/>
    <n v="4.5590572395740707E-2"/>
  </r>
  <r>
    <x v="1"/>
    <x v="0"/>
    <x v="1"/>
    <x v="0"/>
    <x v="0"/>
    <x v="1"/>
    <x v="1"/>
    <x v="0"/>
    <x v="1"/>
    <x v="5"/>
    <n v="1"/>
    <n v="1"/>
    <n v="0"/>
    <n v="1"/>
    <x v="0"/>
    <n v="1.946432421526037E-2"/>
  </r>
  <r>
    <x v="7"/>
    <x v="0"/>
    <x v="0"/>
    <x v="2"/>
    <x v="3"/>
    <x v="1"/>
    <x v="0"/>
    <x v="1"/>
    <x v="0"/>
    <x v="9"/>
    <n v="1"/>
    <n v="2"/>
    <n v="0"/>
    <m/>
    <x v="1"/>
    <n v="0.38736234302699285"/>
  </r>
  <r>
    <x v="19"/>
    <x v="1"/>
    <x v="0"/>
    <x v="1"/>
    <x v="3"/>
    <x v="1"/>
    <x v="1"/>
    <x v="1"/>
    <x v="2"/>
    <x v="8"/>
    <n v="1"/>
    <n v="2"/>
    <n v="0"/>
    <m/>
    <x v="1"/>
    <n v="0.2359971468343367"/>
  </r>
  <r>
    <x v="10"/>
    <x v="1"/>
    <x v="0"/>
    <x v="2"/>
    <x v="0"/>
    <x v="0"/>
    <x v="0"/>
    <x v="0"/>
    <x v="0"/>
    <x v="8"/>
    <n v="1"/>
    <n v="3"/>
    <n v="0"/>
    <m/>
    <x v="1"/>
    <n v="0.25482091786457345"/>
  </r>
  <r>
    <x v="17"/>
    <x v="0"/>
    <x v="1"/>
    <x v="1"/>
    <x v="0"/>
    <x v="0"/>
    <x v="0"/>
    <x v="1"/>
    <x v="0"/>
    <x v="5"/>
    <n v="1"/>
    <n v="1"/>
    <n v="0"/>
    <n v="1"/>
    <x v="0"/>
    <n v="1.4567498552386326E-2"/>
  </r>
  <r>
    <x v="3"/>
    <x v="0"/>
    <x v="0"/>
    <x v="0"/>
    <x v="3"/>
    <x v="0"/>
    <x v="0"/>
    <x v="1"/>
    <x v="1"/>
    <x v="0"/>
    <n v="1"/>
    <n v="1"/>
    <n v="0"/>
    <m/>
    <x v="1"/>
    <n v="5.7504535626010621E-2"/>
  </r>
  <r>
    <x v="15"/>
    <x v="1"/>
    <x v="0"/>
    <x v="0"/>
    <x v="0"/>
    <x v="0"/>
    <x v="1"/>
    <x v="1"/>
    <x v="2"/>
    <x v="1"/>
    <n v="2"/>
    <n v="3"/>
    <n v="1"/>
    <n v="2"/>
    <x v="0"/>
    <n v="0.20923294981328672"/>
  </r>
  <r>
    <x v="15"/>
    <x v="0"/>
    <x v="0"/>
    <x v="0"/>
    <x v="0"/>
    <x v="1"/>
    <x v="0"/>
    <x v="1"/>
    <x v="0"/>
    <x v="1"/>
    <n v="1"/>
    <n v="1"/>
    <n v="0"/>
    <n v="1"/>
    <x v="0"/>
    <n v="8.4129123046113322E-2"/>
  </r>
  <r>
    <x v="8"/>
    <x v="0"/>
    <x v="1"/>
    <x v="1"/>
    <x v="2"/>
    <x v="0"/>
    <x v="1"/>
    <x v="1"/>
    <x v="2"/>
    <x v="7"/>
    <n v="1"/>
    <n v="1"/>
    <n v="0"/>
    <m/>
    <x v="1"/>
    <n v="2.2529806175554733E-2"/>
  </r>
  <r>
    <x v="10"/>
    <x v="1"/>
    <x v="0"/>
    <x v="0"/>
    <x v="2"/>
    <x v="0"/>
    <x v="0"/>
    <x v="0"/>
    <x v="2"/>
    <x v="9"/>
    <n v="1"/>
    <n v="2"/>
    <n v="0"/>
    <m/>
    <x v="1"/>
    <n v="0.37732807686992731"/>
  </r>
  <r>
    <x v="20"/>
    <x v="1"/>
    <x v="0"/>
    <x v="2"/>
    <x v="3"/>
    <x v="1"/>
    <x v="1"/>
    <x v="1"/>
    <x v="2"/>
    <x v="9"/>
    <n v="1"/>
    <n v="1"/>
    <n v="0"/>
    <n v="1"/>
    <x v="0"/>
    <n v="0.27843709927306881"/>
  </r>
  <r>
    <x v="22"/>
    <x v="1"/>
    <x v="0"/>
    <x v="0"/>
    <x v="2"/>
    <x v="1"/>
    <x v="0"/>
    <x v="0"/>
    <x v="0"/>
    <x v="9"/>
    <n v="1"/>
    <n v="1"/>
    <n v="1"/>
    <n v="1"/>
    <x v="0"/>
    <n v="0.1692962067399281"/>
  </r>
  <r>
    <x v="5"/>
    <x v="1"/>
    <x v="1"/>
    <x v="2"/>
    <x v="0"/>
    <x v="0"/>
    <x v="0"/>
    <x v="0"/>
    <x v="0"/>
    <x v="3"/>
    <n v="1"/>
    <n v="1"/>
    <n v="0"/>
    <n v="1"/>
    <x v="0"/>
    <n v="6.0562543455648175E-2"/>
  </r>
  <r>
    <x v="10"/>
    <x v="1"/>
    <x v="0"/>
    <x v="2"/>
    <x v="2"/>
    <x v="0"/>
    <x v="0"/>
    <x v="1"/>
    <x v="2"/>
    <x v="9"/>
    <n v="1"/>
    <n v="6"/>
    <n v="0"/>
    <m/>
    <x v="1"/>
    <n v="1.4054834358659369"/>
  </r>
  <r>
    <x v="12"/>
    <x v="0"/>
    <x v="1"/>
    <x v="1"/>
    <x v="3"/>
    <x v="1"/>
    <x v="1"/>
    <x v="1"/>
    <x v="1"/>
    <x v="5"/>
    <n v="1"/>
    <n v="1"/>
    <n v="0"/>
    <m/>
    <x v="1"/>
    <n v="1.7678788746375976E-2"/>
  </r>
  <r>
    <x v="15"/>
    <x v="1"/>
    <x v="0"/>
    <x v="2"/>
    <x v="3"/>
    <x v="1"/>
    <x v="0"/>
    <x v="1"/>
    <x v="2"/>
    <x v="9"/>
    <n v="1"/>
    <n v="1"/>
    <n v="0"/>
    <n v="1"/>
    <x v="0"/>
    <n v="0.44921867129852688"/>
  </r>
  <r>
    <x v="7"/>
    <x v="0"/>
    <x v="0"/>
    <x v="0"/>
    <x v="2"/>
    <x v="0"/>
    <x v="1"/>
    <x v="0"/>
    <x v="2"/>
    <x v="1"/>
    <n v="2"/>
    <n v="2"/>
    <n v="0"/>
    <m/>
    <x v="1"/>
    <n v="0.13566096786848825"/>
  </r>
  <r>
    <x v="5"/>
    <x v="1"/>
    <x v="0"/>
    <x v="1"/>
    <x v="0"/>
    <x v="0"/>
    <x v="1"/>
    <x v="0"/>
    <x v="2"/>
    <x v="4"/>
    <n v="1"/>
    <n v="2"/>
    <n v="0"/>
    <n v="1"/>
    <x v="0"/>
    <n v="6.6128132886449781E-2"/>
  </r>
  <r>
    <x v="18"/>
    <x v="0"/>
    <x v="1"/>
    <x v="2"/>
    <x v="2"/>
    <x v="0"/>
    <x v="0"/>
    <x v="0"/>
    <x v="2"/>
    <x v="8"/>
    <n v="1"/>
    <n v="1"/>
    <n v="0"/>
    <m/>
    <x v="1"/>
    <n v="0.12320370260660997"/>
  </r>
  <r>
    <x v="15"/>
    <x v="1"/>
    <x v="0"/>
    <x v="0"/>
    <x v="3"/>
    <x v="0"/>
    <x v="1"/>
    <x v="1"/>
    <x v="0"/>
    <x v="3"/>
    <n v="1"/>
    <n v="1"/>
    <n v="0"/>
    <n v="1"/>
    <x v="0"/>
    <n v="6.2231171033494175E-2"/>
  </r>
  <r>
    <x v="9"/>
    <x v="0"/>
    <x v="0"/>
    <x v="1"/>
    <x v="0"/>
    <x v="0"/>
    <x v="1"/>
    <x v="1"/>
    <x v="2"/>
    <x v="7"/>
    <n v="1"/>
    <n v="1"/>
    <n v="0"/>
    <n v="1"/>
    <x v="0"/>
    <n v="2.2116330033594731E-2"/>
  </r>
  <r>
    <x v="22"/>
    <x v="0"/>
    <x v="1"/>
    <x v="2"/>
    <x v="0"/>
    <x v="1"/>
    <x v="0"/>
    <x v="0"/>
    <x v="1"/>
    <x v="0"/>
    <n v="1"/>
    <n v="2"/>
    <n v="0"/>
    <n v="1"/>
    <x v="0"/>
    <n v="0.10461559458137147"/>
  </r>
  <r>
    <x v="9"/>
    <x v="1"/>
    <x v="1"/>
    <x v="1"/>
    <x v="1"/>
    <x v="1"/>
    <x v="0"/>
    <x v="1"/>
    <x v="0"/>
    <x v="3"/>
    <n v="1"/>
    <n v="1"/>
    <n v="0"/>
    <n v="1"/>
    <x v="0"/>
    <n v="6.1294227515489554E-2"/>
  </r>
  <r>
    <x v="4"/>
    <x v="0"/>
    <x v="0"/>
    <x v="0"/>
    <x v="0"/>
    <x v="0"/>
    <x v="1"/>
    <x v="1"/>
    <x v="0"/>
    <x v="7"/>
    <n v="2"/>
    <n v="3"/>
    <n v="0"/>
    <m/>
    <x v="1"/>
    <n v="6.4810394424951609E-2"/>
  </r>
  <r>
    <x v="3"/>
    <x v="1"/>
    <x v="0"/>
    <x v="0"/>
    <x v="0"/>
    <x v="0"/>
    <x v="1"/>
    <x v="1"/>
    <x v="2"/>
    <x v="1"/>
    <n v="2"/>
    <n v="2"/>
    <n v="0"/>
    <m/>
    <x v="1"/>
    <n v="0.13948863320885782"/>
  </r>
  <r>
    <x v="9"/>
    <x v="0"/>
    <x v="0"/>
    <x v="2"/>
    <x v="0"/>
    <x v="0"/>
    <x v="0"/>
    <x v="1"/>
    <x v="2"/>
    <x v="8"/>
    <n v="1"/>
    <n v="2"/>
    <n v="0"/>
    <n v="1"/>
    <x v="0"/>
    <n v="0.2423433124072577"/>
  </r>
  <r>
    <x v="16"/>
    <x v="0"/>
    <x v="0"/>
    <x v="1"/>
    <x v="3"/>
    <x v="1"/>
    <x v="0"/>
    <x v="0"/>
    <x v="1"/>
    <x v="0"/>
    <n v="1"/>
    <n v="1"/>
    <n v="0"/>
    <m/>
    <x v="1"/>
    <n v="5.1927155946786922E-2"/>
  </r>
  <r>
    <x v="8"/>
    <x v="1"/>
    <x v="0"/>
    <x v="2"/>
    <x v="2"/>
    <x v="1"/>
    <x v="0"/>
    <x v="0"/>
    <x v="0"/>
    <x v="9"/>
    <n v="1"/>
    <n v="1"/>
    <n v="0"/>
    <m/>
    <x v="1"/>
    <n v="0.21141932175066067"/>
  </r>
  <r>
    <x v="10"/>
    <x v="1"/>
    <x v="0"/>
    <x v="0"/>
    <x v="2"/>
    <x v="1"/>
    <x v="0"/>
    <x v="0"/>
    <x v="1"/>
    <x v="8"/>
    <n v="2"/>
    <n v="4"/>
    <n v="0"/>
    <m/>
    <x v="1"/>
    <n v="0.472772463663992"/>
  </r>
  <r>
    <x v="10"/>
    <x v="0"/>
    <x v="0"/>
    <x v="2"/>
    <x v="3"/>
    <x v="1"/>
    <x v="0"/>
    <x v="0"/>
    <x v="0"/>
    <x v="9"/>
    <n v="1"/>
    <n v="1"/>
    <n v="0"/>
    <m/>
    <x v="1"/>
    <n v="0.19368117151349643"/>
  </r>
  <r>
    <x v="6"/>
    <x v="1"/>
    <x v="0"/>
    <x v="0"/>
    <x v="2"/>
    <x v="1"/>
    <x v="0"/>
    <x v="1"/>
    <x v="0"/>
    <x v="9"/>
    <n v="1"/>
    <n v="2"/>
    <n v="0"/>
    <m/>
    <x v="1"/>
    <n v="0.33859241347985619"/>
  </r>
  <r>
    <x v="14"/>
    <x v="1"/>
    <x v="0"/>
    <x v="2"/>
    <x v="2"/>
    <x v="0"/>
    <x v="1"/>
    <x v="1"/>
    <x v="0"/>
    <x v="3"/>
    <n v="1"/>
    <n v="2"/>
    <n v="0"/>
    <m/>
    <x v="1"/>
    <n v="0.12108807040598503"/>
  </r>
  <r>
    <x v="15"/>
    <x v="1"/>
    <x v="1"/>
    <x v="0"/>
    <x v="0"/>
    <x v="1"/>
    <x v="0"/>
    <x v="1"/>
    <x v="1"/>
    <x v="3"/>
    <n v="1"/>
    <n v="1"/>
    <n v="0"/>
    <n v="1"/>
    <x v="0"/>
    <n v="5.9651729761640827E-2"/>
  </r>
  <r>
    <x v="1"/>
    <x v="0"/>
    <x v="0"/>
    <x v="1"/>
    <x v="0"/>
    <x v="0"/>
    <x v="0"/>
    <x v="0"/>
    <x v="2"/>
    <x v="0"/>
    <n v="1"/>
    <n v="1"/>
    <n v="0"/>
    <n v="1"/>
    <x v="0"/>
    <n v="4.5621764642715154E-2"/>
  </r>
  <r>
    <x v="17"/>
    <x v="1"/>
    <x v="1"/>
    <x v="0"/>
    <x v="3"/>
    <x v="1"/>
    <x v="0"/>
    <x v="1"/>
    <x v="0"/>
    <x v="9"/>
    <n v="1"/>
    <n v="1"/>
    <n v="0"/>
    <n v="1"/>
    <x v="0"/>
    <n v="0.16088299756810187"/>
  </r>
  <r>
    <x v="7"/>
    <x v="0"/>
    <x v="0"/>
    <x v="0"/>
    <x v="2"/>
    <x v="1"/>
    <x v="0"/>
    <x v="1"/>
    <x v="2"/>
    <x v="9"/>
    <n v="1"/>
    <n v="1"/>
    <n v="0"/>
    <m/>
    <x v="1"/>
    <n v="0.23237226266969685"/>
  </r>
  <r>
    <x v="19"/>
    <x v="1"/>
    <x v="0"/>
    <x v="2"/>
    <x v="2"/>
    <x v="0"/>
    <x v="1"/>
    <x v="1"/>
    <x v="2"/>
    <x v="9"/>
    <n v="1"/>
    <n v="2"/>
    <n v="0"/>
    <m/>
    <x v="1"/>
    <n v="0.25286396656125659"/>
  </r>
  <r>
    <x v="8"/>
    <x v="0"/>
    <x v="0"/>
    <x v="0"/>
    <x v="3"/>
    <x v="1"/>
    <x v="1"/>
    <x v="1"/>
    <x v="0"/>
    <x v="1"/>
    <n v="1"/>
    <n v="1"/>
    <n v="0"/>
    <m/>
    <x v="1"/>
    <n v="7.951922355711924E-2"/>
  </r>
  <r>
    <x v="1"/>
    <x v="0"/>
    <x v="0"/>
    <x v="2"/>
    <x v="2"/>
    <x v="0"/>
    <x v="1"/>
    <x v="1"/>
    <x v="0"/>
    <x v="4"/>
    <n v="1"/>
    <n v="2"/>
    <n v="1"/>
    <n v="1"/>
    <x v="0"/>
    <n v="8.1764387451590259E-2"/>
  </r>
  <r>
    <x v="22"/>
    <x v="0"/>
    <x v="1"/>
    <x v="2"/>
    <x v="1"/>
    <x v="1"/>
    <x v="0"/>
    <x v="1"/>
    <x v="0"/>
    <x v="8"/>
    <n v="1"/>
    <n v="1"/>
    <n v="0"/>
    <n v="1"/>
    <x v="0"/>
    <n v="0.11076881537434741"/>
  </r>
  <r>
    <x v="22"/>
    <x v="0"/>
    <x v="0"/>
    <x v="0"/>
    <x v="2"/>
    <x v="1"/>
    <x v="1"/>
    <x v="1"/>
    <x v="0"/>
    <x v="3"/>
    <n v="1"/>
    <n v="1"/>
    <n v="0"/>
    <n v="1"/>
    <x v="0"/>
    <n v="5.995057339817321E-2"/>
  </r>
  <r>
    <x v="5"/>
    <x v="0"/>
    <x v="0"/>
    <x v="1"/>
    <x v="3"/>
    <x v="1"/>
    <x v="1"/>
    <x v="1"/>
    <x v="2"/>
    <x v="1"/>
    <n v="1"/>
    <n v="1"/>
    <n v="0"/>
    <n v="1"/>
    <x v="0"/>
    <n v="8.1292767345553685E-2"/>
  </r>
  <r>
    <x v="5"/>
    <x v="1"/>
    <x v="1"/>
    <x v="0"/>
    <x v="2"/>
    <x v="1"/>
    <x v="1"/>
    <x v="1"/>
    <x v="1"/>
    <x v="2"/>
    <n v="1"/>
    <n v="1"/>
    <n v="1"/>
    <n v="1"/>
    <x v="0"/>
    <n v="4.2183923792892507E-2"/>
  </r>
  <r>
    <x v="22"/>
    <x v="1"/>
    <x v="0"/>
    <x v="2"/>
    <x v="0"/>
    <x v="0"/>
    <x v="1"/>
    <x v="1"/>
    <x v="0"/>
    <x v="2"/>
    <n v="1"/>
    <n v="1"/>
    <n v="0"/>
    <n v="0"/>
    <x v="0"/>
    <n v="4.2069997453546046E-2"/>
  </r>
  <r>
    <x v="0"/>
    <x v="0"/>
    <x v="1"/>
    <x v="1"/>
    <x v="1"/>
    <x v="1"/>
    <x v="0"/>
    <x v="1"/>
    <x v="2"/>
    <x v="8"/>
    <n v="1"/>
    <n v="1"/>
    <n v="0"/>
    <n v="1"/>
    <x v="0"/>
    <n v="8.8413868051613997E-2"/>
  </r>
  <r>
    <x v="18"/>
    <x v="0"/>
    <x v="0"/>
    <x v="0"/>
    <x v="3"/>
    <x v="1"/>
    <x v="0"/>
    <x v="0"/>
    <x v="2"/>
    <x v="9"/>
    <n v="1"/>
    <n v="1"/>
    <n v="0"/>
    <m/>
    <x v="1"/>
    <n v="0.29081078354285356"/>
  </r>
  <r>
    <x v="10"/>
    <x v="1"/>
    <x v="1"/>
    <x v="0"/>
    <x v="3"/>
    <x v="0"/>
    <x v="1"/>
    <x v="1"/>
    <x v="1"/>
    <x v="7"/>
    <n v="1"/>
    <n v="1"/>
    <n v="0"/>
    <m/>
    <x v="1"/>
    <n v="2.9419365696574228E-2"/>
  </r>
  <r>
    <x v="21"/>
    <x v="1"/>
    <x v="0"/>
    <x v="1"/>
    <x v="0"/>
    <x v="0"/>
    <x v="0"/>
    <x v="0"/>
    <x v="2"/>
    <x v="1"/>
    <n v="1"/>
    <n v="1"/>
    <n v="0"/>
    <m/>
    <x v="1"/>
    <n v="6.7402860630559377E-2"/>
  </r>
  <r>
    <x v="10"/>
    <x v="1"/>
    <x v="1"/>
    <x v="1"/>
    <x v="2"/>
    <x v="0"/>
    <x v="1"/>
    <x v="1"/>
    <x v="2"/>
    <x v="4"/>
    <n v="1"/>
    <n v="1"/>
    <n v="0"/>
    <m/>
    <x v="1"/>
    <n v="3.3675167837974015E-2"/>
  </r>
  <r>
    <x v="14"/>
    <x v="0"/>
    <x v="0"/>
    <x v="2"/>
    <x v="2"/>
    <x v="0"/>
    <x v="0"/>
    <x v="1"/>
    <x v="2"/>
    <x v="9"/>
    <n v="1"/>
    <n v="3"/>
    <n v="0"/>
    <m/>
    <x v="1"/>
    <n v="0.50483792608287215"/>
  </r>
  <r>
    <x v="17"/>
    <x v="0"/>
    <x v="1"/>
    <x v="0"/>
    <x v="2"/>
    <x v="0"/>
    <x v="0"/>
    <x v="0"/>
    <x v="2"/>
    <x v="8"/>
    <n v="3"/>
    <n v="3"/>
    <n v="1"/>
    <n v="3"/>
    <x v="0"/>
    <n v="0.28951709683688598"/>
  </r>
  <r>
    <x v="22"/>
    <x v="0"/>
    <x v="1"/>
    <x v="0"/>
    <x v="3"/>
    <x v="1"/>
    <x v="0"/>
    <x v="1"/>
    <x v="2"/>
    <x v="9"/>
    <n v="1"/>
    <n v="1"/>
    <n v="0"/>
    <n v="1"/>
    <x v="0"/>
    <n v="0.22166089127555452"/>
  </r>
  <r>
    <x v="20"/>
    <x v="0"/>
    <x v="0"/>
    <x v="0"/>
    <x v="3"/>
    <x v="1"/>
    <x v="0"/>
    <x v="0"/>
    <x v="2"/>
    <x v="9"/>
    <n v="2"/>
    <n v="2"/>
    <n v="0"/>
    <n v="2"/>
    <x v="0"/>
    <n v="0.58162156708570711"/>
  </r>
  <r>
    <x v="7"/>
    <x v="0"/>
    <x v="0"/>
    <x v="2"/>
    <x v="1"/>
    <x v="1"/>
    <x v="0"/>
    <x v="1"/>
    <x v="0"/>
    <x v="9"/>
    <n v="1"/>
    <n v="3"/>
    <n v="0"/>
    <m/>
    <x v="1"/>
    <n v="0.45625225935569513"/>
  </r>
  <r>
    <x v="9"/>
    <x v="0"/>
    <x v="1"/>
    <x v="0"/>
    <x v="3"/>
    <x v="1"/>
    <x v="0"/>
    <x v="1"/>
    <x v="1"/>
    <x v="1"/>
    <n v="1"/>
    <n v="1"/>
    <n v="0"/>
    <n v="1"/>
    <x v="0"/>
    <n v="7.6980948887072007E-2"/>
  </r>
  <r>
    <x v="9"/>
    <x v="0"/>
    <x v="1"/>
    <x v="1"/>
    <x v="3"/>
    <x v="1"/>
    <x v="1"/>
    <x v="1"/>
    <x v="2"/>
    <x v="0"/>
    <n v="1"/>
    <n v="1"/>
    <n v="0"/>
    <n v="1"/>
    <x v="0"/>
    <n v="5.7895610645053275E-2"/>
  </r>
  <r>
    <x v="2"/>
    <x v="0"/>
    <x v="1"/>
    <x v="0"/>
    <x v="2"/>
    <x v="1"/>
    <x v="0"/>
    <x v="1"/>
    <x v="1"/>
    <x v="0"/>
    <n v="2"/>
    <n v="2"/>
    <n v="0"/>
    <m/>
    <x v="1"/>
    <n v="0.11599515635345517"/>
  </r>
  <r>
    <x v="2"/>
    <x v="1"/>
    <x v="1"/>
    <x v="0"/>
    <x v="2"/>
    <x v="0"/>
    <x v="0"/>
    <x v="1"/>
    <x v="0"/>
    <x v="1"/>
    <n v="1"/>
    <n v="1"/>
    <n v="1"/>
    <m/>
    <x v="1"/>
    <n v="6.7086671775585666E-2"/>
  </r>
  <r>
    <x v="1"/>
    <x v="1"/>
    <x v="1"/>
    <x v="1"/>
    <x v="0"/>
    <x v="0"/>
    <x v="1"/>
    <x v="0"/>
    <x v="0"/>
    <x v="6"/>
    <n v="1"/>
    <n v="1"/>
    <n v="0"/>
    <n v="1"/>
    <x v="0"/>
    <n v="1.0463975714453297E-2"/>
  </r>
  <r>
    <x v="3"/>
    <x v="1"/>
    <x v="1"/>
    <x v="0"/>
    <x v="0"/>
    <x v="0"/>
    <x v="1"/>
    <x v="1"/>
    <x v="0"/>
    <x v="7"/>
    <n v="1"/>
    <n v="1"/>
    <n v="0"/>
    <m/>
    <x v="1"/>
    <n v="2.2659939205773683E-2"/>
  </r>
  <r>
    <x v="8"/>
    <x v="0"/>
    <x v="1"/>
    <x v="0"/>
    <x v="3"/>
    <x v="1"/>
    <x v="0"/>
    <x v="1"/>
    <x v="0"/>
    <x v="8"/>
    <n v="1"/>
    <n v="1"/>
    <n v="0"/>
    <m/>
    <x v="1"/>
    <n v="0.11253926602183867"/>
  </r>
  <r>
    <x v="11"/>
    <x v="0"/>
    <x v="0"/>
    <x v="2"/>
    <x v="1"/>
    <x v="1"/>
    <x v="0"/>
    <x v="1"/>
    <x v="2"/>
    <x v="9"/>
    <n v="1"/>
    <n v="1"/>
    <n v="0"/>
    <m/>
    <x v="1"/>
    <n v="0.28714321825078692"/>
  </r>
  <r>
    <x v="14"/>
    <x v="0"/>
    <x v="1"/>
    <x v="2"/>
    <x v="2"/>
    <x v="0"/>
    <x v="0"/>
    <x v="1"/>
    <x v="0"/>
    <x v="3"/>
    <n v="1"/>
    <n v="1"/>
    <n v="0"/>
    <m/>
    <x v="1"/>
    <n v="5.8884716464189815E-2"/>
  </r>
  <r>
    <x v="2"/>
    <x v="1"/>
    <x v="1"/>
    <x v="0"/>
    <x v="0"/>
    <x v="1"/>
    <x v="0"/>
    <x v="1"/>
    <x v="1"/>
    <x v="3"/>
    <n v="1"/>
    <n v="2"/>
    <n v="1"/>
    <m/>
    <x v="1"/>
    <n v="0.11930345952328165"/>
  </r>
  <r>
    <x v="12"/>
    <x v="0"/>
    <x v="0"/>
    <x v="0"/>
    <x v="0"/>
    <x v="1"/>
    <x v="0"/>
    <x v="1"/>
    <x v="1"/>
    <x v="0"/>
    <n v="1"/>
    <n v="1"/>
    <n v="0"/>
    <m/>
    <x v="1"/>
    <n v="5.6971121420815236E-2"/>
  </r>
  <r>
    <x v="10"/>
    <x v="1"/>
    <x v="0"/>
    <x v="1"/>
    <x v="3"/>
    <x v="1"/>
    <x v="1"/>
    <x v="1"/>
    <x v="2"/>
    <x v="8"/>
    <n v="1"/>
    <n v="1"/>
    <n v="0"/>
    <m/>
    <x v="1"/>
    <n v="0.11799857341716835"/>
  </r>
  <r>
    <x v="5"/>
    <x v="0"/>
    <x v="1"/>
    <x v="2"/>
    <x v="0"/>
    <x v="0"/>
    <x v="0"/>
    <x v="0"/>
    <x v="0"/>
    <x v="4"/>
    <n v="1"/>
    <n v="1"/>
    <n v="0"/>
    <n v="1"/>
    <x v="0"/>
    <n v="4.089495301709424E-2"/>
  </r>
  <r>
    <x v="2"/>
    <x v="1"/>
    <x v="0"/>
    <x v="1"/>
    <x v="0"/>
    <x v="0"/>
    <x v="1"/>
    <x v="1"/>
    <x v="0"/>
    <x v="5"/>
    <n v="1"/>
    <n v="1"/>
    <n v="0"/>
    <m/>
    <x v="1"/>
    <n v="1.4997899225310888E-2"/>
  </r>
  <r>
    <x v="14"/>
    <x v="0"/>
    <x v="1"/>
    <x v="2"/>
    <x v="2"/>
    <x v="1"/>
    <x v="1"/>
    <x v="1"/>
    <x v="0"/>
    <x v="0"/>
    <n v="1"/>
    <n v="1"/>
    <n v="0"/>
    <m/>
    <x v="1"/>
    <n v="5.5057607359781338E-2"/>
  </r>
  <r>
    <x v="21"/>
    <x v="1"/>
    <x v="1"/>
    <x v="0"/>
    <x v="2"/>
    <x v="1"/>
    <x v="1"/>
    <x v="1"/>
    <x v="2"/>
    <x v="9"/>
    <n v="1"/>
    <n v="1"/>
    <n v="0"/>
    <m/>
    <x v="1"/>
    <n v="0.13072788301694924"/>
  </r>
  <r>
    <x v="4"/>
    <x v="1"/>
    <x v="0"/>
    <x v="0"/>
    <x v="0"/>
    <x v="1"/>
    <x v="0"/>
    <x v="1"/>
    <x v="1"/>
    <x v="1"/>
    <n v="1"/>
    <n v="2"/>
    <n v="0"/>
    <m/>
    <x v="1"/>
    <n v="0.1673910648723646"/>
  </r>
  <r>
    <x v="1"/>
    <x v="1"/>
    <x v="1"/>
    <x v="0"/>
    <x v="3"/>
    <x v="1"/>
    <x v="0"/>
    <x v="1"/>
    <x v="0"/>
    <x v="9"/>
    <n v="1"/>
    <n v="1"/>
    <n v="0"/>
    <n v="1"/>
    <x v="0"/>
    <n v="0.16088299756810187"/>
  </r>
  <r>
    <x v="1"/>
    <x v="0"/>
    <x v="1"/>
    <x v="0"/>
    <x v="2"/>
    <x v="1"/>
    <x v="0"/>
    <x v="1"/>
    <x v="0"/>
    <x v="8"/>
    <n v="1"/>
    <n v="1"/>
    <n v="0"/>
    <n v="1"/>
    <x v="0"/>
    <n v="8.5600473827371765E-2"/>
  </r>
  <r>
    <x v="7"/>
    <x v="0"/>
    <x v="0"/>
    <x v="1"/>
    <x v="1"/>
    <x v="1"/>
    <x v="0"/>
    <x v="1"/>
    <x v="2"/>
    <x v="8"/>
    <n v="1"/>
    <n v="1"/>
    <n v="0"/>
    <m/>
    <x v="1"/>
    <n v="0.12254007280701143"/>
  </r>
  <r>
    <x v="16"/>
    <x v="0"/>
    <x v="1"/>
    <x v="0"/>
    <x v="2"/>
    <x v="0"/>
    <x v="1"/>
    <x v="1"/>
    <x v="2"/>
    <x v="0"/>
    <n v="1"/>
    <n v="1"/>
    <n v="0"/>
    <m/>
    <x v="1"/>
    <n v="4.8105072216363585E-2"/>
  </r>
  <r>
    <x v="11"/>
    <x v="0"/>
    <x v="1"/>
    <x v="1"/>
    <x v="2"/>
    <x v="0"/>
    <x v="1"/>
    <x v="1"/>
    <x v="2"/>
    <x v="7"/>
    <n v="1"/>
    <n v="1"/>
    <n v="0"/>
    <m/>
    <x v="1"/>
    <n v="2.2529806175554733E-2"/>
  </r>
  <r>
    <x v="16"/>
    <x v="1"/>
    <x v="1"/>
    <x v="1"/>
    <x v="2"/>
    <x v="1"/>
    <x v="0"/>
    <x v="0"/>
    <x v="0"/>
    <x v="3"/>
    <n v="1"/>
    <n v="1"/>
    <n v="0"/>
    <m/>
    <x v="1"/>
    <n v="6.0639713725234794E-2"/>
  </r>
  <r>
    <x v="3"/>
    <x v="1"/>
    <x v="1"/>
    <x v="0"/>
    <x v="2"/>
    <x v="0"/>
    <x v="0"/>
    <x v="0"/>
    <x v="2"/>
    <x v="9"/>
    <n v="1"/>
    <n v="2"/>
    <n v="0"/>
    <m/>
    <x v="1"/>
    <n v="0.27808190480497447"/>
  </r>
  <r>
    <x v="20"/>
    <x v="0"/>
    <x v="0"/>
    <x v="0"/>
    <x v="2"/>
    <x v="1"/>
    <x v="0"/>
    <x v="1"/>
    <x v="2"/>
    <x v="9"/>
    <n v="1"/>
    <n v="2"/>
    <n v="0"/>
    <n v="1"/>
    <x v="0"/>
    <n v="0.4647445253393937"/>
  </r>
  <r>
    <x v="7"/>
    <x v="1"/>
    <x v="1"/>
    <x v="0"/>
    <x v="2"/>
    <x v="0"/>
    <x v="0"/>
    <x v="0"/>
    <x v="0"/>
    <x v="1"/>
    <n v="1"/>
    <n v="1"/>
    <n v="0"/>
    <m/>
    <x v="1"/>
    <n v="6.7086671775585666E-2"/>
  </r>
  <r>
    <x v="22"/>
    <x v="1"/>
    <x v="1"/>
    <x v="2"/>
    <x v="3"/>
    <x v="1"/>
    <x v="0"/>
    <x v="1"/>
    <x v="2"/>
    <x v="9"/>
    <n v="1"/>
    <n v="1"/>
    <n v="0"/>
    <n v="1"/>
    <x v="0"/>
    <n v="0.36160791219919358"/>
  </r>
  <r>
    <x v="14"/>
    <x v="0"/>
    <x v="0"/>
    <x v="0"/>
    <x v="2"/>
    <x v="1"/>
    <x v="0"/>
    <x v="1"/>
    <x v="0"/>
    <x v="8"/>
    <n v="1"/>
    <n v="1"/>
    <n v="0"/>
    <m/>
    <x v="1"/>
    <n v="0.11878225625148879"/>
  </r>
  <r>
    <x v="19"/>
    <x v="0"/>
    <x v="1"/>
    <x v="1"/>
    <x v="1"/>
    <x v="1"/>
    <x v="0"/>
    <x v="1"/>
    <x v="2"/>
    <x v="8"/>
    <n v="1"/>
    <n v="2"/>
    <n v="0"/>
    <m/>
    <x v="1"/>
    <n v="0.17682773610322799"/>
  </r>
  <r>
    <x v="5"/>
    <x v="1"/>
    <x v="1"/>
    <x v="1"/>
    <x v="0"/>
    <x v="0"/>
    <x v="1"/>
    <x v="1"/>
    <x v="1"/>
    <x v="6"/>
    <n v="1"/>
    <n v="1"/>
    <n v="0"/>
    <n v="1"/>
    <x v="0"/>
    <n v="6.9067353216518941E-3"/>
  </r>
  <r>
    <x v="5"/>
    <x v="0"/>
    <x v="1"/>
    <x v="0"/>
    <x v="2"/>
    <x v="0"/>
    <x v="0"/>
    <x v="0"/>
    <x v="0"/>
    <x v="0"/>
    <n v="1"/>
    <n v="1"/>
    <n v="0"/>
    <n v="1"/>
    <x v="0"/>
    <n v="4.540277721734616E-2"/>
  </r>
  <r>
    <x v="12"/>
    <x v="1"/>
    <x v="1"/>
    <x v="2"/>
    <x v="1"/>
    <x v="0"/>
    <x v="0"/>
    <x v="1"/>
    <x v="2"/>
    <x v="9"/>
    <n v="1"/>
    <n v="2"/>
    <n v="0"/>
    <m/>
    <x v="1"/>
    <n v="0.35376490426362095"/>
  </r>
  <r>
    <x v="7"/>
    <x v="1"/>
    <x v="0"/>
    <x v="1"/>
    <x v="1"/>
    <x v="1"/>
    <x v="0"/>
    <x v="1"/>
    <x v="2"/>
    <x v="9"/>
    <n v="1"/>
    <n v="1"/>
    <n v="0"/>
    <m/>
    <x v="1"/>
    <n v="0.17433593735276651"/>
  </r>
  <r>
    <x v="20"/>
    <x v="1"/>
    <x v="1"/>
    <x v="0"/>
    <x v="0"/>
    <x v="1"/>
    <x v="0"/>
    <x v="1"/>
    <x v="1"/>
    <x v="3"/>
    <n v="1"/>
    <n v="1"/>
    <n v="0"/>
    <n v="1"/>
    <x v="0"/>
    <n v="5.9651729761640827E-2"/>
  </r>
  <r>
    <x v="16"/>
    <x v="1"/>
    <x v="1"/>
    <x v="0"/>
    <x v="3"/>
    <x v="0"/>
    <x v="1"/>
    <x v="1"/>
    <x v="0"/>
    <x v="2"/>
    <n v="1"/>
    <n v="1"/>
    <n v="0"/>
    <m/>
    <x v="1"/>
    <n v="4.4057106281978078E-2"/>
  </r>
  <r>
    <x v="2"/>
    <x v="0"/>
    <x v="0"/>
    <x v="0"/>
    <x v="2"/>
    <x v="1"/>
    <x v="0"/>
    <x v="0"/>
    <x v="0"/>
    <x v="8"/>
    <n v="1"/>
    <n v="1"/>
    <n v="0"/>
    <m/>
    <x v="1"/>
    <n v="0.11878225625148879"/>
  </r>
  <r>
    <x v="4"/>
    <x v="0"/>
    <x v="0"/>
    <x v="0"/>
    <x v="3"/>
    <x v="1"/>
    <x v="1"/>
    <x v="1"/>
    <x v="1"/>
    <x v="0"/>
    <n v="1"/>
    <n v="2"/>
    <n v="0"/>
    <m/>
    <x v="1"/>
    <n v="0.10752400926505153"/>
  </r>
  <r>
    <x v="2"/>
    <x v="0"/>
    <x v="0"/>
    <x v="2"/>
    <x v="2"/>
    <x v="0"/>
    <x v="0"/>
    <x v="1"/>
    <x v="1"/>
    <x v="0"/>
    <n v="1"/>
    <n v="1"/>
    <n v="0"/>
    <m/>
    <x v="1"/>
    <n v="5.5937898870790044E-2"/>
  </r>
  <r>
    <x v="11"/>
    <x v="1"/>
    <x v="1"/>
    <x v="0"/>
    <x v="2"/>
    <x v="1"/>
    <x v="0"/>
    <x v="0"/>
    <x v="0"/>
    <x v="8"/>
    <n v="1"/>
    <n v="1"/>
    <n v="0"/>
    <m/>
    <x v="1"/>
    <n v="0.12398881875313826"/>
  </r>
  <r>
    <x v="9"/>
    <x v="0"/>
    <x v="0"/>
    <x v="0"/>
    <x v="2"/>
    <x v="1"/>
    <x v="0"/>
    <x v="0"/>
    <x v="2"/>
    <x v="9"/>
    <n v="1"/>
    <n v="2"/>
    <n v="0"/>
    <n v="1"/>
    <x v="0"/>
    <n v="0.4647445253393937"/>
  </r>
  <r>
    <x v="16"/>
    <x v="0"/>
    <x v="0"/>
    <x v="2"/>
    <x v="2"/>
    <x v="0"/>
    <x v="0"/>
    <x v="1"/>
    <x v="1"/>
    <x v="0"/>
    <n v="1"/>
    <n v="1"/>
    <n v="0"/>
    <m/>
    <x v="1"/>
    <n v="5.5937898870790044E-2"/>
  </r>
  <r>
    <x v="9"/>
    <x v="0"/>
    <x v="1"/>
    <x v="2"/>
    <x v="0"/>
    <x v="0"/>
    <x v="1"/>
    <x v="1"/>
    <x v="2"/>
    <x v="2"/>
    <n v="1"/>
    <n v="1"/>
    <n v="0"/>
    <n v="1"/>
    <x v="0"/>
    <n v="4.3341131498994233E-2"/>
  </r>
  <r>
    <x v="7"/>
    <x v="1"/>
    <x v="1"/>
    <x v="0"/>
    <x v="2"/>
    <x v="1"/>
    <x v="1"/>
    <x v="0"/>
    <x v="2"/>
    <x v="9"/>
    <n v="1"/>
    <n v="1"/>
    <n v="0"/>
    <m/>
    <x v="1"/>
    <n v="0.13072788301694924"/>
  </r>
  <r>
    <x v="18"/>
    <x v="1"/>
    <x v="1"/>
    <x v="2"/>
    <x v="0"/>
    <x v="0"/>
    <x v="0"/>
    <x v="0"/>
    <x v="1"/>
    <x v="4"/>
    <n v="1"/>
    <n v="1"/>
    <n v="0"/>
    <m/>
    <x v="1"/>
    <n v="4.0674290026531716E-2"/>
  </r>
  <r>
    <x v="11"/>
    <x v="1"/>
    <x v="1"/>
    <x v="1"/>
    <x v="1"/>
    <x v="0"/>
    <x v="0"/>
    <x v="1"/>
    <x v="0"/>
    <x v="4"/>
    <n v="1"/>
    <n v="1"/>
    <n v="0"/>
    <m/>
    <x v="1"/>
    <n v="3.2109846912100462E-2"/>
  </r>
  <r>
    <x v="5"/>
    <x v="0"/>
    <x v="0"/>
    <x v="1"/>
    <x v="3"/>
    <x v="0"/>
    <x v="0"/>
    <x v="1"/>
    <x v="1"/>
    <x v="7"/>
    <n v="1"/>
    <n v="1"/>
    <n v="0"/>
    <n v="1"/>
    <x v="0"/>
    <n v="2.7074138929634051E-2"/>
  </r>
  <r>
    <x v="12"/>
    <x v="0"/>
    <x v="0"/>
    <x v="1"/>
    <x v="0"/>
    <x v="0"/>
    <x v="0"/>
    <x v="0"/>
    <x v="2"/>
    <x v="0"/>
    <n v="1"/>
    <n v="1"/>
    <n v="0"/>
    <m/>
    <x v="1"/>
    <n v="4.5621764642715154E-2"/>
  </r>
  <r>
    <x v="10"/>
    <x v="1"/>
    <x v="0"/>
    <x v="2"/>
    <x v="0"/>
    <x v="0"/>
    <x v="1"/>
    <x v="1"/>
    <x v="1"/>
    <x v="7"/>
    <n v="2"/>
    <n v="2"/>
    <n v="0"/>
    <m/>
    <x v="1"/>
    <n v="5.6146150112140698E-2"/>
  </r>
  <r>
    <x v="3"/>
    <x v="0"/>
    <x v="1"/>
    <x v="1"/>
    <x v="0"/>
    <x v="1"/>
    <x v="1"/>
    <x v="0"/>
    <x v="2"/>
    <x v="7"/>
    <n v="1"/>
    <n v="1"/>
    <n v="0"/>
    <m/>
    <x v="1"/>
    <n v="2.9988350734309874E-2"/>
  </r>
  <r>
    <x v="5"/>
    <x v="1"/>
    <x v="1"/>
    <x v="0"/>
    <x v="0"/>
    <x v="1"/>
    <x v="1"/>
    <x v="1"/>
    <x v="0"/>
    <x v="2"/>
    <n v="1"/>
    <n v="1"/>
    <n v="0"/>
    <n v="1"/>
    <x v="0"/>
    <n v="4.3642654844259644E-2"/>
  </r>
  <r>
    <x v="16"/>
    <x v="1"/>
    <x v="1"/>
    <x v="0"/>
    <x v="2"/>
    <x v="0"/>
    <x v="1"/>
    <x v="1"/>
    <x v="1"/>
    <x v="7"/>
    <n v="2"/>
    <n v="2"/>
    <n v="0"/>
    <m/>
    <x v="1"/>
    <n v="4.3772986615182218E-2"/>
  </r>
  <r>
    <x v="10"/>
    <x v="0"/>
    <x v="1"/>
    <x v="1"/>
    <x v="0"/>
    <x v="0"/>
    <x v="0"/>
    <x v="0"/>
    <x v="1"/>
    <x v="6"/>
    <n v="1"/>
    <n v="3"/>
    <n v="0"/>
    <m/>
    <x v="1"/>
    <n v="2.8886505489678724E-2"/>
  </r>
  <r>
    <x v="22"/>
    <x v="0"/>
    <x v="0"/>
    <x v="1"/>
    <x v="3"/>
    <x v="1"/>
    <x v="0"/>
    <x v="0"/>
    <x v="2"/>
    <x v="9"/>
    <n v="1"/>
    <n v="1"/>
    <n v="0"/>
    <n v="1"/>
    <x v="0"/>
    <n v="0.15755800253898447"/>
  </r>
  <r>
    <x v="12"/>
    <x v="0"/>
    <x v="0"/>
    <x v="0"/>
    <x v="3"/>
    <x v="1"/>
    <x v="1"/>
    <x v="1"/>
    <x v="1"/>
    <x v="0"/>
    <n v="1"/>
    <n v="3"/>
    <n v="0"/>
    <m/>
    <x v="1"/>
    <n v="0.1612860138975773"/>
  </r>
  <r>
    <x v="3"/>
    <x v="0"/>
    <x v="0"/>
    <x v="0"/>
    <x v="3"/>
    <x v="1"/>
    <x v="0"/>
    <x v="0"/>
    <x v="0"/>
    <x v="9"/>
    <n v="1"/>
    <n v="1"/>
    <n v="0"/>
    <m/>
    <x v="1"/>
    <n v="0.15440023172603565"/>
  </r>
  <r>
    <x v="10"/>
    <x v="1"/>
    <x v="0"/>
    <x v="2"/>
    <x v="1"/>
    <x v="0"/>
    <x v="0"/>
    <x v="1"/>
    <x v="2"/>
    <x v="9"/>
    <n v="0"/>
    <n v="7"/>
    <n v="0"/>
    <m/>
    <x v="1"/>
    <n v="1.6541294351155311"/>
  </r>
  <r>
    <x v="6"/>
    <x v="1"/>
    <x v="0"/>
    <x v="1"/>
    <x v="0"/>
    <x v="0"/>
    <x v="0"/>
    <x v="1"/>
    <x v="1"/>
    <x v="5"/>
    <n v="0"/>
    <n v="1"/>
    <n v="0"/>
    <m/>
    <x v="1"/>
    <n v="2.0727184867413109E-2"/>
  </r>
  <r>
    <x v="10"/>
    <x v="1"/>
    <x v="0"/>
    <x v="2"/>
    <x v="3"/>
    <x v="1"/>
    <x v="0"/>
    <x v="1"/>
    <x v="2"/>
    <x v="9"/>
    <n v="0"/>
    <n v="1"/>
    <n v="0"/>
    <m/>
    <x v="1"/>
    <n v="0.44921867129852688"/>
  </r>
  <r>
    <x v="5"/>
    <x v="0"/>
    <x v="1"/>
    <x v="2"/>
    <x v="0"/>
    <x v="0"/>
    <x v="1"/>
    <x v="1"/>
    <x v="1"/>
    <x v="6"/>
    <n v="0"/>
    <n v="1"/>
    <n v="0"/>
    <m/>
    <x v="0"/>
    <n v="1.3093969311862536E-2"/>
  </r>
  <r>
    <x v="15"/>
    <x v="1"/>
    <x v="0"/>
    <x v="2"/>
    <x v="1"/>
    <x v="1"/>
    <x v="0"/>
    <x v="1"/>
    <x v="2"/>
    <x v="9"/>
    <n v="0"/>
    <n v="1"/>
    <n v="0"/>
    <m/>
    <x v="0"/>
    <n v="0.37850228785218432"/>
  </r>
  <r>
    <x v="14"/>
    <x v="1"/>
    <x v="1"/>
    <x v="1"/>
    <x v="2"/>
    <x v="1"/>
    <x v="0"/>
    <x v="1"/>
    <x v="1"/>
    <x v="4"/>
    <n v="0"/>
    <n v="1"/>
    <n v="0"/>
    <m/>
    <x v="1"/>
    <n v="4.0727216848803351E-2"/>
  </r>
  <r>
    <x v="8"/>
    <x v="0"/>
    <x v="1"/>
    <x v="1"/>
    <x v="3"/>
    <x v="0"/>
    <x v="1"/>
    <x v="1"/>
    <x v="2"/>
    <x v="7"/>
    <n v="0"/>
    <n v="1"/>
    <n v="0"/>
    <m/>
    <x v="1"/>
    <n v="3.0277239538130045E-2"/>
  </r>
  <r>
    <x v="16"/>
    <x v="0"/>
    <x v="0"/>
    <x v="0"/>
    <x v="2"/>
    <x v="1"/>
    <x v="1"/>
    <x v="1"/>
    <x v="2"/>
    <x v="9"/>
    <n v="0"/>
    <n v="1"/>
    <n v="0"/>
    <m/>
    <x v="1"/>
    <n v="0.12527880269335515"/>
  </r>
  <r>
    <x v="17"/>
    <x v="1"/>
    <x v="0"/>
    <x v="0"/>
    <x v="2"/>
    <x v="1"/>
    <x v="0"/>
    <x v="0"/>
    <x v="2"/>
    <x v="9"/>
    <n v="0"/>
    <n v="1"/>
    <n v="0"/>
    <m/>
    <x v="0"/>
    <n v="0.31398055376811668"/>
  </r>
  <r>
    <x v="8"/>
    <x v="1"/>
    <x v="1"/>
    <x v="0"/>
    <x v="1"/>
    <x v="1"/>
    <x v="0"/>
    <x v="1"/>
    <x v="0"/>
    <x v="9"/>
    <n v="0"/>
    <n v="2"/>
    <n v="0"/>
    <m/>
    <x v="1"/>
    <n v="0.25047186248679471"/>
  </r>
  <r>
    <x v="22"/>
    <x v="1"/>
    <x v="0"/>
    <x v="1"/>
    <x v="3"/>
    <x v="1"/>
    <x v="1"/>
    <x v="1"/>
    <x v="1"/>
    <x v="4"/>
    <n v="0"/>
    <n v="1"/>
    <n v="0"/>
    <m/>
    <x v="0"/>
    <n v="3.770242069910227E-2"/>
  </r>
  <r>
    <x v="17"/>
    <x v="1"/>
    <x v="0"/>
    <x v="1"/>
    <x v="0"/>
    <x v="0"/>
    <x v="0"/>
    <x v="0"/>
    <x v="2"/>
    <x v="1"/>
    <n v="0"/>
    <n v="1"/>
    <n v="0"/>
    <m/>
    <x v="0"/>
    <n v="6.7402860630559377E-2"/>
  </r>
  <r>
    <x v="4"/>
    <x v="1"/>
    <x v="0"/>
    <x v="0"/>
    <x v="3"/>
    <x v="1"/>
    <x v="0"/>
    <x v="1"/>
    <x v="2"/>
    <x v="9"/>
    <n v="0"/>
    <n v="2"/>
    <n v="0"/>
    <m/>
    <x v="1"/>
    <n v="0.76542055614954618"/>
  </r>
  <r>
    <x v="14"/>
    <x v="0"/>
    <x v="1"/>
    <x v="1"/>
    <x v="2"/>
    <x v="1"/>
    <x v="0"/>
    <x v="1"/>
    <x v="0"/>
    <x v="4"/>
    <n v="0"/>
    <n v="1"/>
    <n v="0"/>
    <m/>
    <x v="1"/>
    <n v="4.0948154717703626E-2"/>
  </r>
  <r>
    <x v="4"/>
    <x v="1"/>
    <x v="0"/>
    <x v="2"/>
    <x v="2"/>
    <x v="0"/>
    <x v="0"/>
    <x v="0"/>
    <x v="0"/>
    <x v="8"/>
    <n v="0"/>
    <n v="1"/>
    <n v="0"/>
    <m/>
    <x v="1"/>
    <n v="0.11988383252407406"/>
  </r>
  <r>
    <x v="14"/>
    <x v="1"/>
    <x v="0"/>
    <x v="2"/>
    <x v="2"/>
    <x v="1"/>
    <x v="0"/>
    <x v="1"/>
    <x v="2"/>
    <x v="9"/>
    <n v="0"/>
    <n v="2"/>
    <n v="0"/>
    <m/>
    <x v="1"/>
    <n v="0.75163329665602996"/>
  </r>
  <r>
    <x v="1"/>
    <x v="0"/>
    <x v="0"/>
    <x v="0"/>
    <x v="2"/>
    <x v="1"/>
    <x v="1"/>
    <x v="0"/>
    <x v="2"/>
    <x v="9"/>
    <n v="0"/>
    <n v="1"/>
    <n v="0"/>
    <m/>
    <x v="0"/>
    <n v="0.12527880269335515"/>
  </r>
  <r>
    <x v="6"/>
    <x v="0"/>
    <x v="1"/>
    <x v="0"/>
    <x v="1"/>
    <x v="0"/>
    <x v="1"/>
    <x v="1"/>
    <x v="0"/>
    <x v="7"/>
    <n v="0"/>
    <n v="1"/>
    <n v="0"/>
    <m/>
    <x v="1"/>
    <n v="2.2254985632742887E-2"/>
  </r>
  <r>
    <x v="10"/>
    <x v="1"/>
    <x v="1"/>
    <x v="2"/>
    <x v="1"/>
    <x v="1"/>
    <x v="0"/>
    <x v="1"/>
    <x v="2"/>
    <x v="9"/>
    <n v="0"/>
    <n v="1"/>
    <n v="0"/>
    <m/>
    <x v="1"/>
    <n v="0.29724028639102335"/>
  </r>
  <r>
    <x v="6"/>
    <x v="1"/>
    <x v="0"/>
    <x v="2"/>
    <x v="3"/>
    <x v="0"/>
    <x v="1"/>
    <x v="1"/>
    <x v="2"/>
    <x v="9"/>
    <n v="0"/>
    <n v="2"/>
    <n v="0"/>
    <m/>
    <x v="1"/>
    <n v="0.32783423784764343"/>
  </r>
  <r>
    <x v="15"/>
    <x v="1"/>
    <x v="0"/>
    <x v="0"/>
    <x v="0"/>
    <x v="0"/>
    <x v="1"/>
    <x v="0"/>
    <x v="2"/>
    <x v="1"/>
    <n v="0"/>
    <n v="1"/>
    <n v="0"/>
    <m/>
    <x v="0"/>
    <n v="6.974431660442891E-2"/>
  </r>
  <r>
    <x v="4"/>
    <x v="0"/>
    <x v="0"/>
    <x v="2"/>
    <x v="3"/>
    <x v="1"/>
    <x v="0"/>
    <x v="0"/>
    <x v="2"/>
    <x v="9"/>
    <n v="0"/>
    <n v="1"/>
    <n v="0"/>
    <m/>
    <x v="1"/>
    <n v="0.35041457657899155"/>
  </r>
  <r>
    <x v="5"/>
    <x v="1"/>
    <x v="0"/>
    <x v="0"/>
    <x v="2"/>
    <x v="1"/>
    <x v="1"/>
    <x v="1"/>
    <x v="0"/>
    <x v="8"/>
    <n v="0"/>
    <n v="1"/>
    <n v="0"/>
    <m/>
    <x v="0"/>
    <n v="8.7942271111143028E-2"/>
  </r>
  <r>
    <x v="1"/>
    <x v="1"/>
    <x v="0"/>
    <x v="0"/>
    <x v="0"/>
    <x v="1"/>
    <x v="1"/>
    <x v="0"/>
    <x v="0"/>
    <x v="3"/>
    <n v="0"/>
    <n v="1"/>
    <n v="0"/>
    <m/>
    <x v="0"/>
    <n v="6.1656780627368547E-2"/>
  </r>
  <r>
    <x v="8"/>
    <x v="1"/>
    <x v="1"/>
    <x v="0"/>
    <x v="1"/>
    <x v="1"/>
    <x v="0"/>
    <x v="1"/>
    <x v="2"/>
    <x v="9"/>
    <n v="0"/>
    <n v="3"/>
    <n v="0"/>
    <m/>
    <x v="1"/>
    <n v="0.72988083396058068"/>
  </r>
  <r>
    <x v="4"/>
    <x v="1"/>
    <x v="0"/>
    <x v="2"/>
    <x v="3"/>
    <x v="1"/>
    <x v="0"/>
    <x v="1"/>
    <x v="2"/>
    <x v="9"/>
    <n v="0"/>
    <n v="2"/>
    <n v="0"/>
    <m/>
    <x v="1"/>
    <n v="0.89843734259705377"/>
  </r>
  <r>
    <x v="4"/>
    <x v="0"/>
    <x v="1"/>
    <x v="0"/>
    <x v="1"/>
    <x v="1"/>
    <x v="0"/>
    <x v="1"/>
    <x v="2"/>
    <x v="9"/>
    <n v="0"/>
    <n v="4"/>
    <n v="0"/>
    <m/>
    <x v="1"/>
    <n v="0.70144595042350755"/>
  </r>
  <r>
    <x v="21"/>
    <x v="1"/>
    <x v="0"/>
    <x v="0"/>
    <x v="3"/>
    <x v="0"/>
    <x v="0"/>
    <x v="1"/>
    <x v="0"/>
    <x v="8"/>
    <n v="0"/>
    <n v="3"/>
    <n v="0"/>
    <m/>
    <x v="1"/>
    <n v="0.3690241039999998"/>
  </r>
  <r>
    <x v="4"/>
    <x v="0"/>
    <x v="0"/>
    <x v="2"/>
    <x v="2"/>
    <x v="0"/>
    <x v="0"/>
    <x v="0"/>
    <x v="2"/>
    <x v="9"/>
    <n v="0"/>
    <n v="1"/>
    <n v="0"/>
    <m/>
    <x v="1"/>
    <n v="0.1682793086942907"/>
  </r>
  <r>
    <x v="22"/>
    <x v="1"/>
    <x v="0"/>
    <x v="2"/>
    <x v="0"/>
    <x v="0"/>
    <x v="0"/>
    <x v="1"/>
    <x v="0"/>
    <x v="8"/>
    <n v="0"/>
    <n v="1"/>
    <n v="0"/>
    <m/>
    <x v="0"/>
    <n v="8.4940305954857798E-2"/>
  </r>
  <r>
    <x v="4"/>
    <x v="1"/>
    <x v="1"/>
    <x v="2"/>
    <x v="2"/>
    <x v="0"/>
    <x v="0"/>
    <x v="0"/>
    <x v="2"/>
    <x v="9"/>
    <n v="0"/>
    <n v="2"/>
    <n v="0"/>
    <m/>
    <x v="1"/>
    <n v="0.35044811590602032"/>
  </r>
  <r>
    <x v="14"/>
    <x v="1"/>
    <x v="0"/>
    <x v="1"/>
    <x v="1"/>
    <x v="1"/>
    <x v="0"/>
    <x v="1"/>
    <x v="0"/>
    <x v="8"/>
    <n v="0"/>
    <n v="1"/>
    <n v="0"/>
    <m/>
    <x v="1"/>
    <n v="8.593956647800631E-2"/>
  </r>
  <r>
    <x v="19"/>
    <x v="1"/>
    <x v="0"/>
    <x v="0"/>
    <x v="3"/>
    <x v="1"/>
    <x v="0"/>
    <x v="1"/>
    <x v="0"/>
    <x v="9"/>
    <n v="0"/>
    <n v="2"/>
    <n v="0"/>
    <m/>
    <x v="1"/>
    <n v="0.43268518706094106"/>
  </r>
  <r>
    <x v="2"/>
    <x v="0"/>
    <x v="0"/>
    <x v="0"/>
    <x v="3"/>
    <x v="0"/>
    <x v="0"/>
    <x v="1"/>
    <x v="2"/>
    <x v="9"/>
    <n v="0"/>
    <n v="1"/>
    <n v="0"/>
    <m/>
    <x v="1"/>
    <n v="0.17241763602692631"/>
  </r>
  <r>
    <x v="10"/>
    <x v="1"/>
    <x v="0"/>
    <x v="0"/>
    <x v="1"/>
    <x v="1"/>
    <x v="0"/>
    <x v="1"/>
    <x v="2"/>
    <x v="9"/>
    <n v="0"/>
    <n v="9"/>
    <n v="0"/>
    <m/>
    <x v="1"/>
    <n v="2.848034995129431"/>
  </r>
  <r>
    <x v="5"/>
    <x v="1"/>
    <x v="1"/>
    <x v="2"/>
    <x v="1"/>
    <x v="1"/>
    <x v="0"/>
    <x v="1"/>
    <x v="2"/>
    <x v="9"/>
    <n v="0"/>
    <n v="1"/>
    <n v="0"/>
    <m/>
    <x v="0"/>
    <n v="0.29724028639102335"/>
  </r>
  <r>
    <x v="17"/>
    <x v="0"/>
    <x v="0"/>
    <x v="2"/>
    <x v="3"/>
    <x v="1"/>
    <x v="0"/>
    <x v="1"/>
    <x v="2"/>
    <x v="9"/>
    <n v="0"/>
    <n v="1"/>
    <n v="0"/>
    <m/>
    <x v="0"/>
    <n v="0.35041457657899155"/>
  </r>
  <r>
    <x v="7"/>
    <x v="1"/>
    <x v="0"/>
    <x v="2"/>
    <x v="2"/>
    <x v="1"/>
    <x v="0"/>
    <x v="0"/>
    <x v="0"/>
    <x v="9"/>
    <n v="0"/>
    <n v="1"/>
    <n v="0"/>
    <m/>
    <x v="1"/>
    <n v="0.21141932175066067"/>
  </r>
  <r>
    <x v="15"/>
    <x v="0"/>
    <x v="1"/>
    <x v="2"/>
    <x v="0"/>
    <x v="1"/>
    <x v="0"/>
    <x v="0"/>
    <x v="2"/>
    <x v="9"/>
    <n v="0"/>
    <n v="1"/>
    <n v="0"/>
    <m/>
    <x v="0"/>
    <n v="0.15858343164293309"/>
  </r>
  <r>
    <x v="12"/>
    <x v="0"/>
    <x v="0"/>
    <x v="0"/>
    <x v="3"/>
    <x v="0"/>
    <x v="1"/>
    <x v="1"/>
    <x v="1"/>
    <x v="7"/>
    <n v="0"/>
    <n v="1"/>
    <n v="0"/>
    <m/>
    <x v="1"/>
    <n v="2.8056793497173549E-2"/>
  </r>
  <r>
    <x v="2"/>
    <x v="0"/>
    <x v="1"/>
    <x v="0"/>
    <x v="0"/>
    <x v="0"/>
    <x v="1"/>
    <x v="1"/>
    <x v="0"/>
    <x v="5"/>
    <n v="0"/>
    <n v="1"/>
    <n v="0"/>
    <m/>
    <x v="1"/>
    <n v="1.5103271786810353E-2"/>
  </r>
  <r>
    <x v="6"/>
    <x v="1"/>
    <x v="0"/>
    <x v="2"/>
    <x v="3"/>
    <x v="1"/>
    <x v="1"/>
    <x v="1"/>
    <x v="0"/>
    <x v="9"/>
    <n v="0"/>
    <n v="1"/>
    <n v="0"/>
    <m/>
    <x v="1"/>
    <n v="0.14663061972369384"/>
  </r>
  <r>
    <x v="11"/>
    <x v="1"/>
    <x v="0"/>
    <x v="0"/>
    <x v="2"/>
    <x v="1"/>
    <x v="1"/>
    <x v="1"/>
    <x v="1"/>
    <x v="3"/>
    <n v="0"/>
    <n v="1"/>
    <n v="0"/>
    <m/>
    <x v="1"/>
    <n v="5.9633482189705503E-2"/>
  </r>
  <r>
    <x v="5"/>
    <x v="1"/>
    <x v="0"/>
    <x v="2"/>
    <x v="3"/>
    <x v="0"/>
    <x v="0"/>
    <x v="1"/>
    <x v="2"/>
    <x v="9"/>
    <n v="0"/>
    <n v="1"/>
    <n v="0"/>
    <m/>
    <x v="0"/>
    <n v="0.2929773242473675"/>
  </r>
  <r>
    <x v="8"/>
    <x v="1"/>
    <x v="1"/>
    <x v="2"/>
    <x v="0"/>
    <x v="0"/>
    <x v="0"/>
    <x v="0"/>
    <x v="1"/>
    <x v="4"/>
    <n v="0"/>
    <n v="1"/>
    <n v="0"/>
    <m/>
    <x v="1"/>
    <n v="4.0674290026531716E-2"/>
  </r>
  <r>
    <x v="8"/>
    <x v="0"/>
    <x v="1"/>
    <x v="0"/>
    <x v="2"/>
    <x v="1"/>
    <x v="0"/>
    <x v="0"/>
    <x v="2"/>
    <x v="9"/>
    <n v="0"/>
    <n v="1"/>
    <n v="0"/>
    <m/>
    <x v="1"/>
    <n v="0.17371434400069519"/>
  </r>
  <r>
    <x v="17"/>
    <x v="1"/>
    <x v="1"/>
    <x v="2"/>
    <x v="0"/>
    <x v="0"/>
    <x v="0"/>
    <x v="0"/>
    <x v="2"/>
    <x v="9"/>
    <n v="0"/>
    <n v="1"/>
    <n v="0"/>
    <m/>
    <x v="0"/>
    <n v="0.12646792194996428"/>
  </r>
  <r>
    <x v="3"/>
    <x v="1"/>
    <x v="0"/>
    <x v="2"/>
    <x v="2"/>
    <x v="0"/>
    <x v="0"/>
    <x v="1"/>
    <x v="1"/>
    <x v="1"/>
    <n v="0"/>
    <n v="1"/>
    <n v="0"/>
    <m/>
    <x v="1"/>
    <n v="8.221989569595807E-2"/>
  </r>
  <r>
    <x v="14"/>
    <x v="1"/>
    <x v="1"/>
    <x v="0"/>
    <x v="0"/>
    <x v="0"/>
    <x v="1"/>
    <x v="1"/>
    <x v="0"/>
    <x v="7"/>
    <n v="0"/>
    <n v="1"/>
    <n v="0"/>
    <m/>
    <x v="1"/>
    <n v="2.2659939205773683E-2"/>
  </r>
  <r>
    <x v="3"/>
    <x v="0"/>
    <x v="1"/>
    <x v="2"/>
    <x v="1"/>
    <x v="1"/>
    <x v="0"/>
    <x v="1"/>
    <x v="0"/>
    <x v="8"/>
    <n v="0"/>
    <n v="1"/>
    <n v="0"/>
    <m/>
    <x v="1"/>
    <n v="0.11076881537434741"/>
  </r>
  <r>
    <x v="5"/>
    <x v="0"/>
    <x v="1"/>
    <x v="2"/>
    <x v="2"/>
    <x v="1"/>
    <x v="0"/>
    <x v="0"/>
    <x v="2"/>
    <x v="9"/>
    <n v="0"/>
    <n v="1"/>
    <n v="0"/>
    <m/>
    <x v="0"/>
    <n v="0.21665005120417449"/>
  </r>
  <r>
    <x v="2"/>
    <x v="0"/>
    <x v="1"/>
    <x v="0"/>
    <x v="2"/>
    <x v="0"/>
    <x v="1"/>
    <x v="1"/>
    <x v="2"/>
    <x v="0"/>
    <n v="0"/>
    <n v="1"/>
    <n v="0"/>
    <m/>
    <x v="1"/>
    <n v="4.8105072216363585E-2"/>
  </r>
  <r>
    <x v="11"/>
    <x v="1"/>
    <x v="0"/>
    <x v="2"/>
    <x v="0"/>
    <x v="1"/>
    <x v="0"/>
    <x v="0"/>
    <x v="2"/>
    <x v="9"/>
    <n v="0"/>
    <n v="1"/>
    <n v="0"/>
    <m/>
    <x v="1"/>
    <n v="0.29093390154616028"/>
  </r>
  <r>
    <x v="6"/>
    <x v="1"/>
    <x v="0"/>
    <x v="2"/>
    <x v="3"/>
    <x v="0"/>
    <x v="0"/>
    <x v="1"/>
    <x v="2"/>
    <x v="9"/>
    <n v="0"/>
    <n v="1"/>
    <n v="0"/>
    <m/>
    <x v="1"/>
    <n v="0.2929773242473675"/>
  </r>
  <r>
    <x v="8"/>
    <x v="0"/>
    <x v="0"/>
    <x v="0"/>
    <x v="3"/>
    <x v="1"/>
    <x v="1"/>
    <x v="1"/>
    <x v="1"/>
    <x v="0"/>
    <n v="0"/>
    <n v="1"/>
    <n v="0"/>
    <m/>
    <x v="1"/>
    <n v="5.3762004632525763E-2"/>
  </r>
  <r>
    <x v="6"/>
    <x v="1"/>
    <x v="0"/>
    <x v="0"/>
    <x v="3"/>
    <x v="1"/>
    <x v="1"/>
    <x v="1"/>
    <x v="0"/>
    <x v="8"/>
    <n v="0"/>
    <n v="1"/>
    <n v="0"/>
    <m/>
    <x v="1"/>
    <n v="0.11552492690011482"/>
  </r>
  <r>
    <x v="7"/>
    <x v="1"/>
    <x v="0"/>
    <x v="0"/>
    <x v="0"/>
    <x v="1"/>
    <x v="1"/>
    <x v="1"/>
    <x v="1"/>
    <x v="4"/>
    <n v="0"/>
    <n v="1"/>
    <n v="0"/>
    <m/>
    <x v="1"/>
    <n v="4.1425033735772165E-2"/>
  </r>
  <r>
    <x v="10"/>
    <x v="1"/>
    <x v="0"/>
    <x v="1"/>
    <x v="2"/>
    <x v="0"/>
    <x v="1"/>
    <x v="1"/>
    <x v="2"/>
    <x v="0"/>
    <n v="0"/>
    <n v="1"/>
    <n v="0"/>
    <m/>
    <x v="1"/>
    <n v="4.778062262691999E-2"/>
  </r>
  <r>
    <x v="1"/>
    <x v="0"/>
    <x v="1"/>
    <x v="1"/>
    <x v="2"/>
    <x v="1"/>
    <x v="0"/>
    <x v="0"/>
    <x v="1"/>
    <x v="7"/>
    <n v="0"/>
    <n v="1"/>
    <n v="0"/>
    <m/>
    <x v="0"/>
    <n v="2.7313833211787753E-2"/>
  </r>
  <r>
    <x v="14"/>
    <x v="0"/>
    <x v="0"/>
    <x v="2"/>
    <x v="1"/>
    <x v="1"/>
    <x v="0"/>
    <x v="1"/>
    <x v="2"/>
    <x v="9"/>
    <n v="0"/>
    <n v="3"/>
    <n v="0"/>
    <m/>
    <x v="1"/>
    <n v="0.86142965475236066"/>
  </r>
  <r>
    <x v="7"/>
    <x v="0"/>
    <x v="0"/>
    <x v="2"/>
    <x v="3"/>
    <x v="1"/>
    <x v="1"/>
    <x v="1"/>
    <x v="1"/>
    <x v="1"/>
    <n v="0"/>
    <n v="1"/>
    <n v="0"/>
    <m/>
    <x v="1"/>
    <n v="6.9545304453454915E-2"/>
  </r>
  <r>
    <x v="8"/>
    <x v="0"/>
    <x v="0"/>
    <x v="1"/>
    <x v="2"/>
    <x v="0"/>
    <x v="1"/>
    <x v="1"/>
    <x v="0"/>
    <x v="5"/>
    <n v="0"/>
    <n v="1"/>
    <n v="0"/>
    <m/>
    <x v="1"/>
    <n v="1.4562828746708278E-2"/>
  </r>
  <r>
    <x v="16"/>
    <x v="1"/>
    <x v="0"/>
    <x v="2"/>
    <x v="0"/>
    <x v="0"/>
    <x v="0"/>
    <x v="1"/>
    <x v="2"/>
    <x v="9"/>
    <n v="0"/>
    <n v="2"/>
    <n v="0"/>
    <m/>
    <x v="1"/>
    <n v="0.34500564574730752"/>
  </r>
  <r>
    <x v="4"/>
    <x v="1"/>
    <x v="0"/>
    <x v="0"/>
    <x v="3"/>
    <x v="0"/>
    <x v="1"/>
    <x v="1"/>
    <x v="0"/>
    <x v="3"/>
    <n v="0"/>
    <n v="1"/>
    <n v="0"/>
    <m/>
    <x v="1"/>
    <n v="6.2231171033494175E-2"/>
  </r>
  <r>
    <x v="1"/>
    <x v="1"/>
    <x v="1"/>
    <x v="2"/>
    <x v="2"/>
    <x v="0"/>
    <x v="0"/>
    <x v="1"/>
    <x v="2"/>
    <x v="9"/>
    <n v="0"/>
    <n v="1"/>
    <n v="0"/>
    <m/>
    <x v="0"/>
    <n v="0.17522405795301016"/>
  </r>
  <r>
    <x v="2"/>
    <x v="1"/>
    <x v="0"/>
    <x v="2"/>
    <x v="3"/>
    <x v="1"/>
    <x v="0"/>
    <x v="0"/>
    <x v="2"/>
    <x v="9"/>
    <n v="0"/>
    <n v="1"/>
    <n v="0"/>
    <m/>
    <x v="1"/>
    <n v="0.44921867129852688"/>
  </r>
  <r>
    <x v="18"/>
    <x v="0"/>
    <x v="0"/>
    <x v="2"/>
    <x v="2"/>
    <x v="0"/>
    <x v="0"/>
    <x v="0"/>
    <x v="0"/>
    <x v="1"/>
    <n v="0"/>
    <n v="1"/>
    <n v="0"/>
    <m/>
    <x v="1"/>
    <n v="8.2646531177737778E-2"/>
  </r>
  <r>
    <x v="1"/>
    <x v="1"/>
    <x v="0"/>
    <x v="2"/>
    <x v="3"/>
    <x v="1"/>
    <x v="0"/>
    <x v="0"/>
    <x v="0"/>
    <x v="9"/>
    <n v="0"/>
    <n v="1"/>
    <n v="0"/>
    <m/>
    <x v="0"/>
    <n v="0.26641728068577614"/>
  </r>
  <r>
    <x v="7"/>
    <x v="0"/>
    <x v="0"/>
    <x v="0"/>
    <x v="2"/>
    <x v="1"/>
    <x v="0"/>
    <x v="0"/>
    <x v="2"/>
    <x v="9"/>
    <n v="0"/>
    <n v="1"/>
    <n v="0"/>
    <m/>
    <x v="1"/>
    <n v="0.23237226266969685"/>
  </r>
  <r>
    <x v="1"/>
    <x v="1"/>
    <x v="0"/>
    <x v="2"/>
    <x v="3"/>
    <x v="1"/>
    <x v="0"/>
    <x v="1"/>
    <x v="0"/>
    <x v="9"/>
    <n v="0"/>
    <n v="1"/>
    <n v="0"/>
    <m/>
    <x v="0"/>
    <n v="0.26641728068577614"/>
  </r>
  <r>
    <x v="19"/>
    <x v="1"/>
    <x v="1"/>
    <x v="0"/>
    <x v="0"/>
    <x v="0"/>
    <x v="1"/>
    <x v="0"/>
    <x v="1"/>
    <x v="5"/>
    <n v="0"/>
    <n v="2"/>
    <n v="0"/>
    <m/>
    <x v="1"/>
    <n v="3.0039194880372936E-2"/>
  </r>
  <r>
    <x v="11"/>
    <x v="1"/>
    <x v="0"/>
    <x v="2"/>
    <x v="0"/>
    <x v="0"/>
    <x v="1"/>
    <x v="1"/>
    <x v="2"/>
    <x v="8"/>
    <n v="0"/>
    <n v="1"/>
    <n v="0"/>
    <m/>
    <x v="1"/>
    <n v="8.9774500731891763E-2"/>
  </r>
  <r>
    <x v="10"/>
    <x v="1"/>
    <x v="0"/>
    <x v="0"/>
    <x v="3"/>
    <x v="1"/>
    <x v="0"/>
    <x v="0"/>
    <x v="0"/>
    <x v="9"/>
    <n v="0"/>
    <n v="1"/>
    <n v="0"/>
    <m/>
    <x v="1"/>
    <n v="0.21634259353047053"/>
  </r>
  <r>
    <x v="21"/>
    <x v="1"/>
    <x v="1"/>
    <x v="0"/>
    <x v="3"/>
    <x v="0"/>
    <x v="0"/>
    <x v="1"/>
    <x v="2"/>
    <x v="9"/>
    <n v="0"/>
    <n v="1"/>
    <n v="0"/>
    <m/>
    <x v="1"/>
    <n v="0.17949631292439386"/>
  </r>
  <r>
    <x v="4"/>
    <x v="1"/>
    <x v="1"/>
    <x v="0"/>
    <x v="0"/>
    <x v="1"/>
    <x v="0"/>
    <x v="1"/>
    <x v="1"/>
    <x v="3"/>
    <n v="0"/>
    <n v="1"/>
    <n v="0"/>
    <m/>
    <x v="1"/>
    <n v="5.9651729761640827E-2"/>
  </r>
  <r>
    <x v="18"/>
    <x v="1"/>
    <x v="0"/>
    <x v="0"/>
    <x v="2"/>
    <x v="1"/>
    <x v="0"/>
    <x v="1"/>
    <x v="1"/>
    <x v="8"/>
    <n v="0"/>
    <n v="1"/>
    <n v="0"/>
    <m/>
    <x v="1"/>
    <n v="0.118193115915998"/>
  </r>
  <r>
    <x v="7"/>
    <x v="1"/>
    <x v="1"/>
    <x v="2"/>
    <x v="3"/>
    <x v="0"/>
    <x v="0"/>
    <x v="1"/>
    <x v="2"/>
    <x v="9"/>
    <n v="0"/>
    <n v="1"/>
    <n v="0"/>
    <m/>
    <x v="1"/>
    <n v="0.22347460084418283"/>
  </r>
  <r>
    <x v="21"/>
    <x v="1"/>
    <x v="1"/>
    <x v="2"/>
    <x v="2"/>
    <x v="1"/>
    <x v="0"/>
    <x v="1"/>
    <x v="1"/>
    <x v="8"/>
    <n v="0"/>
    <n v="1"/>
    <n v="0"/>
    <m/>
    <x v="1"/>
    <n v="0.10909826649368773"/>
  </r>
  <r>
    <x v="3"/>
    <x v="0"/>
    <x v="0"/>
    <x v="0"/>
    <x v="0"/>
    <x v="1"/>
    <x v="0"/>
    <x v="0"/>
    <x v="0"/>
    <x v="1"/>
    <n v="0"/>
    <n v="1"/>
    <n v="0"/>
    <m/>
    <x v="1"/>
    <n v="8.4129123046113322E-2"/>
  </r>
  <r>
    <x v="0"/>
    <x v="1"/>
    <x v="0"/>
    <x v="0"/>
    <x v="2"/>
    <x v="1"/>
    <x v="0"/>
    <x v="0"/>
    <x v="0"/>
    <x v="9"/>
    <n v="0"/>
    <n v="1"/>
    <n v="0"/>
    <m/>
    <x v="0"/>
    <n v="0.1692962067399281"/>
  </r>
  <r>
    <x v="9"/>
    <x v="0"/>
    <x v="0"/>
    <x v="2"/>
    <x v="0"/>
    <x v="0"/>
    <x v="1"/>
    <x v="1"/>
    <x v="1"/>
    <x v="5"/>
    <n v="0"/>
    <n v="1"/>
    <n v="0"/>
    <m/>
    <x v="0"/>
    <n v="1.874585193217462E-2"/>
  </r>
  <r>
    <x v="21"/>
    <x v="1"/>
    <x v="0"/>
    <x v="0"/>
    <x v="2"/>
    <x v="1"/>
    <x v="0"/>
    <x v="1"/>
    <x v="0"/>
    <x v="9"/>
    <n v="0"/>
    <n v="1"/>
    <n v="0"/>
    <m/>
    <x v="1"/>
    <n v="0.1692962067399281"/>
  </r>
  <r>
    <x v="16"/>
    <x v="1"/>
    <x v="1"/>
    <x v="2"/>
    <x v="0"/>
    <x v="0"/>
    <x v="1"/>
    <x v="0"/>
    <x v="1"/>
    <x v="5"/>
    <n v="0"/>
    <n v="1"/>
    <n v="0"/>
    <m/>
    <x v="1"/>
    <n v="1.9665389303685415E-2"/>
  </r>
  <r>
    <x v="18"/>
    <x v="1"/>
    <x v="1"/>
    <x v="2"/>
    <x v="2"/>
    <x v="1"/>
    <x v="1"/>
    <x v="1"/>
    <x v="1"/>
    <x v="0"/>
    <n v="0"/>
    <n v="1"/>
    <n v="0"/>
    <m/>
    <x v="1"/>
    <n v="5.4764888380398044E-2"/>
  </r>
  <r>
    <x v="9"/>
    <x v="0"/>
    <x v="1"/>
    <x v="2"/>
    <x v="0"/>
    <x v="1"/>
    <x v="0"/>
    <x v="0"/>
    <x v="0"/>
    <x v="1"/>
    <n v="0"/>
    <n v="1"/>
    <n v="0"/>
    <m/>
    <x v="0"/>
    <n v="7.7425317298704582E-2"/>
  </r>
  <r>
    <x v="21"/>
    <x v="1"/>
    <x v="0"/>
    <x v="2"/>
    <x v="3"/>
    <x v="0"/>
    <x v="0"/>
    <x v="0"/>
    <x v="1"/>
    <x v="8"/>
    <n v="0"/>
    <n v="1"/>
    <n v="0"/>
    <m/>
    <x v="1"/>
    <n v="0.10822071926003198"/>
  </r>
  <r>
    <x v="7"/>
    <x v="1"/>
    <x v="0"/>
    <x v="2"/>
    <x v="1"/>
    <x v="1"/>
    <x v="0"/>
    <x v="1"/>
    <x v="0"/>
    <x v="9"/>
    <n v="0"/>
    <n v="1"/>
    <n v="0"/>
    <m/>
    <x v="1"/>
    <n v="0.21333167671907721"/>
  </r>
  <r>
    <x v="7"/>
    <x v="1"/>
    <x v="1"/>
    <x v="0"/>
    <x v="0"/>
    <x v="0"/>
    <x v="1"/>
    <x v="1"/>
    <x v="2"/>
    <x v="0"/>
    <n v="0"/>
    <n v="1"/>
    <n v="0"/>
    <m/>
    <x v="1"/>
    <n v="4.9491902792675999E-2"/>
  </r>
  <r>
    <x v="4"/>
    <x v="0"/>
    <x v="0"/>
    <x v="2"/>
    <x v="2"/>
    <x v="1"/>
    <x v="0"/>
    <x v="1"/>
    <x v="2"/>
    <x v="9"/>
    <n v="0"/>
    <n v="1"/>
    <n v="0"/>
    <m/>
    <x v="1"/>
    <n v="0.28480875100254455"/>
  </r>
  <r>
    <x v="2"/>
    <x v="0"/>
    <x v="1"/>
    <x v="0"/>
    <x v="2"/>
    <x v="0"/>
    <x v="1"/>
    <x v="1"/>
    <x v="0"/>
    <x v="7"/>
    <n v="0"/>
    <n v="1"/>
    <n v="0"/>
    <m/>
    <x v="1"/>
    <n v="2.2007568458762099E-2"/>
  </r>
  <r>
    <x v="4"/>
    <x v="0"/>
    <x v="0"/>
    <x v="0"/>
    <x v="2"/>
    <x v="1"/>
    <x v="0"/>
    <x v="1"/>
    <x v="2"/>
    <x v="9"/>
    <n v="0"/>
    <n v="1"/>
    <n v="0"/>
    <m/>
    <x v="1"/>
    <n v="0.23237226266969685"/>
  </r>
  <r>
    <x v="7"/>
    <x v="1"/>
    <x v="1"/>
    <x v="0"/>
    <x v="2"/>
    <x v="1"/>
    <x v="0"/>
    <x v="1"/>
    <x v="1"/>
    <x v="8"/>
    <n v="0"/>
    <n v="1"/>
    <n v="0"/>
    <m/>
    <x v="1"/>
    <n v="8.5160005166699276E-2"/>
  </r>
  <r>
    <x v="2"/>
    <x v="0"/>
    <x v="0"/>
    <x v="1"/>
    <x v="2"/>
    <x v="0"/>
    <x v="1"/>
    <x v="1"/>
    <x v="1"/>
    <x v="6"/>
    <n v="0"/>
    <n v="1"/>
    <n v="0"/>
    <m/>
    <x v="1"/>
    <n v="9.6257330475760985E-3"/>
  </r>
  <r>
    <x v="12"/>
    <x v="1"/>
    <x v="1"/>
    <x v="1"/>
    <x v="0"/>
    <x v="0"/>
    <x v="1"/>
    <x v="1"/>
    <x v="0"/>
    <x v="6"/>
    <n v="0"/>
    <n v="1"/>
    <n v="0"/>
    <m/>
    <x v="1"/>
    <n v="1.0463975714453297E-2"/>
  </r>
  <r>
    <x v="9"/>
    <x v="0"/>
    <x v="0"/>
    <x v="1"/>
    <x v="0"/>
    <x v="0"/>
    <x v="1"/>
    <x v="0"/>
    <x v="2"/>
    <x v="7"/>
    <n v="0"/>
    <n v="1"/>
    <n v="0"/>
    <m/>
    <x v="0"/>
    <n v="2.2116330033594731E-2"/>
  </r>
  <r>
    <x v="4"/>
    <x v="1"/>
    <x v="0"/>
    <x v="0"/>
    <x v="2"/>
    <x v="1"/>
    <x v="0"/>
    <x v="1"/>
    <x v="0"/>
    <x v="9"/>
    <n v="0"/>
    <n v="1"/>
    <n v="0"/>
    <m/>
    <x v="1"/>
    <n v="0.1692962067399281"/>
  </r>
  <r>
    <x v="19"/>
    <x v="1"/>
    <x v="1"/>
    <x v="2"/>
    <x v="0"/>
    <x v="0"/>
    <x v="0"/>
    <x v="0"/>
    <x v="0"/>
    <x v="3"/>
    <n v="1"/>
    <n v="1"/>
    <n v="0"/>
    <m/>
    <x v="1"/>
    <n v="6.0562543455648175E-2"/>
  </r>
  <r>
    <x v="12"/>
    <x v="0"/>
    <x v="0"/>
    <x v="0"/>
    <x v="0"/>
    <x v="0"/>
    <x v="1"/>
    <x v="0"/>
    <x v="2"/>
    <x v="0"/>
    <n v="4"/>
    <n v="5"/>
    <n v="0"/>
    <m/>
    <x v="1"/>
    <n v="0.23622457385866416"/>
  </r>
  <r>
    <x v="17"/>
    <x v="1"/>
    <x v="0"/>
    <x v="0"/>
    <x v="0"/>
    <x v="0"/>
    <x v="0"/>
    <x v="0"/>
    <x v="1"/>
    <x v="0"/>
    <n v="44"/>
    <n v="50"/>
    <n v="3"/>
    <n v="42"/>
    <x v="0"/>
    <n v="2.2174501726840745"/>
  </r>
  <r>
    <x v="0"/>
    <x v="0"/>
    <x v="0"/>
    <x v="0"/>
    <x v="1"/>
    <x v="0"/>
    <x v="0"/>
    <x v="1"/>
    <x v="1"/>
    <x v="2"/>
    <n v="81"/>
    <n v="92"/>
    <n v="3"/>
    <n v="78"/>
    <x v="0"/>
    <n v="4.0087829408911499"/>
  </r>
  <r>
    <x v="22"/>
    <x v="0"/>
    <x v="1"/>
    <x v="2"/>
    <x v="1"/>
    <x v="0"/>
    <x v="0"/>
    <x v="1"/>
    <x v="0"/>
    <x v="3"/>
    <n v="2"/>
    <n v="2"/>
    <n v="0"/>
    <n v="2"/>
    <x v="0"/>
    <n v="0.11904297598263569"/>
  </r>
  <r>
    <x v="9"/>
    <x v="0"/>
    <x v="0"/>
    <x v="0"/>
    <x v="1"/>
    <x v="0"/>
    <x v="0"/>
    <x v="1"/>
    <x v="2"/>
    <x v="9"/>
    <n v="34"/>
    <n v="47"/>
    <n v="6"/>
    <n v="34"/>
    <x v="0"/>
    <n v="6.3273683503702838"/>
  </r>
  <r>
    <x v="17"/>
    <x v="0"/>
    <x v="0"/>
    <x v="0"/>
    <x v="0"/>
    <x v="0"/>
    <x v="0"/>
    <x v="0"/>
    <x v="0"/>
    <x v="0"/>
    <n v="14"/>
    <n v="16"/>
    <n v="0"/>
    <n v="14"/>
    <x v="0"/>
    <n v="0.71341880984121997"/>
  </r>
  <r>
    <x v="10"/>
    <x v="0"/>
    <x v="0"/>
    <x v="0"/>
    <x v="0"/>
    <x v="0"/>
    <x v="0"/>
    <x v="0"/>
    <x v="1"/>
    <x v="7"/>
    <n v="29"/>
    <n v="39"/>
    <n v="1"/>
    <m/>
    <x v="1"/>
    <n v="1.1614132051389647"/>
  </r>
  <r>
    <x v="0"/>
    <x v="0"/>
    <x v="0"/>
    <x v="0"/>
    <x v="1"/>
    <x v="1"/>
    <x v="0"/>
    <x v="1"/>
    <x v="0"/>
    <x v="8"/>
    <n v="10"/>
    <n v="13"/>
    <n v="2"/>
    <n v="10"/>
    <x v="0"/>
    <n v="1.5597942431346312"/>
  </r>
  <r>
    <x v="6"/>
    <x v="0"/>
    <x v="1"/>
    <x v="0"/>
    <x v="1"/>
    <x v="0"/>
    <x v="0"/>
    <x v="1"/>
    <x v="0"/>
    <x v="0"/>
    <n v="5"/>
    <n v="5"/>
    <n v="0"/>
    <m/>
    <x v="1"/>
    <n v="0.22950433762111819"/>
  </r>
  <r>
    <x v="8"/>
    <x v="1"/>
    <x v="0"/>
    <x v="0"/>
    <x v="0"/>
    <x v="0"/>
    <x v="0"/>
    <x v="0"/>
    <x v="1"/>
    <x v="0"/>
    <n v="38"/>
    <n v="46"/>
    <n v="0"/>
    <m/>
    <x v="1"/>
    <n v="2.0400541588693488"/>
  </r>
  <r>
    <x v="1"/>
    <x v="1"/>
    <x v="1"/>
    <x v="2"/>
    <x v="0"/>
    <x v="0"/>
    <x v="0"/>
    <x v="0"/>
    <x v="1"/>
    <x v="4"/>
    <n v="8"/>
    <n v="9"/>
    <n v="0"/>
    <n v="8"/>
    <x v="0"/>
    <n v="0.36606861023878545"/>
  </r>
  <r>
    <x v="15"/>
    <x v="1"/>
    <x v="1"/>
    <x v="0"/>
    <x v="0"/>
    <x v="0"/>
    <x v="0"/>
    <x v="1"/>
    <x v="1"/>
    <x v="4"/>
    <n v="6"/>
    <n v="10"/>
    <n v="0"/>
    <n v="6"/>
    <x v="0"/>
    <n v="0.31223388514230055"/>
  </r>
  <r>
    <x v="17"/>
    <x v="0"/>
    <x v="0"/>
    <x v="0"/>
    <x v="3"/>
    <x v="1"/>
    <x v="0"/>
    <x v="1"/>
    <x v="2"/>
    <x v="9"/>
    <n v="6"/>
    <n v="7"/>
    <n v="2"/>
    <n v="6"/>
    <x v="0"/>
    <n v="2.0356754847999747"/>
  </r>
  <r>
    <x v="4"/>
    <x v="1"/>
    <x v="0"/>
    <x v="0"/>
    <x v="1"/>
    <x v="0"/>
    <x v="0"/>
    <x v="1"/>
    <x v="1"/>
    <x v="3"/>
    <n v="52"/>
    <n v="81"/>
    <n v="0"/>
    <m/>
    <x v="1"/>
    <n v="5.2198876819399516"/>
  </r>
  <r>
    <x v="10"/>
    <x v="1"/>
    <x v="0"/>
    <x v="0"/>
    <x v="2"/>
    <x v="1"/>
    <x v="0"/>
    <x v="1"/>
    <x v="1"/>
    <x v="8"/>
    <n v="5"/>
    <n v="7"/>
    <n v="0"/>
    <m/>
    <x v="1"/>
    <n v="0.82735181141198599"/>
  </r>
  <r>
    <x v="9"/>
    <x v="0"/>
    <x v="0"/>
    <x v="0"/>
    <x v="0"/>
    <x v="1"/>
    <x v="1"/>
    <x v="0"/>
    <x v="1"/>
    <x v="7"/>
    <n v="1"/>
    <n v="1"/>
    <n v="0"/>
    <n v="1"/>
    <x v="0"/>
    <n v="2.7788483854578296E-2"/>
  </r>
  <r>
    <x v="22"/>
    <x v="0"/>
    <x v="0"/>
    <x v="0"/>
    <x v="1"/>
    <x v="1"/>
    <x v="0"/>
    <x v="1"/>
    <x v="2"/>
    <x v="9"/>
    <n v="8"/>
    <n v="12"/>
    <n v="1"/>
    <n v="8"/>
    <x v="0"/>
    <n v="2.8130136493286195"/>
  </r>
  <r>
    <x v="0"/>
    <x v="1"/>
    <x v="0"/>
    <x v="0"/>
    <x v="0"/>
    <x v="0"/>
    <x v="1"/>
    <x v="0"/>
    <x v="2"/>
    <x v="1"/>
    <n v="2"/>
    <n v="2"/>
    <n v="0"/>
    <n v="2"/>
    <x v="0"/>
    <n v="0.13948863320885782"/>
  </r>
  <r>
    <x v="8"/>
    <x v="1"/>
    <x v="0"/>
    <x v="0"/>
    <x v="1"/>
    <x v="1"/>
    <x v="0"/>
    <x v="1"/>
    <x v="1"/>
    <x v="8"/>
    <n v="11"/>
    <n v="26"/>
    <n v="0"/>
    <m/>
    <x v="1"/>
    <n v="3.1041368426123181"/>
  </r>
  <r>
    <x v="7"/>
    <x v="0"/>
    <x v="0"/>
    <x v="2"/>
    <x v="1"/>
    <x v="0"/>
    <x v="0"/>
    <x v="1"/>
    <x v="2"/>
    <x v="9"/>
    <n v="7"/>
    <n v="10"/>
    <n v="0"/>
    <m/>
    <x v="1"/>
    <n v="1.6988551335824618"/>
  </r>
  <r>
    <x v="4"/>
    <x v="0"/>
    <x v="0"/>
    <x v="0"/>
    <x v="2"/>
    <x v="0"/>
    <x v="0"/>
    <x v="1"/>
    <x v="1"/>
    <x v="2"/>
    <n v="9"/>
    <n v="10"/>
    <n v="0"/>
    <m/>
    <x v="1"/>
    <n v="0.43099749369073626"/>
  </r>
  <r>
    <x v="22"/>
    <x v="1"/>
    <x v="0"/>
    <x v="0"/>
    <x v="2"/>
    <x v="1"/>
    <x v="0"/>
    <x v="1"/>
    <x v="1"/>
    <x v="8"/>
    <n v="6"/>
    <n v="7"/>
    <n v="0"/>
    <n v="5"/>
    <x v="0"/>
    <n v="0.82735181141198599"/>
  </r>
  <r>
    <x v="15"/>
    <x v="1"/>
    <x v="0"/>
    <x v="0"/>
    <x v="1"/>
    <x v="0"/>
    <x v="0"/>
    <x v="1"/>
    <x v="2"/>
    <x v="9"/>
    <n v="21"/>
    <n v="31"/>
    <n v="8"/>
    <n v="21"/>
    <x v="0"/>
    <n v="5.9030282629590269"/>
  </r>
  <r>
    <x v="11"/>
    <x v="0"/>
    <x v="1"/>
    <x v="2"/>
    <x v="2"/>
    <x v="0"/>
    <x v="0"/>
    <x v="1"/>
    <x v="1"/>
    <x v="4"/>
    <n v="1"/>
    <n v="1"/>
    <n v="0"/>
    <m/>
    <x v="1"/>
    <n v="3.9524266772527843E-2"/>
  </r>
  <r>
    <x v="19"/>
    <x v="1"/>
    <x v="0"/>
    <x v="0"/>
    <x v="1"/>
    <x v="0"/>
    <x v="0"/>
    <x v="1"/>
    <x v="1"/>
    <x v="3"/>
    <n v="64"/>
    <n v="98"/>
    <n v="0"/>
    <m/>
    <x v="1"/>
    <n v="6.3154196645693244"/>
  </r>
  <r>
    <x v="20"/>
    <x v="0"/>
    <x v="0"/>
    <x v="2"/>
    <x v="1"/>
    <x v="1"/>
    <x v="0"/>
    <x v="1"/>
    <x v="1"/>
    <x v="8"/>
    <n v="4"/>
    <n v="6"/>
    <n v="0"/>
    <n v="4"/>
    <x v="0"/>
    <n v="0.63309979180828335"/>
  </r>
  <r>
    <x v="1"/>
    <x v="1"/>
    <x v="0"/>
    <x v="0"/>
    <x v="0"/>
    <x v="0"/>
    <x v="0"/>
    <x v="0"/>
    <x v="0"/>
    <x v="1"/>
    <n v="16"/>
    <n v="18"/>
    <n v="0"/>
    <n v="16"/>
    <x v="0"/>
    <n v="1.1863909625688625"/>
  </r>
  <r>
    <x v="15"/>
    <x v="0"/>
    <x v="1"/>
    <x v="1"/>
    <x v="1"/>
    <x v="0"/>
    <x v="0"/>
    <x v="1"/>
    <x v="1"/>
    <x v="6"/>
    <n v="10"/>
    <n v="10"/>
    <n v="0"/>
    <n v="10"/>
    <x v="0"/>
    <n v="0.14225731508849485"/>
  </r>
  <r>
    <x v="3"/>
    <x v="0"/>
    <x v="0"/>
    <x v="0"/>
    <x v="0"/>
    <x v="0"/>
    <x v="0"/>
    <x v="1"/>
    <x v="0"/>
    <x v="0"/>
    <n v="13"/>
    <n v="14"/>
    <n v="0"/>
    <m/>
    <x v="1"/>
    <n v="0.6242414586110675"/>
  </r>
  <r>
    <x v="20"/>
    <x v="1"/>
    <x v="1"/>
    <x v="0"/>
    <x v="0"/>
    <x v="0"/>
    <x v="1"/>
    <x v="1"/>
    <x v="1"/>
    <x v="5"/>
    <n v="6"/>
    <n v="6"/>
    <n v="0"/>
    <n v="6"/>
    <x v="0"/>
    <n v="9.0117584641118811E-2"/>
  </r>
  <r>
    <x v="5"/>
    <x v="1"/>
    <x v="1"/>
    <x v="0"/>
    <x v="1"/>
    <x v="0"/>
    <x v="0"/>
    <x v="1"/>
    <x v="2"/>
    <x v="9"/>
    <n v="8"/>
    <n v="9"/>
    <n v="0"/>
    <n v="8"/>
    <x v="0"/>
    <n v="1.2637367614804249"/>
  </r>
  <r>
    <x v="12"/>
    <x v="0"/>
    <x v="0"/>
    <x v="2"/>
    <x v="0"/>
    <x v="0"/>
    <x v="0"/>
    <x v="0"/>
    <x v="0"/>
    <x v="0"/>
    <n v="7"/>
    <n v="8"/>
    <n v="0"/>
    <m/>
    <x v="1"/>
    <n v="0.46274818401678608"/>
  </r>
  <r>
    <x v="9"/>
    <x v="1"/>
    <x v="0"/>
    <x v="0"/>
    <x v="0"/>
    <x v="0"/>
    <x v="0"/>
    <x v="1"/>
    <x v="1"/>
    <x v="0"/>
    <n v="43"/>
    <n v="52"/>
    <n v="3"/>
    <n v="42"/>
    <x v="0"/>
    <n v="2.3061481795914376"/>
  </r>
  <r>
    <x v="12"/>
    <x v="1"/>
    <x v="0"/>
    <x v="0"/>
    <x v="0"/>
    <x v="0"/>
    <x v="0"/>
    <x v="1"/>
    <x v="0"/>
    <x v="1"/>
    <n v="9"/>
    <n v="9"/>
    <n v="1"/>
    <m/>
    <x v="1"/>
    <n v="0.59319548128443123"/>
  </r>
  <r>
    <x v="14"/>
    <x v="1"/>
    <x v="0"/>
    <x v="0"/>
    <x v="0"/>
    <x v="0"/>
    <x v="0"/>
    <x v="1"/>
    <x v="0"/>
    <x v="1"/>
    <n v="3"/>
    <n v="4"/>
    <n v="0"/>
    <m/>
    <x v="1"/>
    <n v="0.26364243612641386"/>
  </r>
  <r>
    <x v="20"/>
    <x v="0"/>
    <x v="0"/>
    <x v="1"/>
    <x v="0"/>
    <x v="0"/>
    <x v="1"/>
    <x v="1"/>
    <x v="1"/>
    <x v="6"/>
    <n v="7"/>
    <n v="8"/>
    <n v="0"/>
    <n v="5"/>
    <x v="0"/>
    <n v="5.263822356052824E-2"/>
  </r>
  <r>
    <x v="3"/>
    <x v="0"/>
    <x v="0"/>
    <x v="0"/>
    <x v="2"/>
    <x v="0"/>
    <x v="0"/>
    <x v="0"/>
    <x v="1"/>
    <x v="2"/>
    <n v="3"/>
    <n v="3"/>
    <n v="0"/>
    <m/>
    <x v="1"/>
    <n v="0.12929924810722088"/>
  </r>
  <r>
    <x v="0"/>
    <x v="1"/>
    <x v="0"/>
    <x v="2"/>
    <x v="2"/>
    <x v="0"/>
    <x v="0"/>
    <x v="1"/>
    <x v="2"/>
    <x v="9"/>
    <n v="3"/>
    <n v="7"/>
    <n v="0"/>
    <n v="3"/>
    <x v="0"/>
    <n v="1.6397306751769263"/>
  </r>
  <r>
    <x v="9"/>
    <x v="1"/>
    <x v="1"/>
    <x v="2"/>
    <x v="1"/>
    <x v="1"/>
    <x v="0"/>
    <x v="1"/>
    <x v="0"/>
    <x v="9"/>
    <n v="1"/>
    <n v="1"/>
    <n v="0"/>
    <n v="1"/>
    <x v="0"/>
    <n v="0.15848783160330054"/>
  </r>
  <r>
    <x v="14"/>
    <x v="1"/>
    <x v="0"/>
    <x v="0"/>
    <x v="2"/>
    <x v="0"/>
    <x v="0"/>
    <x v="1"/>
    <x v="0"/>
    <x v="8"/>
    <n v="10"/>
    <n v="13"/>
    <n v="0"/>
    <m/>
    <x v="1"/>
    <n v="1.2197672812694857"/>
  </r>
  <r>
    <x v="2"/>
    <x v="0"/>
    <x v="0"/>
    <x v="0"/>
    <x v="1"/>
    <x v="0"/>
    <x v="0"/>
    <x v="1"/>
    <x v="0"/>
    <x v="1"/>
    <n v="36"/>
    <n v="46"/>
    <n v="1"/>
    <m/>
    <x v="1"/>
    <n v="2.9800622187203571"/>
  </r>
  <r>
    <x v="15"/>
    <x v="1"/>
    <x v="0"/>
    <x v="0"/>
    <x v="0"/>
    <x v="0"/>
    <x v="0"/>
    <x v="1"/>
    <x v="1"/>
    <x v="0"/>
    <n v="38"/>
    <n v="43"/>
    <n v="3"/>
    <n v="37"/>
    <x v="0"/>
    <n v="1.907007148508304"/>
  </r>
  <r>
    <x v="1"/>
    <x v="0"/>
    <x v="0"/>
    <x v="0"/>
    <x v="2"/>
    <x v="0"/>
    <x v="0"/>
    <x v="0"/>
    <x v="2"/>
    <x v="9"/>
    <n v="5"/>
    <n v="6"/>
    <n v="1"/>
    <n v="5"/>
    <x v="0"/>
    <n v="0.79979098335421683"/>
  </r>
  <r>
    <x v="15"/>
    <x v="1"/>
    <x v="0"/>
    <x v="0"/>
    <x v="0"/>
    <x v="1"/>
    <x v="1"/>
    <x v="1"/>
    <x v="1"/>
    <x v="4"/>
    <n v="1"/>
    <n v="1"/>
    <n v="0"/>
    <n v="1"/>
    <x v="0"/>
    <n v="4.1425033735772165E-2"/>
  </r>
  <r>
    <x v="16"/>
    <x v="0"/>
    <x v="0"/>
    <x v="0"/>
    <x v="1"/>
    <x v="0"/>
    <x v="0"/>
    <x v="1"/>
    <x v="2"/>
    <x v="9"/>
    <n v="25"/>
    <n v="34"/>
    <n v="2"/>
    <m/>
    <x v="1"/>
    <n v="4.5772451896295667"/>
  </r>
  <r>
    <x v="5"/>
    <x v="1"/>
    <x v="0"/>
    <x v="0"/>
    <x v="2"/>
    <x v="0"/>
    <x v="1"/>
    <x v="1"/>
    <x v="1"/>
    <x v="4"/>
    <n v="9"/>
    <n v="10"/>
    <n v="2"/>
    <n v="9"/>
    <x v="0"/>
    <n v="0.31213548562346582"/>
  </r>
  <r>
    <x v="17"/>
    <x v="1"/>
    <x v="0"/>
    <x v="0"/>
    <x v="0"/>
    <x v="0"/>
    <x v="0"/>
    <x v="0"/>
    <x v="2"/>
    <x v="9"/>
    <n v="9"/>
    <n v="11"/>
    <n v="1"/>
    <n v="9"/>
    <x v="0"/>
    <n v="1.5046729202632971"/>
  </r>
  <r>
    <x v="3"/>
    <x v="0"/>
    <x v="0"/>
    <x v="0"/>
    <x v="2"/>
    <x v="1"/>
    <x v="0"/>
    <x v="0"/>
    <x v="0"/>
    <x v="8"/>
    <n v="2"/>
    <n v="2"/>
    <n v="0"/>
    <m/>
    <x v="1"/>
    <n v="0.23756451250297758"/>
  </r>
  <r>
    <x v="2"/>
    <x v="0"/>
    <x v="0"/>
    <x v="0"/>
    <x v="0"/>
    <x v="0"/>
    <x v="1"/>
    <x v="1"/>
    <x v="1"/>
    <x v="6"/>
    <n v="7"/>
    <n v="10"/>
    <n v="0"/>
    <m/>
    <x v="1"/>
    <n v="0.14314121579974512"/>
  </r>
  <r>
    <x v="14"/>
    <x v="1"/>
    <x v="1"/>
    <x v="0"/>
    <x v="0"/>
    <x v="1"/>
    <x v="1"/>
    <x v="0"/>
    <x v="1"/>
    <x v="7"/>
    <n v="1"/>
    <n v="1"/>
    <n v="0"/>
    <m/>
    <x v="1"/>
    <n v="2.9138416298841268E-2"/>
  </r>
  <r>
    <x v="22"/>
    <x v="1"/>
    <x v="1"/>
    <x v="0"/>
    <x v="2"/>
    <x v="1"/>
    <x v="1"/>
    <x v="1"/>
    <x v="2"/>
    <x v="9"/>
    <n v="1"/>
    <n v="1"/>
    <n v="0"/>
    <n v="0"/>
    <x v="0"/>
    <n v="0.13072788301694924"/>
  </r>
  <r>
    <x v="16"/>
    <x v="1"/>
    <x v="0"/>
    <x v="0"/>
    <x v="2"/>
    <x v="0"/>
    <x v="1"/>
    <x v="0"/>
    <x v="0"/>
    <x v="0"/>
    <n v="1"/>
    <n v="1"/>
    <n v="0"/>
    <m/>
    <x v="1"/>
    <n v="4.6701039199944734E-2"/>
  </r>
  <r>
    <x v="15"/>
    <x v="1"/>
    <x v="0"/>
    <x v="0"/>
    <x v="2"/>
    <x v="0"/>
    <x v="1"/>
    <x v="1"/>
    <x v="1"/>
    <x v="4"/>
    <n v="5"/>
    <n v="5"/>
    <n v="0"/>
    <n v="5"/>
    <x v="0"/>
    <n v="0.15606774281173291"/>
  </r>
  <r>
    <x v="9"/>
    <x v="0"/>
    <x v="0"/>
    <x v="2"/>
    <x v="2"/>
    <x v="1"/>
    <x v="0"/>
    <x v="0"/>
    <x v="2"/>
    <x v="9"/>
    <n v="1"/>
    <n v="1"/>
    <n v="0"/>
    <n v="1"/>
    <x v="0"/>
    <n v="0.28480875100254455"/>
  </r>
  <r>
    <x v="21"/>
    <x v="1"/>
    <x v="0"/>
    <x v="1"/>
    <x v="2"/>
    <x v="0"/>
    <x v="0"/>
    <x v="1"/>
    <x v="0"/>
    <x v="0"/>
    <n v="1"/>
    <n v="1"/>
    <n v="0"/>
    <m/>
    <x v="1"/>
    <n v="4.5095690087541995E-2"/>
  </r>
  <r>
    <x v="21"/>
    <x v="1"/>
    <x v="1"/>
    <x v="1"/>
    <x v="0"/>
    <x v="0"/>
    <x v="1"/>
    <x v="1"/>
    <x v="1"/>
    <x v="6"/>
    <n v="3"/>
    <n v="3"/>
    <n v="0"/>
    <m/>
    <x v="1"/>
    <n v="2.0720205964955687E-2"/>
  </r>
  <r>
    <x v="22"/>
    <x v="0"/>
    <x v="0"/>
    <x v="1"/>
    <x v="0"/>
    <x v="0"/>
    <x v="0"/>
    <x v="0"/>
    <x v="1"/>
    <x v="6"/>
    <n v="4"/>
    <n v="4"/>
    <n v="0"/>
    <n v="4"/>
    <x v="0"/>
    <n v="5.5223800933331964E-2"/>
  </r>
  <r>
    <x v="15"/>
    <x v="0"/>
    <x v="0"/>
    <x v="0"/>
    <x v="0"/>
    <x v="0"/>
    <x v="0"/>
    <x v="1"/>
    <x v="1"/>
    <x v="7"/>
    <n v="44"/>
    <n v="48"/>
    <n v="0"/>
    <n v="42"/>
    <x v="0"/>
    <n v="1.4294316370941103"/>
  </r>
  <r>
    <x v="20"/>
    <x v="0"/>
    <x v="1"/>
    <x v="1"/>
    <x v="1"/>
    <x v="1"/>
    <x v="0"/>
    <x v="1"/>
    <x v="1"/>
    <x v="7"/>
    <n v="5"/>
    <n v="5"/>
    <n v="0"/>
    <n v="5"/>
    <x v="0"/>
    <n v="0.13809610332189687"/>
  </r>
  <r>
    <x v="7"/>
    <x v="0"/>
    <x v="0"/>
    <x v="0"/>
    <x v="0"/>
    <x v="0"/>
    <x v="1"/>
    <x v="1"/>
    <x v="0"/>
    <x v="7"/>
    <n v="3"/>
    <n v="3"/>
    <n v="0"/>
    <m/>
    <x v="1"/>
    <n v="6.4810394424951609E-2"/>
  </r>
  <r>
    <x v="1"/>
    <x v="0"/>
    <x v="1"/>
    <x v="0"/>
    <x v="1"/>
    <x v="1"/>
    <x v="0"/>
    <x v="1"/>
    <x v="1"/>
    <x v="0"/>
    <n v="13"/>
    <n v="18"/>
    <n v="1"/>
    <n v="12"/>
    <x v="0"/>
    <n v="1.0552563704516043"/>
  </r>
  <r>
    <x v="5"/>
    <x v="0"/>
    <x v="0"/>
    <x v="2"/>
    <x v="1"/>
    <x v="0"/>
    <x v="0"/>
    <x v="1"/>
    <x v="2"/>
    <x v="9"/>
    <n v="6"/>
    <n v="6"/>
    <n v="1"/>
    <n v="6"/>
    <x v="0"/>
    <n v="1.0193130801494772"/>
  </r>
  <r>
    <x v="5"/>
    <x v="1"/>
    <x v="0"/>
    <x v="2"/>
    <x v="1"/>
    <x v="0"/>
    <x v="0"/>
    <x v="1"/>
    <x v="2"/>
    <x v="9"/>
    <n v="8"/>
    <n v="8"/>
    <n v="0"/>
    <n v="8"/>
    <x v="0"/>
    <n v="1.8904336401320354"/>
  </r>
  <r>
    <x v="9"/>
    <x v="1"/>
    <x v="0"/>
    <x v="2"/>
    <x v="0"/>
    <x v="0"/>
    <x v="0"/>
    <x v="1"/>
    <x v="1"/>
    <x v="0"/>
    <n v="18"/>
    <n v="19"/>
    <n v="1"/>
    <n v="18"/>
    <x v="0"/>
    <n v="1.0932009918099099"/>
  </r>
  <r>
    <x v="17"/>
    <x v="1"/>
    <x v="1"/>
    <x v="1"/>
    <x v="1"/>
    <x v="1"/>
    <x v="0"/>
    <x v="1"/>
    <x v="1"/>
    <x v="4"/>
    <n v="1"/>
    <n v="1"/>
    <n v="0"/>
    <n v="1"/>
    <x v="0"/>
    <n v="4.1176226521704343E-2"/>
  </r>
  <r>
    <x v="11"/>
    <x v="0"/>
    <x v="0"/>
    <x v="2"/>
    <x v="0"/>
    <x v="0"/>
    <x v="0"/>
    <x v="1"/>
    <x v="1"/>
    <x v="4"/>
    <n v="8"/>
    <n v="8"/>
    <n v="0"/>
    <m/>
    <x v="1"/>
    <n v="0.31049028178639992"/>
  </r>
  <r>
    <x v="8"/>
    <x v="0"/>
    <x v="0"/>
    <x v="2"/>
    <x v="3"/>
    <x v="0"/>
    <x v="0"/>
    <x v="1"/>
    <x v="1"/>
    <x v="1"/>
    <n v="1"/>
    <n v="1"/>
    <n v="0"/>
    <m/>
    <x v="1"/>
    <n v="7.4300283703463171E-2"/>
  </r>
  <r>
    <x v="8"/>
    <x v="0"/>
    <x v="1"/>
    <x v="0"/>
    <x v="0"/>
    <x v="0"/>
    <x v="0"/>
    <x v="0"/>
    <x v="0"/>
    <x v="4"/>
    <n v="6"/>
    <n v="6"/>
    <n v="0"/>
    <m/>
    <x v="1"/>
    <n v="0.18836674274252529"/>
  </r>
  <r>
    <x v="8"/>
    <x v="0"/>
    <x v="0"/>
    <x v="0"/>
    <x v="1"/>
    <x v="0"/>
    <x v="0"/>
    <x v="1"/>
    <x v="0"/>
    <x v="1"/>
    <n v="22"/>
    <n v="41"/>
    <n v="0"/>
    <m/>
    <x v="1"/>
    <n v="2.6561424123377098"/>
  </r>
  <r>
    <x v="11"/>
    <x v="0"/>
    <x v="1"/>
    <x v="0"/>
    <x v="1"/>
    <x v="0"/>
    <x v="0"/>
    <x v="1"/>
    <x v="2"/>
    <x v="8"/>
    <n v="5"/>
    <n v="13"/>
    <n v="0"/>
    <m/>
    <x v="1"/>
    <n v="1.2675929252267402"/>
  </r>
  <r>
    <x v="17"/>
    <x v="0"/>
    <x v="1"/>
    <x v="0"/>
    <x v="0"/>
    <x v="1"/>
    <x v="0"/>
    <x v="0"/>
    <x v="1"/>
    <x v="4"/>
    <n v="3"/>
    <n v="4"/>
    <n v="0"/>
    <n v="3"/>
    <x v="0"/>
    <n v="0.16106898537534534"/>
  </r>
  <r>
    <x v="1"/>
    <x v="1"/>
    <x v="1"/>
    <x v="0"/>
    <x v="0"/>
    <x v="0"/>
    <x v="0"/>
    <x v="1"/>
    <x v="0"/>
    <x v="0"/>
    <n v="1"/>
    <n v="1"/>
    <n v="0"/>
    <n v="1"/>
    <x v="0"/>
    <n v="4.6715526092825782E-2"/>
  </r>
  <r>
    <x v="11"/>
    <x v="0"/>
    <x v="1"/>
    <x v="0"/>
    <x v="0"/>
    <x v="0"/>
    <x v="0"/>
    <x v="0"/>
    <x v="1"/>
    <x v="5"/>
    <n v="16"/>
    <n v="17"/>
    <n v="0"/>
    <m/>
    <x v="1"/>
    <n v="0.35482327608196362"/>
  </r>
  <r>
    <x v="1"/>
    <x v="1"/>
    <x v="0"/>
    <x v="2"/>
    <x v="0"/>
    <x v="0"/>
    <x v="0"/>
    <x v="0"/>
    <x v="1"/>
    <x v="0"/>
    <n v="21"/>
    <n v="25"/>
    <n v="0"/>
    <n v="20"/>
    <x v="0"/>
    <n v="1.4384223576446182"/>
  </r>
  <r>
    <x v="4"/>
    <x v="0"/>
    <x v="0"/>
    <x v="1"/>
    <x v="0"/>
    <x v="0"/>
    <x v="0"/>
    <x v="0"/>
    <x v="1"/>
    <x v="6"/>
    <n v="5"/>
    <n v="7"/>
    <n v="0"/>
    <m/>
    <x v="1"/>
    <n v="9.6641651633330924E-2"/>
  </r>
  <r>
    <x v="13"/>
    <x v="0"/>
    <x v="1"/>
    <x v="1"/>
    <x v="0"/>
    <x v="0"/>
    <x v="1"/>
    <x v="0"/>
    <x v="1"/>
    <x v="6"/>
    <n v="1"/>
    <n v="1"/>
    <n v="0"/>
    <m/>
    <x v="1"/>
    <n v="4.5788555386867564E-3"/>
  </r>
  <r>
    <x v="3"/>
    <x v="0"/>
    <x v="1"/>
    <x v="0"/>
    <x v="2"/>
    <x v="0"/>
    <x v="0"/>
    <x v="1"/>
    <x v="1"/>
    <x v="7"/>
    <n v="4"/>
    <n v="4"/>
    <n v="0"/>
    <m/>
    <x v="1"/>
    <n v="0.12132852335944222"/>
  </r>
  <r>
    <x v="18"/>
    <x v="1"/>
    <x v="1"/>
    <x v="0"/>
    <x v="1"/>
    <x v="0"/>
    <x v="0"/>
    <x v="1"/>
    <x v="1"/>
    <x v="0"/>
    <n v="2"/>
    <n v="2"/>
    <n v="0"/>
    <m/>
    <x v="1"/>
    <n v="9.1308958273015703E-2"/>
  </r>
  <r>
    <x v="4"/>
    <x v="0"/>
    <x v="0"/>
    <x v="1"/>
    <x v="0"/>
    <x v="0"/>
    <x v="0"/>
    <x v="0"/>
    <x v="0"/>
    <x v="5"/>
    <n v="2"/>
    <n v="2"/>
    <n v="0"/>
    <m/>
    <x v="1"/>
    <n v="4.168396685840825E-2"/>
  </r>
  <r>
    <x v="10"/>
    <x v="1"/>
    <x v="1"/>
    <x v="0"/>
    <x v="1"/>
    <x v="0"/>
    <x v="0"/>
    <x v="1"/>
    <x v="2"/>
    <x v="9"/>
    <n v="3"/>
    <n v="6"/>
    <n v="0"/>
    <m/>
    <x v="1"/>
    <n v="0.84249117432028331"/>
  </r>
  <r>
    <x v="9"/>
    <x v="0"/>
    <x v="0"/>
    <x v="0"/>
    <x v="0"/>
    <x v="0"/>
    <x v="0"/>
    <x v="1"/>
    <x v="2"/>
    <x v="8"/>
    <n v="8"/>
    <n v="9"/>
    <n v="1"/>
    <n v="8"/>
    <x v="0"/>
    <n v="0.85379714755808811"/>
  </r>
  <r>
    <x v="6"/>
    <x v="1"/>
    <x v="1"/>
    <x v="0"/>
    <x v="1"/>
    <x v="0"/>
    <x v="1"/>
    <x v="1"/>
    <x v="1"/>
    <x v="7"/>
    <n v="2"/>
    <n v="2"/>
    <n v="0"/>
    <m/>
    <x v="1"/>
    <n v="4.4265160228754485E-2"/>
  </r>
  <r>
    <x v="21"/>
    <x v="1"/>
    <x v="0"/>
    <x v="0"/>
    <x v="0"/>
    <x v="0"/>
    <x v="1"/>
    <x v="1"/>
    <x v="0"/>
    <x v="4"/>
    <n v="5"/>
    <n v="5"/>
    <n v="0"/>
    <m/>
    <x v="1"/>
    <n v="0.16152858191827948"/>
  </r>
  <r>
    <x v="0"/>
    <x v="1"/>
    <x v="0"/>
    <x v="2"/>
    <x v="1"/>
    <x v="0"/>
    <x v="0"/>
    <x v="1"/>
    <x v="1"/>
    <x v="1"/>
    <n v="34"/>
    <n v="38"/>
    <n v="4"/>
    <n v="31"/>
    <x v="0"/>
    <n v="3.1572958354995135"/>
  </r>
  <r>
    <x v="10"/>
    <x v="0"/>
    <x v="0"/>
    <x v="2"/>
    <x v="0"/>
    <x v="1"/>
    <x v="0"/>
    <x v="0"/>
    <x v="1"/>
    <x v="1"/>
    <n v="3"/>
    <n v="3"/>
    <n v="0"/>
    <m/>
    <x v="1"/>
    <n v="0.22086972513005651"/>
  </r>
  <r>
    <x v="15"/>
    <x v="1"/>
    <x v="1"/>
    <x v="2"/>
    <x v="0"/>
    <x v="0"/>
    <x v="0"/>
    <x v="0"/>
    <x v="1"/>
    <x v="4"/>
    <n v="4"/>
    <n v="4"/>
    <n v="0"/>
    <n v="4"/>
    <x v="0"/>
    <n v="0.16269716010612686"/>
  </r>
  <r>
    <x v="16"/>
    <x v="0"/>
    <x v="0"/>
    <x v="1"/>
    <x v="1"/>
    <x v="0"/>
    <x v="0"/>
    <x v="1"/>
    <x v="0"/>
    <x v="4"/>
    <n v="4"/>
    <n v="5"/>
    <n v="0"/>
    <m/>
    <x v="1"/>
    <n v="0.15313297929032194"/>
  </r>
  <r>
    <x v="15"/>
    <x v="0"/>
    <x v="0"/>
    <x v="1"/>
    <x v="0"/>
    <x v="0"/>
    <x v="1"/>
    <x v="1"/>
    <x v="1"/>
    <x v="6"/>
    <n v="4"/>
    <n v="4"/>
    <n v="0"/>
    <n v="3"/>
    <x v="0"/>
    <n v="2.631911178026412E-2"/>
  </r>
  <r>
    <x v="12"/>
    <x v="0"/>
    <x v="0"/>
    <x v="0"/>
    <x v="2"/>
    <x v="0"/>
    <x v="0"/>
    <x v="1"/>
    <x v="2"/>
    <x v="9"/>
    <n v="15"/>
    <n v="20"/>
    <n v="1"/>
    <m/>
    <x v="1"/>
    <n v="2.6659699445140559"/>
  </r>
  <r>
    <x v="21"/>
    <x v="1"/>
    <x v="0"/>
    <x v="2"/>
    <x v="0"/>
    <x v="0"/>
    <x v="0"/>
    <x v="0"/>
    <x v="1"/>
    <x v="0"/>
    <n v="10"/>
    <n v="11"/>
    <n v="0"/>
    <m/>
    <x v="1"/>
    <n v="0.63290583736363215"/>
  </r>
  <r>
    <x v="21"/>
    <x v="0"/>
    <x v="0"/>
    <x v="0"/>
    <x v="3"/>
    <x v="0"/>
    <x v="0"/>
    <x v="1"/>
    <x v="2"/>
    <x v="9"/>
    <n v="1"/>
    <n v="2"/>
    <n v="0"/>
    <m/>
    <x v="1"/>
    <n v="0.34483527205385262"/>
  </r>
  <r>
    <x v="11"/>
    <x v="1"/>
    <x v="0"/>
    <x v="0"/>
    <x v="2"/>
    <x v="0"/>
    <x v="0"/>
    <x v="1"/>
    <x v="0"/>
    <x v="8"/>
    <n v="5"/>
    <n v="6"/>
    <n v="0"/>
    <m/>
    <x v="1"/>
    <n v="0.56296951443207033"/>
  </r>
  <r>
    <x v="2"/>
    <x v="1"/>
    <x v="0"/>
    <x v="0"/>
    <x v="3"/>
    <x v="0"/>
    <x v="1"/>
    <x v="1"/>
    <x v="2"/>
    <x v="9"/>
    <n v="3"/>
    <n v="3"/>
    <n v="0"/>
    <m/>
    <x v="1"/>
    <n v="0.38910505163883352"/>
  </r>
  <r>
    <x v="11"/>
    <x v="1"/>
    <x v="0"/>
    <x v="0"/>
    <x v="0"/>
    <x v="0"/>
    <x v="0"/>
    <x v="0"/>
    <x v="1"/>
    <x v="0"/>
    <n v="30"/>
    <n v="33"/>
    <n v="0"/>
    <m/>
    <x v="1"/>
    <n v="1.4635171139714893"/>
  </r>
  <r>
    <x v="22"/>
    <x v="1"/>
    <x v="0"/>
    <x v="2"/>
    <x v="1"/>
    <x v="0"/>
    <x v="0"/>
    <x v="1"/>
    <x v="0"/>
    <x v="8"/>
    <n v="7"/>
    <n v="13"/>
    <n v="0"/>
    <n v="7"/>
    <x v="0"/>
    <n v="1.5742397262890782"/>
  </r>
  <r>
    <x v="15"/>
    <x v="1"/>
    <x v="1"/>
    <x v="0"/>
    <x v="1"/>
    <x v="0"/>
    <x v="0"/>
    <x v="1"/>
    <x v="2"/>
    <x v="9"/>
    <n v="6"/>
    <n v="8"/>
    <n v="2"/>
    <n v="6"/>
    <x v="0"/>
    <n v="1.1233215657603777"/>
  </r>
  <r>
    <x v="19"/>
    <x v="1"/>
    <x v="0"/>
    <x v="2"/>
    <x v="0"/>
    <x v="0"/>
    <x v="0"/>
    <x v="1"/>
    <x v="1"/>
    <x v="0"/>
    <n v="9"/>
    <n v="10"/>
    <n v="0"/>
    <m/>
    <x v="1"/>
    <n v="0.57536894305784736"/>
  </r>
  <r>
    <x v="22"/>
    <x v="0"/>
    <x v="0"/>
    <x v="0"/>
    <x v="0"/>
    <x v="0"/>
    <x v="0"/>
    <x v="0"/>
    <x v="0"/>
    <x v="0"/>
    <n v="11"/>
    <n v="11"/>
    <n v="0"/>
    <n v="11"/>
    <x v="0"/>
    <n v="0.49047543176583869"/>
  </r>
  <r>
    <x v="10"/>
    <x v="0"/>
    <x v="0"/>
    <x v="0"/>
    <x v="0"/>
    <x v="0"/>
    <x v="0"/>
    <x v="1"/>
    <x v="2"/>
    <x v="8"/>
    <n v="5"/>
    <n v="5"/>
    <n v="0"/>
    <m/>
    <x v="1"/>
    <n v="0.47433174864338229"/>
  </r>
  <r>
    <x v="2"/>
    <x v="1"/>
    <x v="0"/>
    <x v="2"/>
    <x v="1"/>
    <x v="0"/>
    <x v="0"/>
    <x v="1"/>
    <x v="2"/>
    <x v="9"/>
    <n v="4"/>
    <n v="12"/>
    <n v="0"/>
    <m/>
    <x v="1"/>
    <n v="2.8356504601980537"/>
  </r>
  <r>
    <x v="6"/>
    <x v="0"/>
    <x v="0"/>
    <x v="2"/>
    <x v="0"/>
    <x v="0"/>
    <x v="0"/>
    <x v="0"/>
    <x v="2"/>
    <x v="8"/>
    <n v="2"/>
    <n v="2"/>
    <n v="0"/>
    <m/>
    <x v="1"/>
    <n v="0.2423433124072577"/>
  </r>
  <r>
    <x v="21"/>
    <x v="1"/>
    <x v="1"/>
    <x v="2"/>
    <x v="2"/>
    <x v="0"/>
    <x v="0"/>
    <x v="1"/>
    <x v="0"/>
    <x v="8"/>
    <n v="2"/>
    <n v="2"/>
    <n v="0"/>
    <m/>
    <x v="1"/>
    <n v="0.17284900989755905"/>
  </r>
  <r>
    <x v="17"/>
    <x v="0"/>
    <x v="0"/>
    <x v="0"/>
    <x v="1"/>
    <x v="0"/>
    <x v="0"/>
    <x v="1"/>
    <x v="0"/>
    <x v="1"/>
    <n v="35"/>
    <n v="41"/>
    <n v="3"/>
    <n v="33"/>
    <x v="0"/>
    <n v="2.6561424123377098"/>
  </r>
  <r>
    <x v="14"/>
    <x v="0"/>
    <x v="0"/>
    <x v="0"/>
    <x v="2"/>
    <x v="0"/>
    <x v="0"/>
    <x v="1"/>
    <x v="0"/>
    <x v="3"/>
    <n v="9"/>
    <n v="11"/>
    <n v="0"/>
    <m/>
    <x v="1"/>
    <n v="0.70504200474743917"/>
  </r>
  <r>
    <x v="6"/>
    <x v="0"/>
    <x v="0"/>
    <x v="0"/>
    <x v="2"/>
    <x v="1"/>
    <x v="0"/>
    <x v="1"/>
    <x v="1"/>
    <x v="1"/>
    <n v="5"/>
    <n v="5"/>
    <n v="0"/>
    <m/>
    <x v="1"/>
    <n v="0.40716190402417746"/>
  </r>
  <r>
    <x v="4"/>
    <x v="1"/>
    <x v="0"/>
    <x v="0"/>
    <x v="2"/>
    <x v="0"/>
    <x v="0"/>
    <x v="1"/>
    <x v="2"/>
    <x v="9"/>
    <n v="8"/>
    <n v="15"/>
    <n v="0"/>
    <m/>
    <x v="1"/>
    <n v="2.8299605765244547"/>
  </r>
  <r>
    <x v="4"/>
    <x v="0"/>
    <x v="0"/>
    <x v="2"/>
    <x v="2"/>
    <x v="0"/>
    <x v="0"/>
    <x v="0"/>
    <x v="0"/>
    <x v="1"/>
    <n v="1"/>
    <n v="1"/>
    <n v="0"/>
    <m/>
    <x v="1"/>
    <n v="8.2646531177737778E-2"/>
  </r>
  <r>
    <x v="16"/>
    <x v="0"/>
    <x v="0"/>
    <x v="0"/>
    <x v="1"/>
    <x v="0"/>
    <x v="0"/>
    <x v="1"/>
    <x v="1"/>
    <x v="2"/>
    <n v="75"/>
    <n v="88"/>
    <n v="3"/>
    <m/>
    <x v="1"/>
    <n v="3.8344880304176217"/>
  </r>
  <r>
    <x v="2"/>
    <x v="0"/>
    <x v="0"/>
    <x v="0"/>
    <x v="0"/>
    <x v="0"/>
    <x v="0"/>
    <x v="0"/>
    <x v="0"/>
    <x v="0"/>
    <n v="11"/>
    <n v="17"/>
    <n v="0"/>
    <m/>
    <x v="1"/>
    <n v="0.75800748545629615"/>
  </r>
  <r>
    <x v="17"/>
    <x v="1"/>
    <x v="0"/>
    <x v="1"/>
    <x v="0"/>
    <x v="0"/>
    <x v="0"/>
    <x v="0"/>
    <x v="1"/>
    <x v="5"/>
    <n v="5"/>
    <n v="6"/>
    <n v="0"/>
    <n v="4"/>
    <x v="0"/>
    <n v="0.12436310920447867"/>
  </r>
  <r>
    <x v="12"/>
    <x v="1"/>
    <x v="0"/>
    <x v="1"/>
    <x v="2"/>
    <x v="0"/>
    <x v="1"/>
    <x v="1"/>
    <x v="2"/>
    <x v="0"/>
    <n v="2"/>
    <n v="3"/>
    <n v="0"/>
    <m/>
    <x v="1"/>
    <n v="0.14334186788075995"/>
  </r>
  <r>
    <x v="13"/>
    <x v="0"/>
    <x v="0"/>
    <x v="2"/>
    <x v="2"/>
    <x v="1"/>
    <x v="0"/>
    <x v="1"/>
    <x v="2"/>
    <x v="9"/>
    <n v="1"/>
    <n v="2"/>
    <n v="0"/>
    <m/>
    <x v="1"/>
    <n v="0.56961750200508909"/>
  </r>
  <r>
    <x v="1"/>
    <x v="0"/>
    <x v="0"/>
    <x v="2"/>
    <x v="1"/>
    <x v="0"/>
    <x v="0"/>
    <x v="1"/>
    <x v="1"/>
    <x v="0"/>
    <n v="32"/>
    <n v="35"/>
    <n v="0"/>
    <n v="30"/>
    <x v="0"/>
    <n v="1.9790651484360409"/>
  </r>
  <r>
    <x v="8"/>
    <x v="0"/>
    <x v="0"/>
    <x v="1"/>
    <x v="1"/>
    <x v="0"/>
    <x v="0"/>
    <x v="1"/>
    <x v="1"/>
    <x v="5"/>
    <n v="6"/>
    <n v="6"/>
    <n v="0"/>
    <m/>
    <x v="1"/>
    <n v="0.12213631175118843"/>
  </r>
  <r>
    <x v="3"/>
    <x v="1"/>
    <x v="1"/>
    <x v="0"/>
    <x v="2"/>
    <x v="0"/>
    <x v="0"/>
    <x v="1"/>
    <x v="2"/>
    <x v="9"/>
    <n v="2"/>
    <n v="3"/>
    <n v="0"/>
    <m/>
    <x v="1"/>
    <n v="0.41712285720746167"/>
  </r>
  <r>
    <x v="11"/>
    <x v="1"/>
    <x v="1"/>
    <x v="2"/>
    <x v="0"/>
    <x v="0"/>
    <x v="0"/>
    <x v="0"/>
    <x v="1"/>
    <x v="4"/>
    <n v="2"/>
    <n v="3"/>
    <n v="0"/>
    <m/>
    <x v="1"/>
    <n v="0.12202287007959514"/>
  </r>
  <r>
    <x v="22"/>
    <x v="1"/>
    <x v="0"/>
    <x v="2"/>
    <x v="0"/>
    <x v="0"/>
    <x v="0"/>
    <x v="1"/>
    <x v="1"/>
    <x v="0"/>
    <n v="12"/>
    <n v="13"/>
    <n v="2"/>
    <n v="12"/>
    <x v="0"/>
    <n v="0.74797962597520162"/>
  </r>
  <r>
    <x v="7"/>
    <x v="1"/>
    <x v="0"/>
    <x v="0"/>
    <x v="2"/>
    <x v="1"/>
    <x v="1"/>
    <x v="1"/>
    <x v="1"/>
    <x v="3"/>
    <n v="2"/>
    <n v="3"/>
    <n v="0"/>
    <m/>
    <x v="1"/>
    <n v="0.17890044656911652"/>
  </r>
  <r>
    <x v="15"/>
    <x v="1"/>
    <x v="0"/>
    <x v="0"/>
    <x v="2"/>
    <x v="0"/>
    <x v="0"/>
    <x v="1"/>
    <x v="0"/>
    <x v="8"/>
    <n v="3"/>
    <n v="3"/>
    <n v="0"/>
    <n v="3"/>
    <x v="0"/>
    <n v="0.28148475721603516"/>
  </r>
  <r>
    <x v="5"/>
    <x v="1"/>
    <x v="1"/>
    <x v="2"/>
    <x v="1"/>
    <x v="0"/>
    <x v="0"/>
    <x v="1"/>
    <x v="1"/>
    <x v="3"/>
    <n v="6"/>
    <n v="7"/>
    <n v="0"/>
    <n v="6"/>
    <x v="0"/>
    <n v="0.41444566356223211"/>
  </r>
  <r>
    <x v="12"/>
    <x v="1"/>
    <x v="0"/>
    <x v="2"/>
    <x v="0"/>
    <x v="0"/>
    <x v="0"/>
    <x v="1"/>
    <x v="2"/>
    <x v="9"/>
    <n v="2"/>
    <n v="2"/>
    <n v="0"/>
    <m/>
    <x v="1"/>
    <n v="0.34500564574730752"/>
  </r>
  <r>
    <x v="18"/>
    <x v="1"/>
    <x v="0"/>
    <x v="0"/>
    <x v="1"/>
    <x v="0"/>
    <x v="0"/>
    <x v="1"/>
    <x v="1"/>
    <x v="3"/>
    <n v="21"/>
    <n v="25"/>
    <n v="0"/>
    <m/>
    <x v="1"/>
    <n v="1.6110764450431949"/>
  </r>
  <r>
    <x v="12"/>
    <x v="0"/>
    <x v="0"/>
    <x v="0"/>
    <x v="0"/>
    <x v="1"/>
    <x v="0"/>
    <x v="0"/>
    <x v="1"/>
    <x v="0"/>
    <n v="10"/>
    <n v="10"/>
    <n v="1"/>
    <m/>
    <x v="1"/>
    <n v="0.56971121420815229"/>
  </r>
  <r>
    <x v="7"/>
    <x v="1"/>
    <x v="1"/>
    <x v="0"/>
    <x v="0"/>
    <x v="0"/>
    <x v="0"/>
    <x v="1"/>
    <x v="1"/>
    <x v="4"/>
    <n v="5"/>
    <n v="5"/>
    <n v="0"/>
    <m/>
    <x v="1"/>
    <n v="0.15611694257115027"/>
  </r>
  <r>
    <x v="12"/>
    <x v="1"/>
    <x v="0"/>
    <x v="2"/>
    <x v="0"/>
    <x v="1"/>
    <x v="0"/>
    <x v="0"/>
    <x v="1"/>
    <x v="8"/>
    <n v="1"/>
    <n v="1"/>
    <n v="0"/>
    <m/>
    <x v="1"/>
    <n v="0.10727040371594192"/>
  </r>
  <r>
    <x v="15"/>
    <x v="1"/>
    <x v="0"/>
    <x v="0"/>
    <x v="0"/>
    <x v="0"/>
    <x v="0"/>
    <x v="1"/>
    <x v="2"/>
    <x v="9"/>
    <n v="6"/>
    <n v="7"/>
    <n v="2"/>
    <n v="6"/>
    <x v="0"/>
    <n v="0.95751913107664366"/>
  </r>
  <r>
    <x v="17"/>
    <x v="0"/>
    <x v="0"/>
    <x v="0"/>
    <x v="0"/>
    <x v="0"/>
    <x v="0"/>
    <x v="0"/>
    <x v="1"/>
    <x v="7"/>
    <n v="31"/>
    <n v="36"/>
    <n v="1"/>
    <n v="31"/>
    <x v="0"/>
    <n v="1.0720737278205827"/>
  </r>
  <r>
    <x v="5"/>
    <x v="1"/>
    <x v="0"/>
    <x v="2"/>
    <x v="0"/>
    <x v="0"/>
    <x v="1"/>
    <x v="0"/>
    <x v="1"/>
    <x v="7"/>
    <n v="2"/>
    <n v="2"/>
    <n v="0"/>
    <n v="2"/>
    <x v="0"/>
    <n v="5.6146150112140698E-2"/>
  </r>
  <r>
    <x v="14"/>
    <x v="1"/>
    <x v="0"/>
    <x v="0"/>
    <x v="1"/>
    <x v="1"/>
    <x v="0"/>
    <x v="1"/>
    <x v="1"/>
    <x v="8"/>
    <n v="9"/>
    <n v="28"/>
    <n v="0"/>
    <m/>
    <x v="1"/>
    <n v="3.342916599736343"/>
  </r>
  <r>
    <x v="1"/>
    <x v="1"/>
    <x v="1"/>
    <x v="0"/>
    <x v="1"/>
    <x v="1"/>
    <x v="0"/>
    <x v="1"/>
    <x v="0"/>
    <x v="9"/>
    <n v="6"/>
    <n v="7"/>
    <n v="0"/>
    <n v="6"/>
    <x v="0"/>
    <n v="0.87665151870378144"/>
  </r>
  <r>
    <x v="9"/>
    <x v="0"/>
    <x v="0"/>
    <x v="0"/>
    <x v="3"/>
    <x v="0"/>
    <x v="0"/>
    <x v="1"/>
    <x v="2"/>
    <x v="9"/>
    <n v="2"/>
    <n v="4"/>
    <n v="1"/>
    <n v="2"/>
    <x v="0"/>
    <n v="0.68967054410770523"/>
  </r>
  <r>
    <x v="16"/>
    <x v="1"/>
    <x v="0"/>
    <x v="2"/>
    <x v="2"/>
    <x v="0"/>
    <x v="0"/>
    <x v="1"/>
    <x v="2"/>
    <x v="9"/>
    <n v="4"/>
    <n v="4"/>
    <n v="0"/>
    <m/>
    <x v="1"/>
    <n v="0.93698895724395781"/>
  </r>
  <r>
    <x v="22"/>
    <x v="1"/>
    <x v="0"/>
    <x v="2"/>
    <x v="0"/>
    <x v="0"/>
    <x v="0"/>
    <x v="0"/>
    <x v="0"/>
    <x v="8"/>
    <n v="4"/>
    <n v="4"/>
    <n v="0"/>
    <n v="4"/>
    <x v="0"/>
    <n v="0.33976122381943119"/>
  </r>
  <r>
    <x v="2"/>
    <x v="1"/>
    <x v="0"/>
    <x v="2"/>
    <x v="0"/>
    <x v="0"/>
    <x v="0"/>
    <x v="1"/>
    <x v="2"/>
    <x v="9"/>
    <n v="1"/>
    <n v="1"/>
    <n v="0"/>
    <m/>
    <x v="1"/>
    <n v="0.17250282287365376"/>
  </r>
  <r>
    <x v="20"/>
    <x v="1"/>
    <x v="0"/>
    <x v="2"/>
    <x v="1"/>
    <x v="0"/>
    <x v="0"/>
    <x v="1"/>
    <x v="1"/>
    <x v="1"/>
    <n v="41"/>
    <n v="46"/>
    <n v="4"/>
    <n v="38"/>
    <x v="0"/>
    <n v="3.8219896956046746"/>
  </r>
  <r>
    <x v="2"/>
    <x v="1"/>
    <x v="0"/>
    <x v="0"/>
    <x v="2"/>
    <x v="0"/>
    <x v="1"/>
    <x v="1"/>
    <x v="2"/>
    <x v="8"/>
    <n v="4"/>
    <n v="5"/>
    <n v="0"/>
    <m/>
    <x v="1"/>
    <n v="0.49556748156398495"/>
  </r>
  <r>
    <x v="12"/>
    <x v="0"/>
    <x v="0"/>
    <x v="1"/>
    <x v="0"/>
    <x v="1"/>
    <x v="0"/>
    <x v="0"/>
    <x v="1"/>
    <x v="7"/>
    <n v="4"/>
    <n v="4"/>
    <n v="0"/>
    <m/>
    <x v="1"/>
    <n v="0.10725986896463567"/>
  </r>
  <r>
    <x v="9"/>
    <x v="0"/>
    <x v="0"/>
    <x v="0"/>
    <x v="0"/>
    <x v="0"/>
    <x v="0"/>
    <x v="0"/>
    <x v="2"/>
    <x v="8"/>
    <n v="8"/>
    <n v="12"/>
    <n v="0"/>
    <n v="8"/>
    <x v="0"/>
    <n v="1.1383961967441174"/>
  </r>
  <r>
    <x v="2"/>
    <x v="1"/>
    <x v="0"/>
    <x v="0"/>
    <x v="2"/>
    <x v="0"/>
    <x v="0"/>
    <x v="1"/>
    <x v="1"/>
    <x v="3"/>
    <n v="6"/>
    <n v="7"/>
    <n v="1"/>
    <m/>
    <x v="1"/>
    <n v="0.44630042680555043"/>
  </r>
  <r>
    <x v="15"/>
    <x v="0"/>
    <x v="1"/>
    <x v="1"/>
    <x v="0"/>
    <x v="1"/>
    <x v="0"/>
    <x v="0"/>
    <x v="1"/>
    <x v="5"/>
    <n v="2"/>
    <n v="2"/>
    <n v="0"/>
    <n v="2"/>
    <x v="0"/>
    <n v="3.7553592924621029E-2"/>
  </r>
  <r>
    <x v="21"/>
    <x v="0"/>
    <x v="0"/>
    <x v="0"/>
    <x v="2"/>
    <x v="1"/>
    <x v="1"/>
    <x v="1"/>
    <x v="1"/>
    <x v="4"/>
    <n v="5"/>
    <n v="5"/>
    <n v="0"/>
    <m/>
    <x v="1"/>
    <n v="0.20127337339092383"/>
  </r>
  <r>
    <x v="9"/>
    <x v="1"/>
    <x v="0"/>
    <x v="0"/>
    <x v="1"/>
    <x v="1"/>
    <x v="0"/>
    <x v="1"/>
    <x v="1"/>
    <x v="8"/>
    <n v="28"/>
    <n v="33"/>
    <n v="1"/>
    <n v="25"/>
    <x v="0"/>
    <n v="3.9398659925464039"/>
  </r>
  <r>
    <x v="5"/>
    <x v="0"/>
    <x v="1"/>
    <x v="1"/>
    <x v="0"/>
    <x v="0"/>
    <x v="1"/>
    <x v="1"/>
    <x v="0"/>
    <x v="6"/>
    <n v="1"/>
    <n v="2"/>
    <n v="0"/>
    <n v="1"/>
    <x v="0"/>
    <n v="1.3891063049768546E-2"/>
  </r>
  <r>
    <x v="10"/>
    <x v="1"/>
    <x v="1"/>
    <x v="0"/>
    <x v="0"/>
    <x v="0"/>
    <x v="1"/>
    <x v="1"/>
    <x v="1"/>
    <x v="5"/>
    <n v="2"/>
    <n v="3"/>
    <n v="0"/>
    <m/>
    <x v="1"/>
    <n v="4.5058792320559406E-2"/>
  </r>
  <r>
    <x v="14"/>
    <x v="0"/>
    <x v="1"/>
    <x v="0"/>
    <x v="2"/>
    <x v="1"/>
    <x v="0"/>
    <x v="1"/>
    <x v="1"/>
    <x v="0"/>
    <n v="2"/>
    <n v="3"/>
    <n v="0"/>
    <m/>
    <x v="1"/>
    <n v="0.17399273453018274"/>
  </r>
  <r>
    <x v="2"/>
    <x v="1"/>
    <x v="0"/>
    <x v="0"/>
    <x v="0"/>
    <x v="1"/>
    <x v="1"/>
    <x v="0"/>
    <x v="1"/>
    <x v="4"/>
    <n v="3"/>
    <n v="3"/>
    <n v="0"/>
    <m/>
    <x v="1"/>
    <n v="0.12427510120731648"/>
  </r>
  <r>
    <x v="1"/>
    <x v="1"/>
    <x v="0"/>
    <x v="0"/>
    <x v="2"/>
    <x v="0"/>
    <x v="1"/>
    <x v="1"/>
    <x v="1"/>
    <x v="4"/>
    <n v="2"/>
    <n v="2"/>
    <n v="0"/>
    <n v="1"/>
    <x v="0"/>
    <n v="6.2427097124693152E-2"/>
  </r>
  <r>
    <x v="18"/>
    <x v="0"/>
    <x v="0"/>
    <x v="0"/>
    <x v="1"/>
    <x v="0"/>
    <x v="0"/>
    <x v="1"/>
    <x v="2"/>
    <x v="9"/>
    <n v="6"/>
    <n v="7"/>
    <n v="0"/>
    <m/>
    <x v="1"/>
    <n v="0.94237400962961682"/>
  </r>
  <r>
    <x v="17"/>
    <x v="0"/>
    <x v="0"/>
    <x v="2"/>
    <x v="0"/>
    <x v="0"/>
    <x v="0"/>
    <x v="0"/>
    <x v="0"/>
    <x v="0"/>
    <n v="5"/>
    <n v="7"/>
    <n v="1"/>
    <n v="5"/>
    <x v="0"/>
    <n v="0.40490466101468781"/>
  </r>
  <r>
    <x v="15"/>
    <x v="0"/>
    <x v="1"/>
    <x v="0"/>
    <x v="0"/>
    <x v="0"/>
    <x v="0"/>
    <x v="0"/>
    <x v="1"/>
    <x v="5"/>
    <n v="18"/>
    <n v="25"/>
    <n v="1"/>
    <n v="18"/>
    <x v="0"/>
    <n v="0.52179893541465239"/>
  </r>
  <r>
    <x v="7"/>
    <x v="0"/>
    <x v="0"/>
    <x v="1"/>
    <x v="0"/>
    <x v="0"/>
    <x v="0"/>
    <x v="1"/>
    <x v="1"/>
    <x v="6"/>
    <n v="3"/>
    <n v="3"/>
    <n v="0"/>
    <m/>
    <x v="1"/>
    <n v="4.1417850699998968E-2"/>
  </r>
  <r>
    <x v="15"/>
    <x v="1"/>
    <x v="1"/>
    <x v="0"/>
    <x v="3"/>
    <x v="1"/>
    <x v="0"/>
    <x v="1"/>
    <x v="1"/>
    <x v="8"/>
    <n v="1"/>
    <n v="1"/>
    <n v="1"/>
    <n v="1"/>
    <x v="0"/>
    <n v="0.11197715523543472"/>
  </r>
  <r>
    <x v="3"/>
    <x v="0"/>
    <x v="1"/>
    <x v="0"/>
    <x v="0"/>
    <x v="0"/>
    <x v="0"/>
    <x v="1"/>
    <x v="1"/>
    <x v="5"/>
    <n v="7"/>
    <n v="9"/>
    <n v="0"/>
    <m/>
    <x v="1"/>
    <n v="0.18784761674927483"/>
  </r>
  <r>
    <x v="15"/>
    <x v="0"/>
    <x v="1"/>
    <x v="0"/>
    <x v="2"/>
    <x v="1"/>
    <x v="0"/>
    <x v="1"/>
    <x v="1"/>
    <x v="0"/>
    <n v="4"/>
    <n v="6"/>
    <n v="0"/>
    <n v="4"/>
    <x v="0"/>
    <n v="0.34798546906036548"/>
  </r>
  <r>
    <x v="1"/>
    <x v="0"/>
    <x v="0"/>
    <x v="0"/>
    <x v="1"/>
    <x v="1"/>
    <x v="0"/>
    <x v="1"/>
    <x v="0"/>
    <x v="8"/>
    <n v="14"/>
    <n v="16"/>
    <n v="2"/>
    <n v="14"/>
    <x v="0"/>
    <n v="1.9197467607810845"/>
  </r>
  <r>
    <x v="20"/>
    <x v="1"/>
    <x v="1"/>
    <x v="0"/>
    <x v="1"/>
    <x v="0"/>
    <x v="0"/>
    <x v="1"/>
    <x v="1"/>
    <x v="0"/>
    <n v="17"/>
    <n v="22"/>
    <n v="1"/>
    <n v="16"/>
    <x v="0"/>
    <n v="1.0043985410031728"/>
  </r>
  <r>
    <x v="14"/>
    <x v="0"/>
    <x v="1"/>
    <x v="0"/>
    <x v="3"/>
    <x v="1"/>
    <x v="0"/>
    <x v="1"/>
    <x v="2"/>
    <x v="9"/>
    <n v="1"/>
    <n v="2"/>
    <n v="0"/>
    <m/>
    <x v="1"/>
    <n v="0.44332178255110904"/>
  </r>
  <r>
    <x v="10"/>
    <x v="0"/>
    <x v="0"/>
    <x v="0"/>
    <x v="3"/>
    <x v="1"/>
    <x v="0"/>
    <x v="0"/>
    <x v="2"/>
    <x v="9"/>
    <n v="1"/>
    <n v="2"/>
    <n v="0"/>
    <m/>
    <x v="1"/>
    <n v="0.58162156708570711"/>
  </r>
  <r>
    <x v="10"/>
    <x v="0"/>
    <x v="0"/>
    <x v="2"/>
    <x v="1"/>
    <x v="0"/>
    <x v="0"/>
    <x v="1"/>
    <x v="1"/>
    <x v="0"/>
    <n v="13"/>
    <n v="19"/>
    <n v="0"/>
    <m/>
    <x v="1"/>
    <n v="1.0743496520081364"/>
  </r>
  <r>
    <x v="9"/>
    <x v="0"/>
    <x v="0"/>
    <x v="0"/>
    <x v="0"/>
    <x v="1"/>
    <x v="0"/>
    <x v="1"/>
    <x v="1"/>
    <x v="0"/>
    <n v="4"/>
    <n v="5"/>
    <n v="0"/>
    <n v="4"/>
    <x v="0"/>
    <n v="0.28485560710407615"/>
  </r>
  <r>
    <x v="15"/>
    <x v="1"/>
    <x v="1"/>
    <x v="0"/>
    <x v="0"/>
    <x v="0"/>
    <x v="1"/>
    <x v="1"/>
    <x v="1"/>
    <x v="5"/>
    <n v="6"/>
    <n v="7"/>
    <n v="0"/>
    <n v="6"/>
    <x v="0"/>
    <n v="0.10513718208130526"/>
  </r>
  <r>
    <x v="1"/>
    <x v="0"/>
    <x v="1"/>
    <x v="0"/>
    <x v="0"/>
    <x v="0"/>
    <x v="0"/>
    <x v="0"/>
    <x v="1"/>
    <x v="5"/>
    <n v="24"/>
    <n v="27"/>
    <n v="1"/>
    <n v="23"/>
    <x v="0"/>
    <n v="0.56354285024782447"/>
  </r>
  <r>
    <x v="2"/>
    <x v="1"/>
    <x v="0"/>
    <x v="0"/>
    <x v="0"/>
    <x v="0"/>
    <x v="0"/>
    <x v="1"/>
    <x v="0"/>
    <x v="1"/>
    <n v="10"/>
    <n v="16"/>
    <n v="0"/>
    <m/>
    <x v="1"/>
    <n v="1.0545697445056554"/>
  </r>
  <r>
    <x v="1"/>
    <x v="0"/>
    <x v="0"/>
    <x v="0"/>
    <x v="0"/>
    <x v="0"/>
    <x v="1"/>
    <x v="0"/>
    <x v="0"/>
    <x v="7"/>
    <n v="4"/>
    <n v="4"/>
    <n v="0"/>
    <n v="4"/>
    <x v="0"/>
    <n v="8.6413859233268817E-2"/>
  </r>
  <r>
    <x v="14"/>
    <x v="0"/>
    <x v="0"/>
    <x v="0"/>
    <x v="0"/>
    <x v="0"/>
    <x v="0"/>
    <x v="1"/>
    <x v="1"/>
    <x v="7"/>
    <n v="27"/>
    <n v="34"/>
    <n v="1"/>
    <m/>
    <x v="1"/>
    <n v="1.0125140762749949"/>
  </r>
  <r>
    <x v="16"/>
    <x v="1"/>
    <x v="1"/>
    <x v="1"/>
    <x v="1"/>
    <x v="1"/>
    <x v="0"/>
    <x v="1"/>
    <x v="1"/>
    <x v="4"/>
    <n v="1"/>
    <n v="1"/>
    <n v="0"/>
    <m/>
    <x v="1"/>
    <n v="4.1176226521704343E-2"/>
  </r>
  <r>
    <x v="7"/>
    <x v="0"/>
    <x v="0"/>
    <x v="0"/>
    <x v="1"/>
    <x v="1"/>
    <x v="0"/>
    <x v="1"/>
    <x v="1"/>
    <x v="1"/>
    <n v="18"/>
    <n v="30"/>
    <n v="0"/>
    <m/>
    <x v="1"/>
    <n v="2.4687497812868853"/>
  </r>
  <r>
    <x v="2"/>
    <x v="1"/>
    <x v="1"/>
    <x v="0"/>
    <x v="0"/>
    <x v="0"/>
    <x v="0"/>
    <x v="1"/>
    <x v="1"/>
    <x v="4"/>
    <n v="11"/>
    <n v="13"/>
    <n v="0"/>
    <m/>
    <x v="1"/>
    <n v="0.40590405068499069"/>
  </r>
  <r>
    <x v="14"/>
    <x v="0"/>
    <x v="0"/>
    <x v="0"/>
    <x v="1"/>
    <x v="0"/>
    <x v="0"/>
    <x v="1"/>
    <x v="2"/>
    <x v="9"/>
    <n v="23"/>
    <n v="41"/>
    <n v="1"/>
    <m/>
    <x v="1"/>
    <n v="5.519619199259183"/>
  </r>
  <r>
    <x v="14"/>
    <x v="0"/>
    <x v="1"/>
    <x v="0"/>
    <x v="0"/>
    <x v="0"/>
    <x v="0"/>
    <x v="0"/>
    <x v="1"/>
    <x v="5"/>
    <n v="15"/>
    <n v="18"/>
    <n v="0"/>
    <m/>
    <x v="1"/>
    <n v="0.37569523349854966"/>
  </r>
  <r>
    <x v="11"/>
    <x v="1"/>
    <x v="1"/>
    <x v="0"/>
    <x v="1"/>
    <x v="1"/>
    <x v="0"/>
    <x v="1"/>
    <x v="1"/>
    <x v="8"/>
    <n v="6"/>
    <n v="10"/>
    <n v="0"/>
    <m/>
    <x v="1"/>
    <n v="0.86054932850323351"/>
  </r>
  <r>
    <x v="9"/>
    <x v="0"/>
    <x v="1"/>
    <x v="0"/>
    <x v="2"/>
    <x v="0"/>
    <x v="0"/>
    <x v="1"/>
    <x v="2"/>
    <x v="8"/>
    <n v="3"/>
    <n v="3"/>
    <n v="1"/>
    <n v="3"/>
    <x v="0"/>
    <n v="0.28951709683688598"/>
  </r>
  <r>
    <x v="8"/>
    <x v="0"/>
    <x v="1"/>
    <x v="0"/>
    <x v="3"/>
    <x v="0"/>
    <x v="1"/>
    <x v="1"/>
    <x v="0"/>
    <x v="7"/>
    <n v="1"/>
    <n v="1"/>
    <n v="0"/>
    <m/>
    <x v="1"/>
    <n v="2.9580852115696006E-2"/>
  </r>
  <r>
    <x v="12"/>
    <x v="1"/>
    <x v="0"/>
    <x v="0"/>
    <x v="2"/>
    <x v="0"/>
    <x v="0"/>
    <x v="1"/>
    <x v="0"/>
    <x v="8"/>
    <n v="4"/>
    <n v="6"/>
    <n v="1"/>
    <m/>
    <x v="1"/>
    <n v="0.56296951443207033"/>
  </r>
  <r>
    <x v="11"/>
    <x v="0"/>
    <x v="0"/>
    <x v="2"/>
    <x v="1"/>
    <x v="0"/>
    <x v="0"/>
    <x v="1"/>
    <x v="1"/>
    <x v="0"/>
    <n v="23"/>
    <n v="33"/>
    <n v="0"/>
    <m/>
    <x v="1"/>
    <n v="1.8659757113825528"/>
  </r>
  <r>
    <x v="8"/>
    <x v="0"/>
    <x v="0"/>
    <x v="0"/>
    <x v="2"/>
    <x v="1"/>
    <x v="0"/>
    <x v="1"/>
    <x v="1"/>
    <x v="1"/>
    <n v="9"/>
    <n v="14"/>
    <n v="0"/>
    <m/>
    <x v="1"/>
    <n v="1.1400533312676968"/>
  </r>
  <r>
    <x v="11"/>
    <x v="0"/>
    <x v="1"/>
    <x v="2"/>
    <x v="0"/>
    <x v="0"/>
    <x v="0"/>
    <x v="0"/>
    <x v="1"/>
    <x v="7"/>
    <n v="2"/>
    <n v="2"/>
    <n v="0"/>
    <m/>
    <x v="1"/>
    <n v="5.4555684000678381E-2"/>
  </r>
  <r>
    <x v="15"/>
    <x v="0"/>
    <x v="1"/>
    <x v="0"/>
    <x v="2"/>
    <x v="1"/>
    <x v="0"/>
    <x v="0"/>
    <x v="0"/>
    <x v="8"/>
    <n v="1"/>
    <n v="1"/>
    <n v="0"/>
    <n v="1"/>
    <x v="0"/>
    <n v="8.5600473827371765E-2"/>
  </r>
  <r>
    <x v="22"/>
    <x v="0"/>
    <x v="0"/>
    <x v="2"/>
    <x v="1"/>
    <x v="0"/>
    <x v="0"/>
    <x v="1"/>
    <x v="2"/>
    <x v="9"/>
    <n v="5"/>
    <n v="8"/>
    <n v="0"/>
    <n v="5"/>
    <x v="0"/>
    <n v="1.3590841068659696"/>
  </r>
  <r>
    <x v="22"/>
    <x v="1"/>
    <x v="0"/>
    <x v="2"/>
    <x v="0"/>
    <x v="0"/>
    <x v="0"/>
    <x v="0"/>
    <x v="2"/>
    <x v="9"/>
    <n v="2"/>
    <n v="2"/>
    <n v="0"/>
    <n v="2"/>
    <x v="0"/>
    <n v="0.34500564574730752"/>
  </r>
  <r>
    <x v="10"/>
    <x v="1"/>
    <x v="0"/>
    <x v="2"/>
    <x v="0"/>
    <x v="0"/>
    <x v="0"/>
    <x v="1"/>
    <x v="0"/>
    <x v="8"/>
    <n v="3"/>
    <n v="4"/>
    <n v="0"/>
    <m/>
    <x v="1"/>
    <n v="0.33976122381943119"/>
  </r>
  <r>
    <x v="9"/>
    <x v="1"/>
    <x v="0"/>
    <x v="0"/>
    <x v="0"/>
    <x v="0"/>
    <x v="0"/>
    <x v="1"/>
    <x v="0"/>
    <x v="1"/>
    <n v="10"/>
    <n v="10"/>
    <n v="4"/>
    <n v="10"/>
    <x v="0"/>
    <n v="0.65910609031603462"/>
  </r>
  <r>
    <x v="8"/>
    <x v="0"/>
    <x v="0"/>
    <x v="0"/>
    <x v="0"/>
    <x v="0"/>
    <x v="1"/>
    <x v="0"/>
    <x v="2"/>
    <x v="0"/>
    <n v="1"/>
    <n v="1"/>
    <n v="0"/>
    <m/>
    <x v="1"/>
    <n v="4.7244914771732829E-2"/>
  </r>
  <r>
    <x v="17"/>
    <x v="0"/>
    <x v="0"/>
    <x v="0"/>
    <x v="0"/>
    <x v="0"/>
    <x v="0"/>
    <x v="1"/>
    <x v="0"/>
    <x v="0"/>
    <n v="10"/>
    <n v="11"/>
    <n v="0"/>
    <n v="9"/>
    <x v="0"/>
    <n v="0.49047543176583869"/>
  </r>
  <r>
    <x v="17"/>
    <x v="0"/>
    <x v="1"/>
    <x v="0"/>
    <x v="0"/>
    <x v="0"/>
    <x v="1"/>
    <x v="1"/>
    <x v="0"/>
    <x v="5"/>
    <n v="2"/>
    <n v="2"/>
    <n v="0"/>
    <n v="2"/>
    <x v="0"/>
    <n v="3.0206543573620705E-2"/>
  </r>
  <r>
    <x v="8"/>
    <x v="0"/>
    <x v="1"/>
    <x v="0"/>
    <x v="1"/>
    <x v="1"/>
    <x v="0"/>
    <x v="1"/>
    <x v="1"/>
    <x v="0"/>
    <n v="8"/>
    <n v="10"/>
    <n v="0"/>
    <m/>
    <x v="1"/>
    <n v="0.58625353913978018"/>
  </r>
  <r>
    <x v="16"/>
    <x v="1"/>
    <x v="0"/>
    <x v="0"/>
    <x v="2"/>
    <x v="1"/>
    <x v="0"/>
    <x v="1"/>
    <x v="1"/>
    <x v="8"/>
    <n v="8"/>
    <n v="11"/>
    <n v="0"/>
    <m/>
    <x v="1"/>
    <n v="1.3001242750759778"/>
  </r>
  <r>
    <x v="20"/>
    <x v="1"/>
    <x v="0"/>
    <x v="2"/>
    <x v="2"/>
    <x v="0"/>
    <x v="0"/>
    <x v="1"/>
    <x v="1"/>
    <x v="1"/>
    <n v="2"/>
    <n v="3"/>
    <n v="0"/>
    <n v="2"/>
    <x v="0"/>
    <n v="0.24665968708787422"/>
  </r>
  <r>
    <x v="16"/>
    <x v="1"/>
    <x v="0"/>
    <x v="2"/>
    <x v="1"/>
    <x v="1"/>
    <x v="0"/>
    <x v="1"/>
    <x v="2"/>
    <x v="9"/>
    <n v="1"/>
    <n v="1"/>
    <n v="0"/>
    <m/>
    <x v="1"/>
    <n v="0.37850228785218432"/>
  </r>
  <r>
    <x v="0"/>
    <x v="0"/>
    <x v="1"/>
    <x v="0"/>
    <x v="2"/>
    <x v="0"/>
    <x v="0"/>
    <x v="0"/>
    <x v="2"/>
    <x v="8"/>
    <n v="1"/>
    <n v="1"/>
    <n v="0"/>
    <n v="1"/>
    <x v="0"/>
    <n v="9.650569894562866E-2"/>
  </r>
  <r>
    <x v="0"/>
    <x v="0"/>
    <x v="1"/>
    <x v="2"/>
    <x v="0"/>
    <x v="1"/>
    <x v="0"/>
    <x v="0"/>
    <x v="0"/>
    <x v="1"/>
    <n v="1"/>
    <n v="1"/>
    <n v="0"/>
    <n v="1"/>
    <x v="0"/>
    <n v="7.7425317298704582E-2"/>
  </r>
  <r>
    <x v="9"/>
    <x v="0"/>
    <x v="1"/>
    <x v="0"/>
    <x v="0"/>
    <x v="1"/>
    <x v="0"/>
    <x v="1"/>
    <x v="1"/>
    <x v="4"/>
    <n v="1"/>
    <n v="1"/>
    <n v="0"/>
    <n v="1"/>
    <x v="0"/>
    <n v="4.0267246343836334E-2"/>
  </r>
  <r>
    <x v="12"/>
    <x v="0"/>
    <x v="1"/>
    <x v="0"/>
    <x v="0"/>
    <x v="0"/>
    <x v="1"/>
    <x v="1"/>
    <x v="1"/>
    <x v="6"/>
    <n v="11"/>
    <n v="11"/>
    <n v="0"/>
    <m/>
    <x v="1"/>
    <n v="0.10983292483607292"/>
  </r>
  <r>
    <x v="14"/>
    <x v="1"/>
    <x v="0"/>
    <x v="0"/>
    <x v="0"/>
    <x v="1"/>
    <x v="0"/>
    <x v="0"/>
    <x v="1"/>
    <x v="1"/>
    <n v="4"/>
    <n v="4"/>
    <n v="0"/>
    <m/>
    <x v="1"/>
    <n v="0.33478212974472921"/>
  </r>
  <r>
    <x v="11"/>
    <x v="1"/>
    <x v="0"/>
    <x v="0"/>
    <x v="2"/>
    <x v="0"/>
    <x v="0"/>
    <x v="0"/>
    <x v="2"/>
    <x v="9"/>
    <n v="2"/>
    <n v="4"/>
    <n v="0"/>
    <m/>
    <x v="1"/>
    <n v="0.75465615373985462"/>
  </r>
  <r>
    <x v="21"/>
    <x v="0"/>
    <x v="1"/>
    <x v="2"/>
    <x v="3"/>
    <x v="1"/>
    <x v="0"/>
    <x v="1"/>
    <x v="0"/>
    <x v="9"/>
    <n v="1"/>
    <n v="1"/>
    <n v="0"/>
    <m/>
    <x v="1"/>
    <n v="0.1429710012122066"/>
  </r>
  <r>
    <x v="16"/>
    <x v="0"/>
    <x v="0"/>
    <x v="2"/>
    <x v="0"/>
    <x v="0"/>
    <x v="1"/>
    <x v="0"/>
    <x v="1"/>
    <x v="5"/>
    <n v="2"/>
    <n v="2"/>
    <n v="0"/>
    <m/>
    <x v="1"/>
    <n v="3.7491703864349239E-2"/>
  </r>
  <r>
    <x v="15"/>
    <x v="0"/>
    <x v="1"/>
    <x v="0"/>
    <x v="3"/>
    <x v="1"/>
    <x v="0"/>
    <x v="1"/>
    <x v="1"/>
    <x v="1"/>
    <n v="2"/>
    <n v="2"/>
    <n v="0"/>
    <n v="2"/>
    <x v="0"/>
    <n v="0.15396189777414401"/>
  </r>
  <r>
    <x v="11"/>
    <x v="0"/>
    <x v="0"/>
    <x v="2"/>
    <x v="0"/>
    <x v="0"/>
    <x v="0"/>
    <x v="1"/>
    <x v="0"/>
    <x v="0"/>
    <n v="2"/>
    <n v="2"/>
    <n v="0"/>
    <m/>
    <x v="1"/>
    <n v="0.11568704600419652"/>
  </r>
  <r>
    <x v="9"/>
    <x v="1"/>
    <x v="1"/>
    <x v="2"/>
    <x v="1"/>
    <x v="0"/>
    <x v="0"/>
    <x v="1"/>
    <x v="0"/>
    <x v="8"/>
    <n v="2"/>
    <n v="2"/>
    <n v="0"/>
    <n v="2"/>
    <x v="0"/>
    <n v="0.17466290492702188"/>
  </r>
  <r>
    <x v="21"/>
    <x v="1"/>
    <x v="0"/>
    <x v="0"/>
    <x v="1"/>
    <x v="1"/>
    <x v="0"/>
    <x v="1"/>
    <x v="0"/>
    <x v="9"/>
    <n v="5"/>
    <n v="9"/>
    <n v="0"/>
    <m/>
    <x v="1"/>
    <n v="1.5381911074433512"/>
  </r>
  <r>
    <x v="2"/>
    <x v="0"/>
    <x v="0"/>
    <x v="0"/>
    <x v="3"/>
    <x v="1"/>
    <x v="0"/>
    <x v="1"/>
    <x v="1"/>
    <x v="8"/>
    <n v="1"/>
    <n v="2"/>
    <n v="0"/>
    <m/>
    <x v="1"/>
    <n v="0.21442651361065859"/>
  </r>
  <r>
    <x v="2"/>
    <x v="1"/>
    <x v="1"/>
    <x v="0"/>
    <x v="1"/>
    <x v="0"/>
    <x v="0"/>
    <x v="1"/>
    <x v="0"/>
    <x v="1"/>
    <n v="7"/>
    <n v="9"/>
    <n v="1"/>
    <m/>
    <x v="1"/>
    <n v="0.61025173063616645"/>
  </r>
  <r>
    <x v="8"/>
    <x v="0"/>
    <x v="0"/>
    <x v="0"/>
    <x v="2"/>
    <x v="0"/>
    <x v="0"/>
    <x v="1"/>
    <x v="2"/>
    <x v="9"/>
    <n v="10"/>
    <n v="19"/>
    <n v="0"/>
    <m/>
    <x v="1"/>
    <n v="2.5326714472883531"/>
  </r>
  <r>
    <x v="21"/>
    <x v="1"/>
    <x v="0"/>
    <x v="0"/>
    <x v="0"/>
    <x v="1"/>
    <x v="0"/>
    <x v="0"/>
    <x v="1"/>
    <x v="1"/>
    <n v="4"/>
    <n v="5"/>
    <n v="0"/>
    <m/>
    <x v="1"/>
    <n v="0.41847766218091148"/>
  </r>
  <r>
    <x v="4"/>
    <x v="1"/>
    <x v="0"/>
    <x v="0"/>
    <x v="0"/>
    <x v="0"/>
    <x v="0"/>
    <x v="0"/>
    <x v="0"/>
    <x v="1"/>
    <n v="14"/>
    <n v="15"/>
    <n v="0"/>
    <m/>
    <x v="1"/>
    <n v="0.98865913547405204"/>
  </r>
  <r>
    <x v="11"/>
    <x v="0"/>
    <x v="1"/>
    <x v="1"/>
    <x v="0"/>
    <x v="1"/>
    <x v="1"/>
    <x v="0"/>
    <x v="0"/>
    <x v="6"/>
    <n v="1"/>
    <n v="1"/>
    <n v="0"/>
    <m/>
    <x v="1"/>
    <n v="1.3579149957578668E-2"/>
  </r>
  <r>
    <x v="20"/>
    <x v="1"/>
    <x v="0"/>
    <x v="0"/>
    <x v="2"/>
    <x v="0"/>
    <x v="0"/>
    <x v="0"/>
    <x v="2"/>
    <x v="9"/>
    <n v="3"/>
    <n v="4"/>
    <n v="0"/>
    <n v="3"/>
    <x v="0"/>
    <n v="0.75465615373985462"/>
  </r>
  <r>
    <x v="19"/>
    <x v="1"/>
    <x v="1"/>
    <x v="0"/>
    <x v="0"/>
    <x v="0"/>
    <x v="1"/>
    <x v="1"/>
    <x v="1"/>
    <x v="5"/>
    <n v="3"/>
    <n v="3"/>
    <n v="0"/>
    <m/>
    <x v="1"/>
    <n v="4.5058792320559406E-2"/>
  </r>
  <r>
    <x v="19"/>
    <x v="0"/>
    <x v="0"/>
    <x v="1"/>
    <x v="1"/>
    <x v="0"/>
    <x v="0"/>
    <x v="1"/>
    <x v="1"/>
    <x v="5"/>
    <n v="3"/>
    <n v="4"/>
    <n v="0"/>
    <m/>
    <x v="1"/>
    <n v="8.1424207834125614E-2"/>
  </r>
  <r>
    <x v="0"/>
    <x v="1"/>
    <x v="1"/>
    <x v="0"/>
    <x v="0"/>
    <x v="0"/>
    <x v="0"/>
    <x v="0"/>
    <x v="0"/>
    <x v="0"/>
    <n v="2"/>
    <n v="2"/>
    <n v="0"/>
    <n v="2"/>
    <x v="0"/>
    <n v="9.3431052185651564E-2"/>
  </r>
  <r>
    <x v="5"/>
    <x v="1"/>
    <x v="1"/>
    <x v="0"/>
    <x v="0"/>
    <x v="0"/>
    <x v="1"/>
    <x v="1"/>
    <x v="1"/>
    <x v="5"/>
    <n v="5"/>
    <n v="5"/>
    <n v="1"/>
    <n v="5"/>
    <x v="0"/>
    <n v="7.5097987200932345E-2"/>
  </r>
  <r>
    <x v="8"/>
    <x v="1"/>
    <x v="1"/>
    <x v="2"/>
    <x v="0"/>
    <x v="0"/>
    <x v="0"/>
    <x v="1"/>
    <x v="1"/>
    <x v="4"/>
    <n v="3"/>
    <n v="3"/>
    <n v="0"/>
    <m/>
    <x v="1"/>
    <n v="0.12202287007959514"/>
  </r>
  <r>
    <x v="5"/>
    <x v="1"/>
    <x v="0"/>
    <x v="0"/>
    <x v="3"/>
    <x v="0"/>
    <x v="0"/>
    <x v="1"/>
    <x v="1"/>
    <x v="8"/>
    <n v="2"/>
    <n v="2"/>
    <n v="0"/>
    <n v="2"/>
    <x v="0"/>
    <n v="0.16891351009180391"/>
  </r>
  <r>
    <x v="1"/>
    <x v="1"/>
    <x v="0"/>
    <x v="2"/>
    <x v="2"/>
    <x v="0"/>
    <x v="0"/>
    <x v="1"/>
    <x v="2"/>
    <x v="9"/>
    <n v="4"/>
    <n v="9"/>
    <n v="0"/>
    <n v="4"/>
    <x v="0"/>
    <n v="2.1082251537989052"/>
  </r>
  <r>
    <x v="1"/>
    <x v="1"/>
    <x v="0"/>
    <x v="2"/>
    <x v="2"/>
    <x v="0"/>
    <x v="0"/>
    <x v="0"/>
    <x v="2"/>
    <x v="9"/>
    <n v="4"/>
    <n v="4"/>
    <n v="0"/>
    <n v="4"/>
    <x v="0"/>
    <n v="0.93698895724395781"/>
  </r>
  <r>
    <x v="4"/>
    <x v="0"/>
    <x v="0"/>
    <x v="2"/>
    <x v="1"/>
    <x v="0"/>
    <x v="0"/>
    <x v="1"/>
    <x v="1"/>
    <x v="0"/>
    <n v="12"/>
    <n v="22"/>
    <n v="0"/>
    <m/>
    <x v="1"/>
    <n v="1.2439838075883685"/>
  </r>
  <r>
    <x v="10"/>
    <x v="0"/>
    <x v="1"/>
    <x v="0"/>
    <x v="1"/>
    <x v="0"/>
    <x v="0"/>
    <x v="1"/>
    <x v="2"/>
    <x v="8"/>
    <n v="7"/>
    <n v="11"/>
    <n v="0"/>
    <m/>
    <x v="1"/>
    <n v="1.072578629038011"/>
  </r>
  <r>
    <x v="14"/>
    <x v="1"/>
    <x v="0"/>
    <x v="0"/>
    <x v="2"/>
    <x v="0"/>
    <x v="0"/>
    <x v="1"/>
    <x v="2"/>
    <x v="9"/>
    <n v="9"/>
    <n v="18"/>
    <n v="2"/>
    <m/>
    <x v="1"/>
    <n v="3.3959526918293457"/>
  </r>
  <r>
    <x v="15"/>
    <x v="1"/>
    <x v="0"/>
    <x v="2"/>
    <x v="2"/>
    <x v="0"/>
    <x v="0"/>
    <x v="1"/>
    <x v="0"/>
    <x v="8"/>
    <n v="2"/>
    <n v="2"/>
    <n v="0"/>
    <n v="2"/>
    <x v="0"/>
    <n v="0.23976766504814812"/>
  </r>
  <r>
    <x v="0"/>
    <x v="0"/>
    <x v="0"/>
    <x v="2"/>
    <x v="0"/>
    <x v="0"/>
    <x v="1"/>
    <x v="0"/>
    <x v="0"/>
    <x v="7"/>
    <n v="2"/>
    <n v="2"/>
    <n v="0"/>
    <n v="2"/>
    <x v="0"/>
    <n v="5.6454772893196677E-2"/>
  </r>
  <r>
    <x v="15"/>
    <x v="1"/>
    <x v="0"/>
    <x v="0"/>
    <x v="2"/>
    <x v="0"/>
    <x v="0"/>
    <x v="1"/>
    <x v="1"/>
    <x v="3"/>
    <n v="4"/>
    <n v="6"/>
    <n v="0"/>
    <n v="4"/>
    <x v="0"/>
    <n v="0.38254322297618609"/>
  </r>
  <r>
    <x v="19"/>
    <x v="1"/>
    <x v="0"/>
    <x v="2"/>
    <x v="0"/>
    <x v="0"/>
    <x v="0"/>
    <x v="0"/>
    <x v="2"/>
    <x v="9"/>
    <n v="2"/>
    <n v="2"/>
    <n v="0"/>
    <m/>
    <x v="1"/>
    <n v="0.34500564574730752"/>
  </r>
  <r>
    <x v="0"/>
    <x v="0"/>
    <x v="0"/>
    <x v="1"/>
    <x v="1"/>
    <x v="0"/>
    <x v="0"/>
    <x v="1"/>
    <x v="1"/>
    <x v="5"/>
    <n v="6"/>
    <n v="6"/>
    <n v="0"/>
    <n v="6"/>
    <x v="0"/>
    <n v="0.12213631175118843"/>
  </r>
  <r>
    <x v="17"/>
    <x v="1"/>
    <x v="0"/>
    <x v="1"/>
    <x v="0"/>
    <x v="0"/>
    <x v="0"/>
    <x v="1"/>
    <x v="1"/>
    <x v="5"/>
    <n v="4"/>
    <n v="4"/>
    <n v="0"/>
    <n v="4"/>
    <x v="0"/>
    <n v="8.2908739469652437E-2"/>
  </r>
  <r>
    <x v="19"/>
    <x v="0"/>
    <x v="1"/>
    <x v="0"/>
    <x v="3"/>
    <x v="1"/>
    <x v="0"/>
    <x v="1"/>
    <x v="1"/>
    <x v="1"/>
    <n v="1"/>
    <n v="2"/>
    <n v="0"/>
    <m/>
    <x v="1"/>
    <n v="0.15396189777414401"/>
  </r>
  <r>
    <x v="22"/>
    <x v="0"/>
    <x v="0"/>
    <x v="2"/>
    <x v="2"/>
    <x v="1"/>
    <x v="1"/>
    <x v="1"/>
    <x v="1"/>
    <x v="0"/>
    <n v="2"/>
    <n v="2"/>
    <n v="0"/>
    <n v="2"/>
    <x v="0"/>
    <n v="0.10458334262896614"/>
  </r>
  <r>
    <x v="2"/>
    <x v="0"/>
    <x v="1"/>
    <x v="2"/>
    <x v="2"/>
    <x v="1"/>
    <x v="1"/>
    <x v="1"/>
    <x v="1"/>
    <x v="4"/>
    <n v="1"/>
    <n v="1"/>
    <n v="0"/>
    <m/>
    <x v="1"/>
    <n v="3.6906111670654135E-2"/>
  </r>
  <r>
    <x v="1"/>
    <x v="0"/>
    <x v="0"/>
    <x v="2"/>
    <x v="1"/>
    <x v="1"/>
    <x v="0"/>
    <x v="1"/>
    <x v="1"/>
    <x v="8"/>
    <n v="2"/>
    <n v="6"/>
    <n v="0"/>
    <n v="2"/>
    <x v="0"/>
    <n v="0.63309979180828335"/>
  </r>
  <r>
    <x v="1"/>
    <x v="1"/>
    <x v="0"/>
    <x v="2"/>
    <x v="2"/>
    <x v="1"/>
    <x v="0"/>
    <x v="0"/>
    <x v="1"/>
    <x v="9"/>
    <n v="3"/>
    <n v="3"/>
    <n v="0"/>
    <n v="3"/>
    <x v="0"/>
    <n v="0.44968643551146698"/>
  </r>
  <r>
    <x v="11"/>
    <x v="1"/>
    <x v="0"/>
    <x v="0"/>
    <x v="0"/>
    <x v="1"/>
    <x v="1"/>
    <x v="1"/>
    <x v="1"/>
    <x v="4"/>
    <n v="2"/>
    <n v="2"/>
    <n v="0"/>
    <m/>
    <x v="1"/>
    <n v="8.2850067471544331E-2"/>
  </r>
  <r>
    <x v="5"/>
    <x v="1"/>
    <x v="1"/>
    <x v="2"/>
    <x v="2"/>
    <x v="0"/>
    <x v="1"/>
    <x v="1"/>
    <x v="2"/>
    <x v="8"/>
    <n v="1"/>
    <n v="1"/>
    <n v="1"/>
    <n v="1"/>
    <x v="0"/>
    <n v="9.1334738525727502E-2"/>
  </r>
  <r>
    <x v="7"/>
    <x v="0"/>
    <x v="0"/>
    <x v="0"/>
    <x v="1"/>
    <x v="1"/>
    <x v="0"/>
    <x v="1"/>
    <x v="0"/>
    <x v="8"/>
    <n v="8"/>
    <n v="18"/>
    <n v="0"/>
    <m/>
    <x v="1"/>
    <n v="2.1597151058787203"/>
  </r>
  <r>
    <x v="9"/>
    <x v="1"/>
    <x v="0"/>
    <x v="0"/>
    <x v="2"/>
    <x v="0"/>
    <x v="1"/>
    <x v="1"/>
    <x v="2"/>
    <x v="8"/>
    <n v="2"/>
    <n v="2"/>
    <n v="1"/>
    <n v="2"/>
    <x v="0"/>
    <n v="0.19822699262559396"/>
  </r>
  <r>
    <x v="17"/>
    <x v="1"/>
    <x v="1"/>
    <x v="0"/>
    <x v="0"/>
    <x v="0"/>
    <x v="1"/>
    <x v="0"/>
    <x v="0"/>
    <x v="7"/>
    <n v="1"/>
    <n v="1"/>
    <n v="0"/>
    <n v="1"/>
    <x v="0"/>
    <n v="2.2659939205773683E-2"/>
  </r>
  <r>
    <x v="5"/>
    <x v="1"/>
    <x v="0"/>
    <x v="0"/>
    <x v="1"/>
    <x v="1"/>
    <x v="0"/>
    <x v="1"/>
    <x v="0"/>
    <x v="9"/>
    <n v="6"/>
    <n v="7"/>
    <n v="1"/>
    <n v="6"/>
    <x v="0"/>
    <n v="1.1963708613448287"/>
  </r>
  <r>
    <x v="3"/>
    <x v="0"/>
    <x v="1"/>
    <x v="0"/>
    <x v="0"/>
    <x v="0"/>
    <x v="1"/>
    <x v="1"/>
    <x v="1"/>
    <x v="6"/>
    <n v="7"/>
    <n v="7"/>
    <n v="0"/>
    <m/>
    <x v="1"/>
    <n v="6.9893679441137321E-2"/>
  </r>
  <r>
    <x v="9"/>
    <x v="1"/>
    <x v="0"/>
    <x v="0"/>
    <x v="1"/>
    <x v="1"/>
    <x v="0"/>
    <x v="1"/>
    <x v="0"/>
    <x v="9"/>
    <n v="10"/>
    <n v="11"/>
    <n v="1"/>
    <n v="10"/>
    <x v="0"/>
    <n v="1.8800113535418737"/>
  </r>
  <r>
    <x v="20"/>
    <x v="0"/>
    <x v="0"/>
    <x v="2"/>
    <x v="1"/>
    <x v="0"/>
    <x v="0"/>
    <x v="1"/>
    <x v="2"/>
    <x v="9"/>
    <n v="5"/>
    <n v="6"/>
    <n v="1"/>
    <n v="5"/>
    <x v="0"/>
    <n v="1.0193130801494772"/>
  </r>
  <r>
    <x v="12"/>
    <x v="1"/>
    <x v="0"/>
    <x v="1"/>
    <x v="0"/>
    <x v="0"/>
    <x v="0"/>
    <x v="0"/>
    <x v="2"/>
    <x v="1"/>
    <n v="1"/>
    <n v="1"/>
    <n v="0"/>
    <m/>
    <x v="1"/>
    <n v="6.7402860630559377E-2"/>
  </r>
  <r>
    <x v="0"/>
    <x v="1"/>
    <x v="1"/>
    <x v="0"/>
    <x v="2"/>
    <x v="1"/>
    <x v="0"/>
    <x v="1"/>
    <x v="1"/>
    <x v="8"/>
    <n v="6"/>
    <n v="6"/>
    <n v="1"/>
    <n v="6"/>
    <x v="0"/>
    <n v="0.51096003100019571"/>
  </r>
  <r>
    <x v="19"/>
    <x v="0"/>
    <x v="1"/>
    <x v="0"/>
    <x v="1"/>
    <x v="0"/>
    <x v="0"/>
    <x v="1"/>
    <x v="2"/>
    <x v="8"/>
    <n v="8"/>
    <n v="14"/>
    <n v="0"/>
    <m/>
    <x v="1"/>
    <n v="1.3651000733211049"/>
  </r>
  <r>
    <x v="19"/>
    <x v="0"/>
    <x v="0"/>
    <x v="0"/>
    <x v="1"/>
    <x v="1"/>
    <x v="0"/>
    <x v="1"/>
    <x v="2"/>
    <x v="9"/>
    <n v="5"/>
    <n v="16"/>
    <n v="0"/>
    <m/>
    <x v="1"/>
    <n v="3.7506848657714928"/>
  </r>
  <r>
    <x v="8"/>
    <x v="1"/>
    <x v="1"/>
    <x v="1"/>
    <x v="0"/>
    <x v="0"/>
    <x v="0"/>
    <x v="1"/>
    <x v="1"/>
    <x v="6"/>
    <n v="1"/>
    <n v="1"/>
    <n v="0"/>
    <m/>
    <x v="1"/>
    <n v="1.4486748808385878E-2"/>
  </r>
  <r>
    <x v="0"/>
    <x v="1"/>
    <x v="0"/>
    <x v="0"/>
    <x v="0"/>
    <x v="0"/>
    <x v="1"/>
    <x v="1"/>
    <x v="1"/>
    <x v="7"/>
    <n v="12"/>
    <n v="13"/>
    <n v="0"/>
    <n v="11"/>
    <x v="0"/>
    <n v="0.27929933204942631"/>
  </r>
  <r>
    <x v="9"/>
    <x v="0"/>
    <x v="1"/>
    <x v="0"/>
    <x v="2"/>
    <x v="0"/>
    <x v="0"/>
    <x v="1"/>
    <x v="0"/>
    <x v="0"/>
    <n v="7"/>
    <n v="7"/>
    <n v="0"/>
    <n v="7"/>
    <x v="0"/>
    <n v="0.31781944052142308"/>
  </r>
  <r>
    <x v="6"/>
    <x v="1"/>
    <x v="1"/>
    <x v="0"/>
    <x v="0"/>
    <x v="0"/>
    <x v="0"/>
    <x v="0"/>
    <x v="1"/>
    <x v="4"/>
    <n v="6"/>
    <n v="7"/>
    <n v="0"/>
    <m/>
    <x v="1"/>
    <n v="0.21856371959961038"/>
  </r>
  <r>
    <x v="13"/>
    <x v="0"/>
    <x v="0"/>
    <x v="0"/>
    <x v="3"/>
    <x v="0"/>
    <x v="1"/>
    <x v="1"/>
    <x v="0"/>
    <x v="2"/>
    <n v="1"/>
    <n v="1"/>
    <n v="0"/>
    <m/>
    <x v="1"/>
    <n v="4.2045949270268397E-2"/>
  </r>
  <r>
    <x v="7"/>
    <x v="0"/>
    <x v="0"/>
    <x v="1"/>
    <x v="1"/>
    <x v="0"/>
    <x v="0"/>
    <x v="1"/>
    <x v="0"/>
    <x v="4"/>
    <n v="3"/>
    <n v="3"/>
    <n v="0"/>
    <m/>
    <x v="1"/>
    <n v="9.1879787574193156E-2"/>
  </r>
  <r>
    <x v="21"/>
    <x v="1"/>
    <x v="0"/>
    <x v="0"/>
    <x v="1"/>
    <x v="0"/>
    <x v="0"/>
    <x v="1"/>
    <x v="2"/>
    <x v="9"/>
    <n v="11"/>
    <n v="34"/>
    <n v="0"/>
    <m/>
    <x v="1"/>
    <n v="6.4742890626002234"/>
  </r>
  <r>
    <x v="10"/>
    <x v="1"/>
    <x v="0"/>
    <x v="0"/>
    <x v="0"/>
    <x v="0"/>
    <x v="0"/>
    <x v="0"/>
    <x v="2"/>
    <x v="9"/>
    <n v="5"/>
    <n v="8"/>
    <n v="0"/>
    <m/>
    <x v="1"/>
    <n v="1.0943075783733069"/>
  </r>
  <r>
    <x v="18"/>
    <x v="1"/>
    <x v="0"/>
    <x v="2"/>
    <x v="1"/>
    <x v="0"/>
    <x v="0"/>
    <x v="1"/>
    <x v="1"/>
    <x v="1"/>
    <n v="8"/>
    <n v="13"/>
    <n v="2"/>
    <m/>
    <x v="1"/>
    <n v="1.0801275226708862"/>
  </r>
  <r>
    <x v="12"/>
    <x v="0"/>
    <x v="1"/>
    <x v="0"/>
    <x v="0"/>
    <x v="1"/>
    <x v="0"/>
    <x v="1"/>
    <x v="0"/>
    <x v="3"/>
    <n v="1"/>
    <n v="2"/>
    <n v="0"/>
    <m/>
    <x v="1"/>
    <n v="0.11993782362175887"/>
  </r>
  <r>
    <x v="8"/>
    <x v="0"/>
    <x v="0"/>
    <x v="2"/>
    <x v="2"/>
    <x v="0"/>
    <x v="1"/>
    <x v="1"/>
    <x v="2"/>
    <x v="8"/>
    <n v="2"/>
    <n v="3"/>
    <n v="0"/>
    <m/>
    <x v="1"/>
    <n v="0.26208793237221351"/>
  </r>
  <r>
    <x v="19"/>
    <x v="0"/>
    <x v="0"/>
    <x v="0"/>
    <x v="2"/>
    <x v="1"/>
    <x v="0"/>
    <x v="1"/>
    <x v="0"/>
    <x v="8"/>
    <n v="2"/>
    <n v="2"/>
    <n v="0"/>
    <m/>
    <x v="1"/>
    <n v="0.23756451250297758"/>
  </r>
  <r>
    <x v="17"/>
    <x v="1"/>
    <x v="0"/>
    <x v="2"/>
    <x v="0"/>
    <x v="0"/>
    <x v="0"/>
    <x v="1"/>
    <x v="2"/>
    <x v="9"/>
    <n v="3"/>
    <n v="4"/>
    <n v="1"/>
    <n v="3"/>
    <x v="0"/>
    <n v="0.69001129149461504"/>
  </r>
  <r>
    <x v="8"/>
    <x v="0"/>
    <x v="0"/>
    <x v="1"/>
    <x v="0"/>
    <x v="0"/>
    <x v="0"/>
    <x v="0"/>
    <x v="1"/>
    <x v="6"/>
    <n v="4"/>
    <n v="4"/>
    <n v="0"/>
    <m/>
    <x v="1"/>
    <n v="5.5223800933331964E-2"/>
  </r>
  <r>
    <x v="21"/>
    <x v="0"/>
    <x v="1"/>
    <x v="0"/>
    <x v="1"/>
    <x v="1"/>
    <x v="0"/>
    <x v="1"/>
    <x v="0"/>
    <x v="8"/>
    <n v="2"/>
    <n v="3"/>
    <n v="0"/>
    <m/>
    <x v="1"/>
    <n v="0.25949877791856496"/>
  </r>
  <r>
    <x v="11"/>
    <x v="0"/>
    <x v="0"/>
    <x v="0"/>
    <x v="2"/>
    <x v="1"/>
    <x v="0"/>
    <x v="1"/>
    <x v="1"/>
    <x v="1"/>
    <n v="4"/>
    <n v="5"/>
    <n v="0"/>
    <m/>
    <x v="1"/>
    <n v="0.40716190402417746"/>
  </r>
  <r>
    <x v="13"/>
    <x v="0"/>
    <x v="1"/>
    <x v="1"/>
    <x v="1"/>
    <x v="0"/>
    <x v="0"/>
    <x v="1"/>
    <x v="0"/>
    <x v="5"/>
    <n v="1"/>
    <n v="1"/>
    <n v="0"/>
    <m/>
    <x v="1"/>
    <n v="2.1471043341050454E-2"/>
  </r>
  <r>
    <x v="16"/>
    <x v="1"/>
    <x v="0"/>
    <x v="1"/>
    <x v="0"/>
    <x v="0"/>
    <x v="0"/>
    <x v="0"/>
    <x v="0"/>
    <x v="4"/>
    <n v="1"/>
    <n v="1"/>
    <n v="0"/>
    <m/>
    <x v="1"/>
    <n v="3.1179022325415869E-2"/>
  </r>
  <r>
    <x v="2"/>
    <x v="0"/>
    <x v="1"/>
    <x v="0"/>
    <x v="1"/>
    <x v="0"/>
    <x v="0"/>
    <x v="1"/>
    <x v="2"/>
    <x v="8"/>
    <n v="11"/>
    <n v="17"/>
    <n v="0"/>
    <m/>
    <x v="1"/>
    <n v="1.6576215176041988"/>
  </r>
  <r>
    <x v="5"/>
    <x v="0"/>
    <x v="0"/>
    <x v="2"/>
    <x v="2"/>
    <x v="0"/>
    <x v="1"/>
    <x v="1"/>
    <x v="2"/>
    <x v="8"/>
    <n v="1"/>
    <n v="1"/>
    <n v="0"/>
    <n v="1"/>
    <x v="0"/>
    <n v="8.7362644124071173E-2"/>
  </r>
  <r>
    <x v="19"/>
    <x v="0"/>
    <x v="1"/>
    <x v="1"/>
    <x v="2"/>
    <x v="0"/>
    <x v="0"/>
    <x v="0"/>
    <x v="0"/>
    <x v="5"/>
    <n v="1"/>
    <n v="1"/>
    <n v="0"/>
    <m/>
    <x v="1"/>
    <n v="2.1232152294556311E-2"/>
  </r>
  <r>
    <x v="6"/>
    <x v="0"/>
    <x v="0"/>
    <x v="0"/>
    <x v="0"/>
    <x v="1"/>
    <x v="0"/>
    <x v="0"/>
    <x v="1"/>
    <x v="0"/>
    <n v="2"/>
    <n v="2"/>
    <n v="0"/>
    <m/>
    <x v="1"/>
    <n v="0.11394224284163047"/>
  </r>
  <r>
    <x v="8"/>
    <x v="1"/>
    <x v="1"/>
    <x v="1"/>
    <x v="0"/>
    <x v="0"/>
    <x v="1"/>
    <x v="0"/>
    <x v="1"/>
    <x v="6"/>
    <n v="1"/>
    <n v="1"/>
    <n v="0"/>
    <m/>
    <x v="1"/>
    <n v="6.9067353216518941E-3"/>
  </r>
  <r>
    <x v="9"/>
    <x v="1"/>
    <x v="1"/>
    <x v="0"/>
    <x v="0"/>
    <x v="0"/>
    <x v="1"/>
    <x v="0"/>
    <x v="1"/>
    <x v="5"/>
    <n v="4"/>
    <n v="4"/>
    <n v="0"/>
    <n v="4"/>
    <x v="0"/>
    <n v="6.0078389760745872E-2"/>
  </r>
  <r>
    <x v="5"/>
    <x v="1"/>
    <x v="0"/>
    <x v="2"/>
    <x v="1"/>
    <x v="1"/>
    <x v="0"/>
    <x v="1"/>
    <x v="0"/>
    <x v="9"/>
    <n v="3"/>
    <n v="4"/>
    <n v="0"/>
    <n v="3"/>
    <x v="0"/>
    <n v="0.85332670687630885"/>
  </r>
  <r>
    <x v="1"/>
    <x v="1"/>
    <x v="0"/>
    <x v="0"/>
    <x v="0"/>
    <x v="0"/>
    <x v="0"/>
    <x v="0"/>
    <x v="2"/>
    <x v="9"/>
    <n v="11"/>
    <n v="15"/>
    <n v="0"/>
    <n v="11"/>
    <x v="0"/>
    <n v="2.0518267094499505"/>
  </r>
  <r>
    <x v="6"/>
    <x v="0"/>
    <x v="0"/>
    <x v="2"/>
    <x v="0"/>
    <x v="0"/>
    <x v="0"/>
    <x v="1"/>
    <x v="1"/>
    <x v="4"/>
    <n v="4"/>
    <n v="5"/>
    <n v="0"/>
    <m/>
    <x v="1"/>
    <n v="0.19405642611649998"/>
  </r>
  <r>
    <x v="10"/>
    <x v="1"/>
    <x v="1"/>
    <x v="0"/>
    <x v="1"/>
    <x v="0"/>
    <x v="0"/>
    <x v="1"/>
    <x v="0"/>
    <x v="1"/>
    <n v="1"/>
    <n v="4"/>
    <n v="0"/>
    <m/>
    <x v="1"/>
    <n v="0.27122299139385175"/>
  </r>
  <r>
    <x v="21"/>
    <x v="1"/>
    <x v="0"/>
    <x v="1"/>
    <x v="0"/>
    <x v="0"/>
    <x v="1"/>
    <x v="1"/>
    <x v="1"/>
    <x v="6"/>
    <n v="2"/>
    <n v="4"/>
    <n v="0"/>
    <m/>
    <x v="1"/>
    <n v="3.9659159156359182E-2"/>
  </r>
  <r>
    <x v="9"/>
    <x v="0"/>
    <x v="1"/>
    <x v="2"/>
    <x v="1"/>
    <x v="1"/>
    <x v="0"/>
    <x v="1"/>
    <x v="1"/>
    <x v="1"/>
    <n v="1"/>
    <n v="1"/>
    <n v="0"/>
    <n v="1"/>
    <x v="0"/>
    <n v="7.5722165913494635E-2"/>
  </r>
  <r>
    <x v="15"/>
    <x v="0"/>
    <x v="0"/>
    <x v="0"/>
    <x v="2"/>
    <x v="0"/>
    <x v="0"/>
    <x v="1"/>
    <x v="0"/>
    <x v="3"/>
    <n v="8"/>
    <n v="9"/>
    <n v="0"/>
    <n v="8"/>
    <x v="0"/>
    <n v="0.5768525493388138"/>
  </r>
  <r>
    <x v="16"/>
    <x v="0"/>
    <x v="0"/>
    <x v="2"/>
    <x v="3"/>
    <x v="1"/>
    <x v="1"/>
    <x v="1"/>
    <x v="2"/>
    <x v="9"/>
    <n v="1"/>
    <n v="1"/>
    <n v="0"/>
    <m/>
    <x v="1"/>
    <n v="0.2033289596940886"/>
  </r>
  <r>
    <x v="2"/>
    <x v="0"/>
    <x v="1"/>
    <x v="1"/>
    <x v="0"/>
    <x v="0"/>
    <x v="0"/>
    <x v="1"/>
    <x v="1"/>
    <x v="6"/>
    <n v="4"/>
    <n v="4"/>
    <n v="0"/>
    <m/>
    <x v="1"/>
    <n v="3.8515340652904961E-2"/>
  </r>
  <r>
    <x v="5"/>
    <x v="0"/>
    <x v="0"/>
    <x v="2"/>
    <x v="1"/>
    <x v="0"/>
    <x v="0"/>
    <x v="1"/>
    <x v="0"/>
    <x v="1"/>
    <n v="13"/>
    <n v="14"/>
    <n v="0"/>
    <n v="13"/>
    <x v="0"/>
    <n v="1.169244393242995"/>
  </r>
  <r>
    <x v="11"/>
    <x v="1"/>
    <x v="0"/>
    <x v="0"/>
    <x v="2"/>
    <x v="0"/>
    <x v="0"/>
    <x v="0"/>
    <x v="1"/>
    <x v="3"/>
    <n v="3"/>
    <n v="4"/>
    <n v="0"/>
    <m/>
    <x v="1"/>
    <n v="0.25502881531745741"/>
  </r>
  <r>
    <x v="18"/>
    <x v="0"/>
    <x v="0"/>
    <x v="1"/>
    <x v="0"/>
    <x v="0"/>
    <x v="0"/>
    <x v="0"/>
    <x v="2"/>
    <x v="0"/>
    <n v="1"/>
    <n v="1"/>
    <n v="0"/>
    <m/>
    <x v="1"/>
    <n v="4.5621764642715154E-2"/>
  </r>
  <r>
    <x v="4"/>
    <x v="0"/>
    <x v="0"/>
    <x v="0"/>
    <x v="0"/>
    <x v="0"/>
    <x v="1"/>
    <x v="0"/>
    <x v="1"/>
    <x v="6"/>
    <n v="3"/>
    <n v="3"/>
    <n v="0"/>
    <m/>
    <x v="1"/>
    <n v="4.2942364739923536E-2"/>
  </r>
  <r>
    <x v="9"/>
    <x v="1"/>
    <x v="0"/>
    <x v="0"/>
    <x v="2"/>
    <x v="0"/>
    <x v="0"/>
    <x v="0"/>
    <x v="1"/>
    <x v="3"/>
    <n v="1"/>
    <n v="1"/>
    <n v="0"/>
    <n v="1"/>
    <x v="0"/>
    <n v="6.3757203829364353E-2"/>
  </r>
  <r>
    <x v="7"/>
    <x v="1"/>
    <x v="0"/>
    <x v="0"/>
    <x v="1"/>
    <x v="0"/>
    <x v="0"/>
    <x v="1"/>
    <x v="2"/>
    <x v="9"/>
    <n v="11"/>
    <n v="41"/>
    <n v="0"/>
    <m/>
    <x v="1"/>
    <n v="7.8072309284296804"/>
  </r>
  <r>
    <x v="10"/>
    <x v="1"/>
    <x v="0"/>
    <x v="2"/>
    <x v="2"/>
    <x v="0"/>
    <x v="1"/>
    <x v="1"/>
    <x v="1"/>
    <x v="4"/>
    <n v="1"/>
    <n v="1"/>
    <n v="0"/>
    <m/>
    <x v="1"/>
    <n v="4.066159666363986E-2"/>
  </r>
  <r>
    <x v="21"/>
    <x v="0"/>
    <x v="0"/>
    <x v="2"/>
    <x v="1"/>
    <x v="0"/>
    <x v="0"/>
    <x v="1"/>
    <x v="2"/>
    <x v="9"/>
    <n v="2"/>
    <n v="7"/>
    <n v="0"/>
    <m/>
    <x v="1"/>
    <n v="1.1891985935077232"/>
  </r>
  <r>
    <x v="2"/>
    <x v="1"/>
    <x v="0"/>
    <x v="0"/>
    <x v="0"/>
    <x v="1"/>
    <x v="0"/>
    <x v="0"/>
    <x v="1"/>
    <x v="1"/>
    <n v="4"/>
    <n v="7"/>
    <n v="0"/>
    <m/>
    <x v="1"/>
    <n v="0.58586872705327608"/>
  </r>
  <r>
    <x v="10"/>
    <x v="0"/>
    <x v="0"/>
    <x v="2"/>
    <x v="1"/>
    <x v="0"/>
    <x v="0"/>
    <x v="1"/>
    <x v="0"/>
    <x v="1"/>
    <n v="3"/>
    <n v="8"/>
    <n v="0"/>
    <m/>
    <x v="1"/>
    <n v="0.66813965328171143"/>
  </r>
  <r>
    <x v="1"/>
    <x v="0"/>
    <x v="1"/>
    <x v="2"/>
    <x v="0"/>
    <x v="1"/>
    <x v="0"/>
    <x v="0"/>
    <x v="1"/>
    <x v="0"/>
    <n v="1"/>
    <n v="2"/>
    <n v="0"/>
    <m/>
    <x v="0"/>
    <n v="0.10461559458137147"/>
  </r>
  <r>
    <x v="2"/>
    <x v="0"/>
    <x v="1"/>
    <x v="0"/>
    <x v="3"/>
    <x v="1"/>
    <x v="0"/>
    <x v="0"/>
    <x v="2"/>
    <x v="9"/>
    <n v="2"/>
    <n v="3"/>
    <n v="0"/>
    <m/>
    <x v="1"/>
    <n v="0.66498267382666365"/>
  </r>
  <r>
    <x v="21"/>
    <x v="1"/>
    <x v="1"/>
    <x v="0"/>
    <x v="0"/>
    <x v="0"/>
    <x v="0"/>
    <x v="1"/>
    <x v="0"/>
    <x v="0"/>
    <n v="2"/>
    <n v="3"/>
    <n v="0"/>
    <m/>
    <x v="1"/>
    <n v="0.14014657827847735"/>
  </r>
  <r>
    <x v="17"/>
    <x v="1"/>
    <x v="1"/>
    <x v="0"/>
    <x v="0"/>
    <x v="0"/>
    <x v="1"/>
    <x v="0"/>
    <x v="1"/>
    <x v="5"/>
    <n v="4"/>
    <n v="6"/>
    <n v="0"/>
    <n v="4"/>
    <x v="0"/>
    <n v="9.0117584641118811E-2"/>
  </r>
  <r>
    <x v="10"/>
    <x v="1"/>
    <x v="1"/>
    <x v="0"/>
    <x v="3"/>
    <x v="1"/>
    <x v="0"/>
    <x v="1"/>
    <x v="1"/>
    <x v="8"/>
    <n v="1"/>
    <n v="1"/>
    <n v="0"/>
    <m/>
    <x v="1"/>
    <n v="0.11197715523543472"/>
  </r>
  <r>
    <x v="8"/>
    <x v="1"/>
    <x v="0"/>
    <x v="2"/>
    <x v="0"/>
    <x v="0"/>
    <x v="0"/>
    <x v="0"/>
    <x v="1"/>
    <x v="0"/>
    <n v="13"/>
    <n v="14"/>
    <n v="0"/>
    <m/>
    <x v="1"/>
    <n v="0.80551652028098641"/>
  </r>
  <r>
    <x v="19"/>
    <x v="0"/>
    <x v="0"/>
    <x v="2"/>
    <x v="0"/>
    <x v="0"/>
    <x v="0"/>
    <x v="0"/>
    <x v="2"/>
    <x v="8"/>
    <n v="1"/>
    <n v="2"/>
    <n v="0"/>
    <m/>
    <x v="1"/>
    <n v="0.2423433124072577"/>
  </r>
  <r>
    <x v="14"/>
    <x v="1"/>
    <x v="0"/>
    <x v="2"/>
    <x v="2"/>
    <x v="0"/>
    <x v="1"/>
    <x v="1"/>
    <x v="1"/>
    <x v="4"/>
    <n v="1"/>
    <n v="1"/>
    <n v="0"/>
    <m/>
    <x v="1"/>
    <n v="4.066159666363986E-2"/>
  </r>
  <r>
    <x v="9"/>
    <x v="0"/>
    <x v="1"/>
    <x v="1"/>
    <x v="0"/>
    <x v="0"/>
    <x v="0"/>
    <x v="0"/>
    <x v="1"/>
    <x v="6"/>
    <n v="8"/>
    <n v="9"/>
    <n v="0"/>
    <n v="8"/>
    <x v="0"/>
    <n v="8.6659516469036177E-2"/>
  </r>
  <r>
    <x v="5"/>
    <x v="0"/>
    <x v="0"/>
    <x v="0"/>
    <x v="2"/>
    <x v="1"/>
    <x v="1"/>
    <x v="1"/>
    <x v="1"/>
    <x v="4"/>
    <n v="4"/>
    <n v="4"/>
    <n v="0"/>
    <n v="4"/>
    <x v="0"/>
    <n v="0.16101869871273908"/>
  </r>
  <r>
    <x v="17"/>
    <x v="0"/>
    <x v="0"/>
    <x v="0"/>
    <x v="2"/>
    <x v="0"/>
    <x v="0"/>
    <x v="1"/>
    <x v="2"/>
    <x v="9"/>
    <n v="9"/>
    <n v="10"/>
    <n v="3"/>
    <n v="9"/>
    <x v="0"/>
    <n v="1.3329849722570279"/>
  </r>
  <r>
    <x v="9"/>
    <x v="0"/>
    <x v="0"/>
    <x v="0"/>
    <x v="0"/>
    <x v="1"/>
    <x v="0"/>
    <x v="0"/>
    <x v="2"/>
    <x v="9"/>
    <n v="1"/>
    <n v="1"/>
    <n v="0"/>
    <n v="1"/>
    <x v="0"/>
    <n v="0.1710116934768498"/>
  </r>
  <r>
    <x v="20"/>
    <x v="0"/>
    <x v="1"/>
    <x v="0"/>
    <x v="3"/>
    <x v="1"/>
    <x v="0"/>
    <x v="1"/>
    <x v="2"/>
    <x v="9"/>
    <n v="3"/>
    <n v="5"/>
    <n v="0"/>
    <n v="3"/>
    <x v="0"/>
    <n v="1.1083044563777726"/>
  </r>
  <r>
    <x v="2"/>
    <x v="1"/>
    <x v="0"/>
    <x v="0"/>
    <x v="2"/>
    <x v="1"/>
    <x v="0"/>
    <x v="0"/>
    <x v="1"/>
    <x v="8"/>
    <n v="1"/>
    <n v="1"/>
    <n v="0"/>
    <m/>
    <x v="1"/>
    <n v="0.118193115915998"/>
  </r>
  <r>
    <x v="8"/>
    <x v="1"/>
    <x v="0"/>
    <x v="0"/>
    <x v="2"/>
    <x v="0"/>
    <x v="0"/>
    <x v="1"/>
    <x v="2"/>
    <x v="9"/>
    <n v="7"/>
    <n v="9"/>
    <n v="1"/>
    <m/>
    <x v="1"/>
    <n v="1.6979763459146728"/>
  </r>
  <r>
    <x v="14"/>
    <x v="0"/>
    <x v="0"/>
    <x v="0"/>
    <x v="2"/>
    <x v="1"/>
    <x v="0"/>
    <x v="0"/>
    <x v="0"/>
    <x v="8"/>
    <n v="1"/>
    <n v="2"/>
    <n v="0"/>
    <m/>
    <x v="1"/>
    <n v="0.23756451250297758"/>
  </r>
  <r>
    <x v="6"/>
    <x v="1"/>
    <x v="0"/>
    <x v="2"/>
    <x v="2"/>
    <x v="1"/>
    <x v="0"/>
    <x v="1"/>
    <x v="1"/>
    <x v="9"/>
    <n v="2"/>
    <n v="2"/>
    <n v="0"/>
    <m/>
    <x v="1"/>
    <n v="0.29979095700764463"/>
  </r>
  <r>
    <x v="10"/>
    <x v="1"/>
    <x v="0"/>
    <x v="0"/>
    <x v="0"/>
    <x v="0"/>
    <x v="0"/>
    <x v="1"/>
    <x v="2"/>
    <x v="9"/>
    <n v="3"/>
    <n v="4"/>
    <n v="0"/>
    <m/>
    <x v="1"/>
    <n v="0.54715378918665358"/>
  </r>
  <r>
    <x v="8"/>
    <x v="1"/>
    <x v="1"/>
    <x v="0"/>
    <x v="0"/>
    <x v="0"/>
    <x v="1"/>
    <x v="1"/>
    <x v="1"/>
    <x v="5"/>
    <n v="3"/>
    <n v="4"/>
    <n v="0"/>
    <m/>
    <x v="1"/>
    <n v="6.0078389760745872E-2"/>
  </r>
  <r>
    <x v="11"/>
    <x v="1"/>
    <x v="1"/>
    <x v="0"/>
    <x v="0"/>
    <x v="1"/>
    <x v="1"/>
    <x v="1"/>
    <x v="1"/>
    <x v="7"/>
    <n v="1"/>
    <n v="1"/>
    <n v="0"/>
    <m/>
    <x v="1"/>
    <n v="2.9138416298841268E-2"/>
  </r>
  <r>
    <x v="7"/>
    <x v="1"/>
    <x v="0"/>
    <x v="0"/>
    <x v="2"/>
    <x v="0"/>
    <x v="0"/>
    <x v="1"/>
    <x v="2"/>
    <x v="9"/>
    <n v="1"/>
    <n v="9"/>
    <n v="0"/>
    <m/>
    <x v="1"/>
    <n v="1.6979763459146728"/>
  </r>
  <r>
    <x v="14"/>
    <x v="0"/>
    <x v="1"/>
    <x v="0"/>
    <x v="2"/>
    <x v="1"/>
    <x v="0"/>
    <x v="0"/>
    <x v="0"/>
    <x v="8"/>
    <n v="1"/>
    <n v="1"/>
    <n v="0"/>
    <m/>
    <x v="1"/>
    <n v="8.5600473827371765E-2"/>
  </r>
  <r>
    <x v="18"/>
    <x v="1"/>
    <x v="0"/>
    <x v="0"/>
    <x v="0"/>
    <x v="0"/>
    <x v="1"/>
    <x v="0"/>
    <x v="2"/>
    <x v="1"/>
    <n v="1"/>
    <n v="1"/>
    <n v="0"/>
    <m/>
    <x v="1"/>
    <n v="6.974431660442891E-2"/>
  </r>
  <r>
    <x v="15"/>
    <x v="0"/>
    <x v="0"/>
    <x v="1"/>
    <x v="2"/>
    <x v="0"/>
    <x v="1"/>
    <x v="1"/>
    <x v="0"/>
    <x v="5"/>
    <n v="1"/>
    <n v="1"/>
    <n v="0"/>
    <n v="1"/>
    <x v="0"/>
    <n v="1.4562828746708278E-2"/>
  </r>
  <r>
    <x v="0"/>
    <x v="0"/>
    <x v="0"/>
    <x v="0"/>
    <x v="0"/>
    <x v="0"/>
    <x v="0"/>
    <x v="1"/>
    <x v="2"/>
    <x v="8"/>
    <n v="8"/>
    <n v="9"/>
    <n v="0"/>
    <n v="8"/>
    <x v="0"/>
    <n v="0.85379714755808811"/>
  </r>
  <r>
    <x v="7"/>
    <x v="0"/>
    <x v="0"/>
    <x v="0"/>
    <x v="2"/>
    <x v="0"/>
    <x v="0"/>
    <x v="1"/>
    <x v="1"/>
    <x v="2"/>
    <n v="6"/>
    <n v="7"/>
    <n v="0"/>
    <m/>
    <x v="1"/>
    <n v="0.30169824558351538"/>
  </r>
  <r>
    <x v="2"/>
    <x v="0"/>
    <x v="0"/>
    <x v="0"/>
    <x v="3"/>
    <x v="1"/>
    <x v="0"/>
    <x v="1"/>
    <x v="0"/>
    <x v="9"/>
    <n v="3"/>
    <n v="6"/>
    <n v="0"/>
    <m/>
    <x v="1"/>
    <n v="0.92640139035621394"/>
  </r>
  <r>
    <x v="18"/>
    <x v="0"/>
    <x v="1"/>
    <x v="0"/>
    <x v="1"/>
    <x v="0"/>
    <x v="0"/>
    <x v="1"/>
    <x v="2"/>
    <x v="8"/>
    <n v="1"/>
    <n v="2"/>
    <n v="0"/>
    <m/>
    <x v="1"/>
    <n v="0.19501429618872929"/>
  </r>
  <r>
    <x v="12"/>
    <x v="0"/>
    <x v="0"/>
    <x v="0"/>
    <x v="0"/>
    <x v="0"/>
    <x v="1"/>
    <x v="0"/>
    <x v="1"/>
    <x v="6"/>
    <n v="7"/>
    <n v="7"/>
    <n v="0"/>
    <m/>
    <x v="1"/>
    <n v="0.10019885105982157"/>
  </r>
  <r>
    <x v="10"/>
    <x v="0"/>
    <x v="0"/>
    <x v="2"/>
    <x v="0"/>
    <x v="0"/>
    <x v="0"/>
    <x v="0"/>
    <x v="1"/>
    <x v="4"/>
    <n v="12"/>
    <n v="15"/>
    <n v="0"/>
    <m/>
    <x v="1"/>
    <n v="0.58216927834949994"/>
  </r>
  <r>
    <x v="1"/>
    <x v="0"/>
    <x v="0"/>
    <x v="1"/>
    <x v="2"/>
    <x v="1"/>
    <x v="1"/>
    <x v="1"/>
    <x v="0"/>
    <x v="7"/>
    <n v="2"/>
    <n v="2"/>
    <n v="0"/>
    <n v="2"/>
    <x v="0"/>
    <n v="5.6529188222429375E-2"/>
  </r>
  <r>
    <x v="8"/>
    <x v="1"/>
    <x v="1"/>
    <x v="2"/>
    <x v="1"/>
    <x v="1"/>
    <x v="0"/>
    <x v="1"/>
    <x v="1"/>
    <x v="8"/>
    <n v="1"/>
    <n v="1"/>
    <n v="0"/>
    <m/>
    <x v="1"/>
    <n v="0.11021444940518223"/>
  </r>
  <r>
    <x v="4"/>
    <x v="0"/>
    <x v="0"/>
    <x v="0"/>
    <x v="3"/>
    <x v="1"/>
    <x v="0"/>
    <x v="1"/>
    <x v="2"/>
    <x v="9"/>
    <n v="3"/>
    <n v="4"/>
    <n v="0"/>
    <m/>
    <x v="1"/>
    <n v="1.163243134171414"/>
  </r>
  <r>
    <x v="9"/>
    <x v="0"/>
    <x v="1"/>
    <x v="0"/>
    <x v="3"/>
    <x v="0"/>
    <x v="1"/>
    <x v="1"/>
    <x v="0"/>
    <x v="7"/>
    <n v="2"/>
    <n v="2"/>
    <n v="0"/>
    <n v="2"/>
    <x v="0"/>
    <n v="5.9161704231392012E-2"/>
  </r>
  <r>
    <x v="9"/>
    <x v="0"/>
    <x v="1"/>
    <x v="1"/>
    <x v="0"/>
    <x v="0"/>
    <x v="0"/>
    <x v="1"/>
    <x v="0"/>
    <x v="5"/>
    <n v="3"/>
    <n v="3"/>
    <n v="0"/>
    <n v="3"/>
    <x v="0"/>
    <n v="4.3702495657158974E-2"/>
  </r>
  <r>
    <x v="20"/>
    <x v="1"/>
    <x v="1"/>
    <x v="1"/>
    <x v="1"/>
    <x v="1"/>
    <x v="0"/>
    <x v="1"/>
    <x v="1"/>
    <x v="4"/>
    <n v="1"/>
    <n v="1"/>
    <n v="0"/>
    <n v="1"/>
    <x v="0"/>
    <n v="4.1176226521704343E-2"/>
  </r>
  <r>
    <x v="17"/>
    <x v="0"/>
    <x v="1"/>
    <x v="2"/>
    <x v="0"/>
    <x v="0"/>
    <x v="0"/>
    <x v="0"/>
    <x v="1"/>
    <x v="7"/>
    <n v="2"/>
    <n v="3"/>
    <n v="0"/>
    <n v="2"/>
    <x v="0"/>
    <n v="8.1833526001017565E-2"/>
  </r>
  <r>
    <x v="14"/>
    <x v="0"/>
    <x v="0"/>
    <x v="0"/>
    <x v="2"/>
    <x v="1"/>
    <x v="1"/>
    <x v="1"/>
    <x v="1"/>
    <x v="4"/>
    <n v="6"/>
    <n v="9"/>
    <n v="0"/>
    <m/>
    <x v="1"/>
    <n v="0.36229207210366293"/>
  </r>
  <r>
    <x v="16"/>
    <x v="1"/>
    <x v="1"/>
    <x v="0"/>
    <x v="2"/>
    <x v="0"/>
    <x v="1"/>
    <x v="0"/>
    <x v="1"/>
    <x v="7"/>
    <n v="1"/>
    <n v="1"/>
    <n v="0"/>
    <m/>
    <x v="1"/>
    <n v="2.1886493307591109E-2"/>
  </r>
  <r>
    <x v="16"/>
    <x v="0"/>
    <x v="1"/>
    <x v="0"/>
    <x v="1"/>
    <x v="1"/>
    <x v="0"/>
    <x v="1"/>
    <x v="2"/>
    <x v="9"/>
    <n v="2"/>
    <n v="3"/>
    <n v="0"/>
    <m/>
    <x v="1"/>
    <n v="0.52608446281763066"/>
  </r>
  <r>
    <x v="11"/>
    <x v="0"/>
    <x v="0"/>
    <x v="0"/>
    <x v="2"/>
    <x v="0"/>
    <x v="1"/>
    <x v="1"/>
    <x v="2"/>
    <x v="1"/>
    <n v="2"/>
    <n v="2"/>
    <n v="0"/>
    <m/>
    <x v="1"/>
    <n v="0.13566096786848825"/>
  </r>
  <r>
    <x v="7"/>
    <x v="0"/>
    <x v="0"/>
    <x v="0"/>
    <x v="0"/>
    <x v="0"/>
    <x v="1"/>
    <x v="1"/>
    <x v="1"/>
    <x v="6"/>
    <n v="8"/>
    <n v="10"/>
    <n v="0"/>
    <m/>
    <x v="1"/>
    <n v="0.14314121579974512"/>
  </r>
  <r>
    <x v="19"/>
    <x v="0"/>
    <x v="0"/>
    <x v="1"/>
    <x v="1"/>
    <x v="1"/>
    <x v="0"/>
    <x v="1"/>
    <x v="2"/>
    <x v="8"/>
    <n v="2"/>
    <n v="3"/>
    <n v="0"/>
    <m/>
    <x v="1"/>
    <n v="0.36762021842103426"/>
  </r>
  <r>
    <x v="11"/>
    <x v="0"/>
    <x v="1"/>
    <x v="0"/>
    <x v="2"/>
    <x v="1"/>
    <x v="0"/>
    <x v="1"/>
    <x v="0"/>
    <x v="8"/>
    <n v="1"/>
    <n v="1"/>
    <n v="0"/>
    <m/>
    <x v="1"/>
    <n v="8.5600473827371765E-2"/>
  </r>
  <r>
    <x v="5"/>
    <x v="0"/>
    <x v="1"/>
    <x v="0"/>
    <x v="0"/>
    <x v="1"/>
    <x v="0"/>
    <x v="0"/>
    <x v="1"/>
    <x v="4"/>
    <n v="2"/>
    <n v="2"/>
    <n v="0"/>
    <n v="2"/>
    <x v="0"/>
    <n v="8.0534492687672668E-2"/>
  </r>
  <r>
    <x v="1"/>
    <x v="0"/>
    <x v="0"/>
    <x v="0"/>
    <x v="0"/>
    <x v="1"/>
    <x v="0"/>
    <x v="1"/>
    <x v="1"/>
    <x v="0"/>
    <n v="2"/>
    <n v="2"/>
    <n v="0"/>
    <n v="2"/>
    <x v="0"/>
    <n v="0.11394224284163047"/>
  </r>
  <r>
    <x v="9"/>
    <x v="0"/>
    <x v="0"/>
    <x v="1"/>
    <x v="2"/>
    <x v="0"/>
    <x v="0"/>
    <x v="0"/>
    <x v="1"/>
    <x v="5"/>
    <n v="1"/>
    <n v="1"/>
    <n v="0"/>
    <n v="1"/>
    <x v="0"/>
    <n v="2.0129311329445246E-2"/>
  </r>
  <r>
    <x v="12"/>
    <x v="0"/>
    <x v="0"/>
    <x v="2"/>
    <x v="1"/>
    <x v="0"/>
    <x v="0"/>
    <x v="1"/>
    <x v="0"/>
    <x v="1"/>
    <n v="11"/>
    <n v="15"/>
    <n v="1"/>
    <m/>
    <x v="1"/>
    <n v="1.2527618499032089"/>
  </r>
  <r>
    <x v="19"/>
    <x v="0"/>
    <x v="0"/>
    <x v="2"/>
    <x v="2"/>
    <x v="0"/>
    <x v="0"/>
    <x v="1"/>
    <x v="1"/>
    <x v="0"/>
    <n v="1"/>
    <n v="1"/>
    <n v="0"/>
    <m/>
    <x v="1"/>
    <n v="5.5937898870790044E-2"/>
  </r>
  <r>
    <x v="2"/>
    <x v="0"/>
    <x v="0"/>
    <x v="0"/>
    <x v="2"/>
    <x v="0"/>
    <x v="0"/>
    <x v="1"/>
    <x v="1"/>
    <x v="2"/>
    <n v="7"/>
    <n v="7"/>
    <n v="0"/>
    <m/>
    <x v="1"/>
    <n v="0.30169824558351538"/>
  </r>
  <r>
    <x v="17"/>
    <x v="0"/>
    <x v="1"/>
    <x v="2"/>
    <x v="1"/>
    <x v="0"/>
    <x v="0"/>
    <x v="1"/>
    <x v="2"/>
    <x v="8"/>
    <n v="1"/>
    <n v="2"/>
    <n v="0"/>
    <m/>
    <x v="0"/>
    <n v="0.24888808001119248"/>
  </r>
  <r>
    <x v="12"/>
    <x v="1"/>
    <x v="1"/>
    <x v="0"/>
    <x v="2"/>
    <x v="1"/>
    <x v="1"/>
    <x v="1"/>
    <x v="1"/>
    <x v="2"/>
    <n v="1"/>
    <n v="1"/>
    <n v="0"/>
    <m/>
    <x v="1"/>
    <n v="4.2183923792892507E-2"/>
  </r>
  <r>
    <x v="14"/>
    <x v="1"/>
    <x v="0"/>
    <x v="2"/>
    <x v="2"/>
    <x v="0"/>
    <x v="0"/>
    <x v="0"/>
    <x v="1"/>
    <x v="1"/>
    <n v="1"/>
    <n v="1"/>
    <n v="0"/>
    <m/>
    <x v="1"/>
    <n v="8.221989569595807E-2"/>
  </r>
  <r>
    <x v="19"/>
    <x v="0"/>
    <x v="0"/>
    <x v="2"/>
    <x v="2"/>
    <x v="0"/>
    <x v="0"/>
    <x v="1"/>
    <x v="0"/>
    <x v="1"/>
    <n v="1"/>
    <n v="4"/>
    <n v="0"/>
    <m/>
    <x v="1"/>
    <n v="0.33058612471095111"/>
  </r>
  <r>
    <x v="20"/>
    <x v="0"/>
    <x v="0"/>
    <x v="2"/>
    <x v="0"/>
    <x v="1"/>
    <x v="0"/>
    <x v="1"/>
    <x v="0"/>
    <x v="8"/>
    <n v="1"/>
    <n v="1"/>
    <n v="0"/>
    <n v="1"/>
    <x v="0"/>
    <n v="0.10781175572643616"/>
  </r>
  <r>
    <x v="12"/>
    <x v="0"/>
    <x v="0"/>
    <x v="2"/>
    <x v="1"/>
    <x v="1"/>
    <x v="0"/>
    <x v="1"/>
    <x v="1"/>
    <x v="8"/>
    <n v="6"/>
    <n v="6"/>
    <n v="0"/>
    <m/>
    <x v="1"/>
    <n v="0.63309979180828335"/>
  </r>
  <r>
    <x v="9"/>
    <x v="1"/>
    <x v="1"/>
    <x v="2"/>
    <x v="3"/>
    <x v="1"/>
    <x v="0"/>
    <x v="1"/>
    <x v="2"/>
    <x v="9"/>
    <n v="1"/>
    <n v="1"/>
    <n v="0"/>
    <n v="1"/>
    <x v="0"/>
    <n v="0.36160791219919358"/>
  </r>
  <r>
    <x v="9"/>
    <x v="0"/>
    <x v="0"/>
    <x v="1"/>
    <x v="1"/>
    <x v="1"/>
    <x v="0"/>
    <x v="1"/>
    <x v="1"/>
    <x v="4"/>
    <n v="5"/>
    <n v="6"/>
    <n v="0"/>
    <n v="5"/>
    <x v="0"/>
    <n v="0.23574703877313608"/>
  </r>
  <r>
    <x v="21"/>
    <x v="1"/>
    <x v="0"/>
    <x v="2"/>
    <x v="2"/>
    <x v="0"/>
    <x v="1"/>
    <x v="0"/>
    <x v="2"/>
    <x v="9"/>
    <n v="1"/>
    <n v="1"/>
    <n v="0"/>
    <m/>
    <x v="1"/>
    <n v="0.1264319832806283"/>
  </r>
  <r>
    <x v="2"/>
    <x v="0"/>
    <x v="0"/>
    <x v="0"/>
    <x v="2"/>
    <x v="0"/>
    <x v="1"/>
    <x v="1"/>
    <x v="2"/>
    <x v="1"/>
    <n v="1"/>
    <n v="4"/>
    <n v="0"/>
    <m/>
    <x v="1"/>
    <n v="0.27132193573697649"/>
  </r>
  <r>
    <x v="7"/>
    <x v="1"/>
    <x v="0"/>
    <x v="2"/>
    <x v="2"/>
    <x v="0"/>
    <x v="0"/>
    <x v="1"/>
    <x v="2"/>
    <x v="9"/>
    <n v="4"/>
    <n v="5"/>
    <n v="0"/>
    <m/>
    <x v="1"/>
    <n v="1.1712361965549472"/>
  </r>
  <r>
    <x v="3"/>
    <x v="0"/>
    <x v="1"/>
    <x v="0"/>
    <x v="2"/>
    <x v="1"/>
    <x v="1"/>
    <x v="1"/>
    <x v="1"/>
    <x v="7"/>
    <n v="2"/>
    <n v="2"/>
    <n v="0"/>
    <m/>
    <x v="1"/>
    <n v="5.6609868750299878E-2"/>
  </r>
  <r>
    <x v="17"/>
    <x v="0"/>
    <x v="1"/>
    <x v="1"/>
    <x v="2"/>
    <x v="0"/>
    <x v="0"/>
    <x v="0"/>
    <x v="0"/>
    <x v="5"/>
    <n v="1"/>
    <n v="1"/>
    <n v="0"/>
    <n v="1"/>
    <x v="0"/>
    <n v="2.1232152294556311E-2"/>
  </r>
  <r>
    <x v="4"/>
    <x v="0"/>
    <x v="0"/>
    <x v="2"/>
    <x v="1"/>
    <x v="0"/>
    <x v="0"/>
    <x v="1"/>
    <x v="2"/>
    <x v="9"/>
    <n v="3"/>
    <n v="10"/>
    <n v="0"/>
    <m/>
    <x v="1"/>
    <n v="1.6988551335824618"/>
  </r>
  <r>
    <x v="16"/>
    <x v="1"/>
    <x v="0"/>
    <x v="0"/>
    <x v="2"/>
    <x v="0"/>
    <x v="1"/>
    <x v="1"/>
    <x v="1"/>
    <x v="4"/>
    <n v="7"/>
    <n v="9"/>
    <n v="0"/>
    <m/>
    <x v="1"/>
    <n v="0.28092193706111918"/>
  </r>
  <r>
    <x v="17"/>
    <x v="0"/>
    <x v="0"/>
    <x v="0"/>
    <x v="2"/>
    <x v="0"/>
    <x v="1"/>
    <x v="0"/>
    <x v="0"/>
    <x v="4"/>
    <n v="1"/>
    <n v="1"/>
    <n v="0"/>
    <n v="1"/>
    <x v="0"/>
    <n v="3.1384565006669626E-2"/>
  </r>
  <r>
    <x v="14"/>
    <x v="0"/>
    <x v="1"/>
    <x v="0"/>
    <x v="0"/>
    <x v="0"/>
    <x v="1"/>
    <x v="0"/>
    <x v="1"/>
    <x v="6"/>
    <n v="5"/>
    <n v="5"/>
    <n v="0"/>
    <m/>
    <x v="1"/>
    <n v="4.9924056743669509E-2"/>
  </r>
  <r>
    <x v="0"/>
    <x v="1"/>
    <x v="0"/>
    <x v="2"/>
    <x v="2"/>
    <x v="1"/>
    <x v="0"/>
    <x v="1"/>
    <x v="1"/>
    <x v="9"/>
    <n v="2"/>
    <n v="2"/>
    <n v="0"/>
    <n v="2"/>
    <x v="0"/>
    <n v="0.29979095700764463"/>
  </r>
  <r>
    <x v="20"/>
    <x v="1"/>
    <x v="0"/>
    <x v="2"/>
    <x v="0"/>
    <x v="0"/>
    <x v="1"/>
    <x v="1"/>
    <x v="0"/>
    <x v="2"/>
    <n v="1"/>
    <n v="1"/>
    <n v="0"/>
    <n v="1"/>
    <x v="0"/>
    <n v="4.2069997453546046E-2"/>
  </r>
  <r>
    <x v="0"/>
    <x v="0"/>
    <x v="1"/>
    <x v="0"/>
    <x v="0"/>
    <x v="0"/>
    <x v="0"/>
    <x v="0"/>
    <x v="2"/>
    <x v="1"/>
    <n v="1"/>
    <n v="1"/>
    <n v="0"/>
    <n v="1"/>
    <x v="0"/>
    <n v="6.785105877159095E-2"/>
  </r>
  <r>
    <x v="18"/>
    <x v="0"/>
    <x v="0"/>
    <x v="0"/>
    <x v="0"/>
    <x v="0"/>
    <x v="0"/>
    <x v="0"/>
    <x v="0"/>
    <x v="0"/>
    <n v="2"/>
    <n v="2"/>
    <n v="0"/>
    <m/>
    <x v="1"/>
    <n v="8.9177351230152496E-2"/>
  </r>
  <r>
    <x v="17"/>
    <x v="0"/>
    <x v="0"/>
    <x v="0"/>
    <x v="2"/>
    <x v="0"/>
    <x v="1"/>
    <x v="0"/>
    <x v="1"/>
    <x v="5"/>
    <n v="2"/>
    <n v="2"/>
    <n v="0"/>
    <n v="2"/>
    <x v="0"/>
    <n v="4.1730618848715956E-2"/>
  </r>
  <r>
    <x v="19"/>
    <x v="1"/>
    <x v="1"/>
    <x v="1"/>
    <x v="1"/>
    <x v="0"/>
    <x v="0"/>
    <x v="1"/>
    <x v="1"/>
    <x v="5"/>
    <n v="2"/>
    <n v="2"/>
    <n v="0"/>
    <m/>
    <x v="1"/>
    <n v="4.270571089939363E-2"/>
  </r>
  <r>
    <x v="22"/>
    <x v="0"/>
    <x v="0"/>
    <x v="1"/>
    <x v="0"/>
    <x v="0"/>
    <x v="1"/>
    <x v="1"/>
    <x v="0"/>
    <x v="6"/>
    <n v="1"/>
    <n v="1"/>
    <n v="0"/>
    <n v="1"/>
    <x v="0"/>
    <n v="9.9703130635719027E-3"/>
  </r>
  <r>
    <x v="12"/>
    <x v="0"/>
    <x v="1"/>
    <x v="0"/>
    <x v="2"/>
    <x v="0"/>
    <x v="0"/>
    <x v="1"/>
    <x v="0"/>
    <x v="0"/>
    <n v="2"/>
    <n v="2"/>
    <n v="0"/>
    <m/>
    <x v="1"/>
    <n v="9.080555443469232E-2"/>
  </r>
  <r>
    <x v="11"/>
    <x v="1"/>
    <x v="1"/>
    <x v="0"/>
    <x v="0"/>
    <x v="1"/>
    <x v="0"/>
    <x v="1"/>
    <x v="2"/>
    <x v="9"/>
    <n v="1"/>
    <n v="1"/>
    <n v="0"/>
    <m/>
    <x v="1"/>
    <n v="0.17804506696932551"/>
  </r>
  <r>
    <x v="7"/>
    <x v="1"/>
    <x v="0"/>
    <x v="1"/>
    <x v="0"/>
    <x v="0"/>
    <x v="1"/>
    <x v="0"/>
    <x v="1"/>
    <x v="6"/>
    <n v="3"/>
    <n v="4"/>
    <n v="0"/>
    <m/>
    <x v="1"/>
    <n v="3.9659159156359182E-2"/>
  </r>
  <r>
    <x v="7"/>
    <x v="0"/>
    <x v="1"/>
    <x v="0"/>
    <x v="2"/>
    <x v="1"/>
    <x v="0"/>
    <x v="1"/>
    <x v="0"/>
    <x v="8"/>
    <n v="1"/>
    <n v="1"/>
    <n v="0"/>
    <m/>
    <x v="1"/>
    <n v="8.5600473827371765E-2"/>
  </r>
  <r>
    <x v="17"/>
    <x v="1"/>
    <x v="0"/>
    <x v="0"/>
    <x v="2"/>
    <x v="0"/>
    <x v="0"/>
    <x v="0"/>
    <x v="1"/>
    <x v="3"/>
    <n v="2"/>
    <n v="3"/>
    <n v="0"/>
    <n v="2"/>
    <x v="0"/>
    <n v="0.19127161148809305"/>
  </r>
  <r>
    <x v="14"/>
    <x v="0"/>
    <x v="1"/>
    <x v="0"/>
    <x v="1"/>
    <x v="1"/>
    <x v="0"/>
    <x v="1"/>
    <x v="0"/>
    <x v="8"/>
    <n v="1"/>
    <n v="2"/>
    <n v="0"/>
    <m/>
    <x v="1"/>
    <n v="0.17299918527904329"/>
  </r>
  <r>
    <x v="7"/>
    <x v="0"/>
    <x v="1"/>
    <x v="0"/>
    <x v="3"/>
    <x v="0"/>
    <x v="0"/>
    <x v="1"/>
    <x v="2"/>
    <x v="9"/>
    <n v="1"/>
    <n v="1"/>
    <n v="0"/>
    <m/>
    <x v="1"/>
    <n v="0.1264019958894318"/>
  </r>
  <r>
    <x v="0"/>
    <x v="0"/>
    <x v="1"/>
    <x v="0"/>
    <x v="0"/>
    <x v="1"/>
    <x v="0"/>
    <x v="0"/>
    <x v="0"/>
    <x v="3"/>
    <n v="3"/>
    <n v="3"/>
    <n v="1"/>
    <n v="3"/>
    <x v="0"/>
    <n v="0.17990673543263827"/>
  </r>
  <r>
    <x v="9"/>
    <x v="1"/>
    <x v="0"/>
    <x v="0"/>
    <x v="3"/>
    <x v="1"/>
    <x v="1"/>
    <x v="1"/>
    <x v="1"/>
    <x v="1"/>
    <n v="1"/>
    <n v="1"/>
    <n v="0"/>
    <n v="1"/>
    <x v="0"/>
    <n v="7.9107339630020743E-2"/>
  </r>
  <r>
    <x v="9"/>
    <x v="0"/>
    <x v="1"/>
    <x v="0"/>
    <x v="0"/>
    <x v="0"/>
    <x v="1"/>
    <x v="0"/>
    <x v="1"/>
    <x v="6"/>
    <n v="3"/>
    <n v="3"/>
    <n v="0"/>
    <n v="3"/>
    <x v="0"/>
    <n v="2.9954434046201708E-2"/>
  </r>
  <r>
    <x v="7"/>
    <x v="0"/>
    <x v="0"/>
    <x v="0"/>
    <x v="3"/>
    <x v="1"/>
    <x v="0"/>
    <x v="0"/>
    <x v="1"/>
    <x v="8"/>
    <n v="3"/>
    <n v="5"/>
    <n v="0"/>
    <m/>
    <x v="1"/>
    <n v="0.53606628402664647"/>
  </r>
  <r>
    <x v="15"/>
    <x v="0"/>
    <x v="1"/>
    <x v="0"/>
    <x v="3"/>
    <x v="1"/>
    <x v="0"/>
    <x v="1"/>
    <x v="0"/>
    <x v="8"/>
    <n v="1"/>
    <n v="1"/>
    <n v="0"/>
    <n v="1"/>
    <x v="0"/>
    <n v="0.11253926602183867"/>
  </r>
  <r>
    <x v="13"/>
    <x v="1"/>
    <x v="0"/>
    <x v="1"/>
    <x v="0"/>
    <x v="0"/>
    <x v="1"/>
    <x v="1"/>
    <x v="0"/>
    <x v="5"/>
    <n v="1"/>
    <n v="1"/>
    <n v="0"/>
    <m/>
    <x v="1"/>
    <n v="1.4997899225310888E-2"/>
  </r>
  <r>
    <x v="9"/>
    <x v="1"/>
    <x v="0"/>
    <x v="2"/>
    <x v="0"/>
    <x v="0"/>
    <x v="1"/>
    <x v="0"/>
    <x v="2"/>
    <x v="8"/>
    <n v="2"/>
    <n v="2"/>
    <n v="0"/>
    <n v="2"/>
    <x v="0"/>
    <n v="0.17954900146378353"/>
  </r>
  <r>
    <x v="16"/>
    <x v="0"/>
    <x v="0"/>
    <x v="1"/>
    <x v="0"/>
    <x v="1"/>
    <x v="0"/>
    <x v="0"/>
    <x v="1"/>
    <x v="7"/>
    <n v="2"/>
    <n v="3"/>
    <n v="0"/>
    <m/>
    <x v="1"/>
    <n v="8.044490172347675E-2"/>
  </r>
  <r>
    <x v="7"/>
    <x v="1"/>
    <x v="0"/>
    <x v="0"/>
    <x v="0"/>
    <x v="0"/>
    <x v="1"/>
    <x v="0"/>
    <x v="2"/>
    <x v="1"/>
    <n v="1"/>
    <n v="1"/>
    <n v="0"/>
    <m/>
    <x v="1"/>
    <n v="6.974431660442891E-2"/>
  </r>
  <r>
    <x v="19"/>
    <x v="1"/>
    <x v="0"/>
    <x v="1"/>
    <x v="0"/>
    <x v="0"/>
    <x v="0"/>
    <x v="1"/>
    <x v="1"/>
    <x v="5"/>
    <n v="1"/>
    <n v="1"/>
    <n v="0"/>
    <m/>
    <x v="1"/>
    <n v="2.0727184867413109E-2"/>
  </r>
  <r>
    <x v="17"/>
    <x v="1"/>
    <x v="1"/>
    <x v="0"/>
    <x v="0"/>
    <x v="1"/>
    <x v="1"/>
    <x v="1"/>
    <x v="1"/>
    <x v="7"/>
    <n v="1"/>
    <n v="1"/>
    <n v="0"/>
    <n v="1"/>
    <x v="0"/>
    <n v="2.9138416298841268E-2"/>
  </r>
  <r>
    <x v="16"/>
    <x v="0"/>
    <x v="1"/>
    <x v="1"/>
    <x v="0"/>
    <x v="0"/>
    <x v="1"/>
    <x v="1"/>
    <x v="1"/>
    <x v="6"/>
    <n v="2"/>
    <n v="2"/>
    <n v="0"/>
    <m/>
    <x v="1"/>
    <n v="9.1577110773735128E-3"/>
  </r>
  <r>
    <x v="4"/>
    <x v="0"/>
    <x v="0"/>
    <x v="1"/>
    <x v="1"/>
    <x v="0"/>
    <x v="0"/>
    <x v="1"/>
    <x v="0"/>
    <x v="4"/>
    <n v="3"/>
    <n v="3"/>
    <n v="0"/>
    <m/>
    <x v="1"/>
    <n v="9.1879787574193156E-2"/>
  </r>
  <r>
    <x v="20"/>
    <x v="0"/>
    <x v="1"/>
    <x v="1"/>
    <x v="2"/>
    <x v="1"/>
    <x v="1"/>
    <x v="1"/>
    <x v="2"/>
    <x v="2"/>
    <n v="1"/>
    <n v="2"/>
    <n v="0"/>
    <n v="1"/>
    <x v="0"/>
    <n v="8.679474305471778E-2"/>
  </r>
  <r>
    <x v="8"/>
    <x v="0"/>
    <x v="1"/>
    <x v="0"/>
    <x v="2"/>
    <x v="1"/>
    <x v="0"/>
    <x v="1"/>
    <x v="1"/>
    <x v="0"/>
    <n v="2"/>
    <n v="3"/>
    <n v="0"/>
    <m/>
    <x v="1"/>
    <n v="0.17399273453018274"/>
  </r>
  <r>
    <x v="14"/>
    <x v="1"/>
    <x v="0"/>
    <x v="2"/>
    <x v="0"/>
    <x v="0"/>
    <x v="1"/>
    <x v="0"/>
    <x v="1"/>
    <x v="7"/>
    <n v="3"/>
    <n v="4"/>
    <n v="0"/>
    <m/>
    <x v="1"/>
    <n v="0.1122923002242814"/>
  </r>
  <r>
    <x v="21"/>
    <x v="1"/>
    <x v="1"/>
    <x v="0"/>
    <x v="1"/>
    <x v="1"/>
    <x v="0"/>
    <x v="1"/>
    <x v="1"/>
    <x v="8"/>
    <n v="4"/>
    <n v="4"/>
    <n v="0"/>
    <m/>
    <x v="1"/>
    <n v="0.34421973140129342"/>
  </r>
  <r>
    <x v="2"/>
    <x v="0"/>
    <x v="1"/>
    <x v="0"/>
    <x v="0"/>
    <x v="0"/>
    <x v="1"/>
    <x v="1"/>
    <x v="2"/>
    <x v="4"/>
    <n v="1"/>
    <n v="1"/>
    <n v="0"/>
    <m/>
    <x v="1"/>
    <n v="3.3292078574409821E-2"/>
  </r>
  <r>
    <x v="7"/>
    <x v="1"/>
    <x v="1"/>
    <x v="0"/>
    <x v="1"/>
    <x v="1"/>
    <x v="0"/>
    <x v="1"/>
    <x v="2"/>
    <x v="9"/>
    <n v="3"/>
    <n v="3"/>
    <n v="0"/>
    <m/>
    <x v="1"/>
    <n v="0.72988083396058068"/>
  </r>
  <r>
    <x v="8"/>
    <x v="1"/>
    <x v="1"/>
    <x v="0"/>
    <x v="1"/>
    <x v="0"/>
    <x v="0"/>
    <x v="1"/>
    <x v="1"/>
    <x v="0"/>
    <n v="4"/>
    <n v="7"/>
    <n v="0"/>
    <m/>
    <x v="1"/>
    <n v="0.31958135395555498"/>
  </r>
  <r>
    <x v="8"/>
    <x v="1"/>
    <x v="0"/>
    <x v="2"/>
    <x v="0"/>
    <x v="0"/>
    <x v="1"/>
    <x v="1"/>
    <x v="1"/>
    <x v="7"/>
    <n v="3"/>
    <n v="3"/>
    <n v="0"/>
    <m/>
    <x v="1"/>
    <n v="8.4219225168211037E-2"/>
  </r>
  <r>
    <x v="17"/>
    <x v="0"/>
    <x v="1"/>
    <x v="0"/>
    <x v="2"/>
    <x v="0"/>
    <x v="1"/>
    <x v="1"/>
    <x v="1"/>
    <x v="5"/>
    <n v="2"/>
    <n v="2"/>
    <n v="0"/>
    <n v="2"/>
    <x v="0"/>
    <n v="2.916781368538008E-2"/>
  </r>
  <r>
    <x v="0"/>
    <x v="1"/>
    <x v="1"/>
    <x v="2"/>
    <x v="3"/>
    <x v="1"/>
    <x v="0"/>
    <x v="1"/>
    <x v="1"/>
    <x v="9"/>
    <n v="2"/>
    <n v="3"/>
    <n v="0"/>
    <n v="2"/>
    <x v="0"/>
    <n v="0.42684377816956082"/>
  </r>
  <r>
    <x v="13"/>
    <x v="0"/>
    <x v="1"/>
    <x v="0"/>
    <x v="0"/>
    <x v="1"/>
    <x v="0"/>
    <x v="1"/>
    <x v="0"/>
    <x v="3"/>
    <n v="1"/>
    <n v="1"/>
    <n v="0"/>
    <m/>
    <x v="1"/>
    <n v="5.9968911810879433E-2"/>
  </r>
  <r>
    <x v="10"/>
    <x v="0"/>
    <x v="0"/>
    <x v="0"/>
    <x v="0"/>
    <x v="0"/>
    <x v="0"/>
    <x v="0"/>
    <x v="2"/>
    <x v="8"/>
    <n v="5"/>
    <n v="8"/>
    <n v="0"/>
    <m/>
    <x v="1"/>
    <n v="0.75893079782941164"/>
  </r>
  <r>
    <x v="7"/>
    <x v="1"/>
    <x v="0"/>
    <x v="0"/>
    <x v="0"/>
    <x v="0"/>
    <x v="1"/>
    <x v="1"/>
    <x v="2"/>
    <x v="1"/>
    <n v="3"/>
    <n v="4"/>
    <n v="0"/>
    <m/>
    <x v="1"/>
    <n v="0.27897726641771564"/>
  </r>
  <r>
    <x v="2"/>
    <x v="1"/>
    <x v="0"/>
    <x v="2"/>
    <x v="2"/>
    <x v="0"/>
    <x v="1"/>
    <x v="1"/>
    <x v="2"/>
    <x v="9"/>
    <n v="1"/>
    <n v="1"/>
    <n v="0"/>
    <m/>
    <x v="1"/>
    <n v="0.1264319832806283"/>
  </r>
  <r>
    <x v="21"/>
    <x v="0"/>
    <x v="1"/>
    <x v="0"/>
    <x v="2"/>
    <x v="1"/>
    <x v="0"/>
    <x v="0"/>
    <x v="0"/>
    <x v="8"/>
    <n v="2"/>
    <n v="4"/>
    <n v="0"/>
    <m/>
    <x v="1"/>
    <n v="0.34240189530948706"/>
  </r>
  <r>
    <x v="0"/>
    <x v="0"/>
    <x v="0"/>
    <x v="0"/>
    <x v="3"/>
    <x v="0"/>
    <x v="1"/>
    <x v="1"/>
    <x v="2"/>
    <x v="8"/>
    <n v="2"/>
    <n v="3"/>
    <n v="0"/>
    <n v="2"/>
    <x v="0"/>
    <n v="0.2691772132109515"/>
  </r>
  <r>
    <x v="15"/>
    <x v="0"/>
    <x v="1"/>
    <x v="0"/>
    <x v="2"/>
    <x v="1"/>
    <x v="1"/>
    <x v="1"/>
    <x v="2"/>
    <x v="8"/>
    <n v="1"/>
    <n v="1"/>
    <n v="0"/>
    <n v="1"/>
    <x v="0"/>
    <n v="9.0468526032261742E-2"/>
  </r>
  <r>
    <x v="12"/>
    <x v="0"/>
    <x v="1"/>
    <x v="2"/>
    <x v="1"/>
    <x v="0"/>
    <x v="0"/>
    <x v="1"/>
    <x v="1"/>
    <x v="4"/>
    <n v="4"/>
    <n v="4"/>
    <n v="0"/>
    <m/>
    <x v="1"/>
    <n v="0.15984226649272956"/>
  </r>
  <r>
    <x v="9"/>
    <x v="0"/>
    <x v="0"/>
    <x v="2"/>
    <x v="2"/>
    <x v="1"/>
    <x v="1"/>
    <x v="0"/>
    <x v="1"/>
    <x v="0"/>
    <n v="1"/>
    <n v="1"/>
    <n v="0"/>
    <n v="1"/>
    <x v="0"/>
    <n v="5.2291671314483069E-2"/>
  </r>
  <r>
    <x v="15"/>
    <x v="1"/>
    <x v="0"/>
    <x v="1"/>
    <x v="0"/>
    <x v="0"/>
    <x v="1"/>
    <x v="1"/>
    <x v="0"/>
    <x v="5"/>
    <n v="1"/>
    <n v="1"/>
    <n v="0"/>
    <n v="1"/>
    <x v="0"/>
    <n v="1.4997899225310888E-2"/>
  </r>
  <r>
    <x v="20"/>
    <x v="1"/>
    <x v="1"/>
    <x v="0"/>
    <x v="2"/>
    <x v="0"/>
    <x v="0"/>
    <x v="0"/>
    <x v="1"/>
    <x v="0"/>
    <n v="3"/>
    <n v="3"/>
    <n v="0"/>
    <n v="3"/>
    <x v="0"/>
    <n v="0.13547680784598942"/>
  </r>
  <r>
    <x v="2"/>
    <x v="1"/>
    <x v="1"/>
    <x v="0"/>
    <x v="3"/>
    <x v="1"/>
    <x v="1"/>
    <x v="0"/>
    <x v="1"/>
    <x v="0"/>
    <n v="1"/>
    <n v="1"/>
    <n v="0"/>
    <m/>
    <x v="1"/>
    <n v="5.6300632156829497E-2"/>
  </r>
  <r>
    <x v="21"/>
    <x v="0"/>
    <x v="1"/>
    <x v="0"/>
    <x v="3"/>
    <x v="1"/>
    <x v="0"/>
    <x v="1"/>
    <x v="0"/>
    <x v="8"/>
    <n v="1"/>
    <n v="4"/>
    <n v="0"/>
    <m/>
    <x v="1"/>
    <n v="0.45015706408735467"/>
  </r>
  <r>
    <x v="0"/>
    <x v="0"/>
    <x v="0"/>
    <x v="0"/>
    <x v="2"/>
    <x v="1"/>
    <x v="0"/>
    <x v="0"/>
    <x v="2"/>
    <x v="9"/>
    <n v="3"/>
    <n v="3"/>
    <n v="0"/>
    <n v="3"/>
    <x v="0"/>
    <n v="0.69711678800909049"/>
  </r>
  <r>
    <x v="0"/>
    <x v="0"/>
    <x v="1"/>
    <x v="1"/>
    <x v="2"/>
    <x v="1"/>
    <x v="1"/>
    <x v="1"/>
    <x v="1"/>
    <x v="6"/>
    <n v="1"/>
    <n v="1"/>
    <n v="0"/>
    <n v="1"/>
    <x v="0"/>
    <n v="1.3111498149720941E-2"/>
  </r>
  <r>
    <x v="12"/>
    <x v="0"/>
    <x v="0"/>
    <x v="2"/>
    <x v="2"/>
    <x v="0"/>
    <x v="1"/>
    <x v="1"/>
    <x v="1"/>
    <x v="7"/>
    <n v="1"/>
    <n v="1"/>
    <n v="0"/>
    <m/>
    <x v="1"/>
    <n v="2.7269210474849294E-2"/>
  </r>
  <r>
    <x v="15"/>
    <x v="1"/>
    <x v="0"/>
    <x v="2"/>
    <x v="0"/>
    <x v="0"/>
    <x v="1"/>
    <x v="0"/>
    <x v="1"/>
    <x v="7"/>
    <n v="1"/>
    <n v="4"/>
    <n v="0"/>
    <n v="1"/>
    <x v="0"/>
    <n v="0.1122923002242814"/>
  </r>
  <r>
    <x v="17"/>
    <x v="0"/>
    <x v="0"/>
    <x v="2"/>
    <x v="2"/>
    <x v="0"/>
    <x v="0"/>
    <x v="1"/>
    <x v="2"/>
    <x v="9"/>
    <n v="5"/>
    <n v="6"/>
    <n v="1"/>
    <n v="5"/>
    <x v="0"/>
    <n v="1.0096758521657443"/>
  </r>
  <r>
    <x v="5"/>
    <x v="1"/>
    <x v="0"/>
    <x v="2"/>
    <x v="2"/>
    <x v="0"/>
    <x v="0"/>
    <x v="0"/>
    <x v="1"/>
    <x v="1"/>
    <n v="2"/>
    <n v="2"/>
    <n v="0"/>
    <n v="2"/>
    <x v="0"/>
    <n v="0.16443979139191614"/>
  </r>
  <r>
    <x v="7"/>
    <x v="1"/>
    <x v="0"/>
    <x v="2"/>
    <x v="1"/>
    <x v="0"/>
    <x v="0"/>
    <x v="1"/>
    <x v="2"/>
    <x v="9"/>
    <n v="6"/>
    <n v="11"/>
    <n v="0"/>
    <m/>
    <x v="1"/>
    <n v="2.5993462551815485"/>
  </r>
  <r>
    <x v="21"/>
    <x v="0"/>
    <x v="1"/>
    <x v="0"/>
    <x v="0"/>
    <x v="1"/>
    <x v="0"/>
    <x v="1"/>
    <x v="1"/>
    <x v="4"/>
    <n v="2"/>
    <n v="2"/>
    <n v="0"/>
    <m/>
    <x v="1"/>
    <n v="8.0534492687672668E-2"/>
  </r>
  <r>
    <x v="5"/>
    <x v="1"/>
    <x v="0"/>
    <x v="0"/>
    <x v="0"/>
    <x v="1"/>
    <x v="0"/>
    <x v="0"/>
    <x v="1"/>
    <x v="1"/>
    <n v="7"/>
    <n v="7"/>
    <n v="0"/>
    <n v="6"/>
    <x v="0"/>
    <n v="0.58586872705327608"/>
  </r>
  <r>
    <x v="4"/>
    <x v="1"/>
    <x v="1"/>
    <x v="0"/>
    <x v="0"/>
    <x v="0"/>
    <x v="0"/>
    <x v="0"/>
    <x v="2"/>
    <x v="8"/>
    <n v="3"/>
    <n v="5"/>
    <n v="0"/>
    <m/>
    <x v="1"/>
    <n v="0.49571275461556014"/>
  </r>
  <r>
    <x v="22"/>
    <x v="0"/>
    <x v="0"/>
    <x v="0"/>
    <x v="0"/>
    <x v="0"/>
    <x v="1"/>
    <x v="0"/>
    <x v="0"/>
    <x v="7"/>
    <n v="3"/>
    <n v="3"/>
    <n v="0"/>
    <n v="3"/>
    <x v="0"/>
    <n v="6.4810394424951609E-2"/>
  </r>
  <r>
    <x v="18"/>
    <x v="1"/>
    <x v="1"/>
    <x v="2"/>
    <x v="2"/>
    <x v="1"/>
    <x v="0"/>
    <x v="1"/>
    <x v="1"/>
    <x v="8"/>
    <n v="1"/>
    <n v="1"/>
    <n v="0"/>
    <m/>
    <x v="1"/>
    <n v="0.10909826649368773"/>
  </r>
  <r>
    <x v="17"/>
    <x v="0"/>
    <x v="0"/>
    <x v="1"/>
    <x v="0"/>
    <x v="1"/>
    <x v="1"/>
    <x v="0"/>
    <x v="1"/>
    <x v="6"/>
    <n v="1"/>
    <n v="1"/>
    <n v="0"/>
    <n v="1"/>
    <x v="0"/>
    <n v="1.2868595029812536E-2"/>
  </r>
  <r>
    <x v="17"/>
    <x v="1"/>
    <x v="1"/>
    <x v="0"/>
    <x v="0"/>
    <x v="0"/>
    <x v="0"/>
    <x v="1"/>
    <x v="1"/>
    <x v="4"/>
    <n v="11"/>
    <n v="11"/>
    <n v="0"/>
    <n v="11"/>
    <x v="0"/>
    <n v="0.34345727365653062"/>
  </r>
  <r>
    <x v="10"/>
    <x v="1"/>
    <x v="1"/>
    <x v="1"/>
    <x v="2"/>
    <x v="0"/>
    <x v="0"/>
    <x v="1"/>
    <x v="1"/>
    <x v="5"/>
    <n v="1"/>
    <n v="1"/>
    <n v="0"/>
    <m/>
    <x v="1"/>
    <n v="2.111525100948302E-2"/>
  </r>
  <r>
    <x v="0"/>
    <x v="0"/>
    <x v="0"/>
    <x v="1"/>
    <x v="1"/>
    <x v="0"/>
    <x v="0"/>
    <x v="1"/>
    <x v="0"/>
    <x v="4"/>
    <n v="5"/>
    <n v="5"/>
    <n v="0"/>
    <n v="5"/>
    <x v="0"/>
    <n v="0.15313297929032194"/>
  </r>
  <r>
    <x v="2"/>
    <x v="0"/>
    <x v="0"/>
    <x v="0"/>
    <x v="0"/>
    <x v="1"/>
    <x v="1"/>
    <x v="1"/>
    <x v="0"/>
    <x v="4"/>
    <n v="1"/>
    <n v="1"/>
    <n v="0"/>
    <m/>
    <x v="1"/>
    <n v="4.1649592776730845E-2"/>
  </r>
  <r>
    <x v="20"/>
    <x v="1"/>
    <x v="0"/>
    <x v="0"/>
    <x v="3"/>
    <x v="0"/>
    <x v="0"/>
    <x v="1"/>
    <x v="0"/>
    <x v="8"/>
    <n v="1"/>
    <n v="1"/>
    <n v="0"/>
    <n v="1"/>
    <x v="0"/>
    <n v="0.12300803466666659"/>
  </r>
  <r>
    <x v="12"/>
    <x v="0"/>
    <x v="1"/>
    <x v="1"/>
    <x v="1"/>
    <x v="0"/>
    <x v="0"/>
    <x v="1"/>
    <x v="1"/>
    <x v="6"/>
    <n v="4"/>
    <n v="6"/>
    <n v="0"/>
    <m/>
    <x v="1"/>
    <n v="8.5354389053096905E-2"/>
  </r>
  <r>
    <x v="9"/>
    <x v="1"/>
    <x v="0"/>
    <x v="1"/>
    <x v="0"/>
    <x v="0"/>
    <x v="1"/>
    <x v="1"/>
    <x v="1"/>
    <x v="6"/>
    <n v="2"/>
    <n v="2"/>
    <n v="0"/>
    <n v="2"/>
    <x v="0"/>
    <n v="1.9829579578179591E-2"/>
  </r>
  <r>
    <x v="10"/>
    <x v="0"/>
    <x v="1"/>
    <x v="2"/>
    <x v="0"/>
    <x v="0"/>
    <x v="1"/>
    <x v="1"/>
    <x v="1"/>
    <x v="6"/>
    <n v="1"/>
    <n v="1"/>
    <n v="0"/>
    <m/>
    <x v="1"/>
    <n v="1.3093969311862536E-2"/>
  </r>
  <r>
    <x v="21"/>
    <x v="0"/>
    <x v="0"/>
    <x v="0"/>
    <x v="0"/>
    <x v="0"/>
    <x v="1"/>
    <x v="0"/>
    <x v="2"/>
    <x v="0"/>
    <n v="3"/>
    <n v="4"/>
    <n v="0"/>
    <m/>
    <x v="1"/>
    <n v="0.18897965908693132"/>
  </r>
  <r>
    <x v="22"/>
    <x v="0"/>
    <x v="0"/>
    <x v="1"/>
    <x v="2"/>
    <x v="1"/>
    <x v="0"/>
    <x v="1"/>
    <x v="1"/>
    <x v="4"/>
    <n v="1"/>
    <n v="1"/>
    <n v="0"/>
    <n v="1"/>
    <x v="0"/>
    <n v="3.8861886041588509E-2"/>
  </r>
  <r>
    <x v="2"/>
    <x v="0"/>
    <x v="0"/>
    <x v="0"/>
    <x v="2"/>
    <x v="1"/>
    <x v="0"/>
    <x v="0"/>
    <x v="1"/>
    <x v="1"/>
    <n v="6"/>
    <n v="6"/>
    <n v="0"/>
    <m/>
    <x v="1"/>
    <n v="0.4885942848290129"/>
  </r>
  <r>
    <x v="15"/>
    <x v="1"/>
    <x v="0"/>
    <x v="0"/>
    <x v="3"/>
    <x v="0"/>
    <x v="0"/>
    <x v="1"/>
    <x v="0"/>
    <x v="8"/>
    <n v="2"/>
    <n v="3"/>
    <n v="0"/>
    <n v="2"/>
    <x v="0"/>
    <n v="0.3690241039999998"/>
  </r>
  <r>
    <x v="1"/>
    <x v="0"/>
    <x v="1"/>
    <x v="0"/>
    <x v="2"/>
    <x v="1"/>
    <x v="0"/>
    <x v="1"/>
    <x v="1"/>
    <x v="0"/>
    <n v="5"/>
    <n v="6"/>
    <n v="1"/>
    <n v="5"/>
    <x v="0"/>
    <n v="0.34798546906036548"/>
  </r>
  <r>
    <x v="9"/>
    <x v="0"/>
    <x v="0"/>
    <x v="0"/>
    <x v="0"/>
    <x v="0"/>
    <x v="1"/>
    <x v="0"/>
    <x v="0"/>
    <x v="7"/>
    <n v="3"/>
    <n v="4"/>
    <n v="0"/>
    <n v="2"/>
    <x v="0"/>
    <n v="8.6413859233268817E-2"/>
  </r>
  <r>
    <x v="1"/>
    <x v="1"/>
    <x v="0"/>
    <x v="0"/>
    <x v="2"/>
    <x v="0"/>
    <x v="1"/>
    <x v="1"/>
    <x v="2"/>
    <x v="8"/>
    <n v="4"/>
    <n v="4"/>
    <n v="0"/>
    <n v="4"/>
    <x v="0"/>
    <n v="0.39645398525118791"/>
  </r>
  <r>
    <x v="5"/>
    <x v="0"/>
    <x v="0"/>
    <x v="0"/>
    <x v="2"/>
    <x v="0"/>
    <x v="1"/>
    <x v="1"/>
    <x v="2"/>
    <x v="1"/>
    <n v="5"/>
    <n v="7"/>
    <n v="0"/>
    <n v="5"/>
    <x v="0"/>
    <n v="0.47481338753970892"/>
  </r>
  <r>
    <x v="4"/>
    <x v="0"/>
    <x v="1"/>
    <x v="2"/>
    <x v="1"/>
    <x v="0"/>
    <x v="0"/>
    <x v="1"/>
    <x v="2"/>
    <x v="8"/>
    <n v="1"/>
    <n v="2"/>
    <n v="0"/>
    <m/>
    <x v="1"/>
    <n v="0.24888808001119248"/>
  </r>
  <r>
    <x v="6"/>
    <x v="0"/>
    <x v="0"/>
    <x v="0"/>
    <x v="2"/>
    <x v="0"/>
    <x v="1"/>
    <x v="1"/>
    <x v="1"/>
    <x v="5"/>
    <n v="1"/>
    <n v="1"/>
    <n v="0"/>
    <m/>
    <x v="1"/>
    <n v="2.0865309424357978E-2"/>
  </r>
  <r>
    <x v="14"/>
    <x v="0"/>
    <x v="1"/>
    <x v="0"/>
    <x v="2"/>
    <x v="1"/>
    <x v="0"/>
    <x v="1"/>
    <x v="0"/>
    <x v="8"/>
    <n v="1"/>
    <n v="2"/>
    <n v="0"/>
    <m/>
    <x v="1"/>
    <n v="0.17120094765474353"/>
  </r>
  <r>
    <x v="20"/>
    <x v="1"/>
    <x v="1"/>
    <x v="1"/>
    <x v="0"/>
    <x v="0"/>
    <x v="0"/>
    <x v="0"/>
    <x v="0"/>
    <x v="7"/>
    <n v="1"/>
    <n v="1"/>
    <n v="0"/>
    <n v="1"/>
    <x v="0"/>
    <n v="2.1862051188270244E-2"/>
  </r>
  <r>
    <x v="20"/>
    <x v="1"/>
    <x v="0"/>
    <x v="1"/>
    <x v="3"/>
    <x v="0"/>
    <x v="0"/>
    <x v="1"/>
    <x v="0"/>
    <x v="3"/>
    <n v="1"/>
    <n v="1"/>
    <n v="0"/>
    <n v="1"/>
    <x v="0"/>
    <n v="6.0125643777037441E-2"/>
  </r>
  <r>
    <x v="19"/>
    <x v="1"/>
    <x v="1"/>
    <x v="2"/>
    <x v="0"/>
    <x v="0"/>
    <x v="0"/>
    <x v="0"/>
    <x v="1"/>
    <x v="4"/>
    <n v="2"/>
    <n v="3"/>
    <n v="0"/>
    <m/>
    <x v="1"/>
    <n v="0.12202287007959514"/>
  </r>
  <r>
    <x v="11"/>
    <x v="0"/>
    <x v="1"/>
    <x v="2"/>
    <x v="0"/>
    <x v="0"/>
    <x v="0"/>
    <x v="1"/>
    <x v="0"/>
    <x v="4"/>
    <n v="1"/>
    <n v="1"/>
    <n v="0"/>
    <m/>
    <x v="1"/>
    <n v="4.089495301709424E-2"/>
  </r>
  <r>
    <x v="21"/>
    <x v="1"/>
    <x v="0"/>
    <x v="2"/>
    <x v="2"/>
    <x v="0"/>
    <x v="0"/>
    <x v="0"/>
    <x v="2"/>
    <x v="9"/>
    <n v="3"/>
    <n v="3"/>
    <n v="0"/>
    <m/>
    <x v="1"/>
    <n v="0.70274171793296836"/>
  </r>
  <r>
    <x v="3"/>
    <x v="1"/>
    <x v="0"/>
    <x v="0"/>
    <x v="2"/>
    <x v="1"/>
    <x v="0"/>
    <x v="0"/>
    <x v="0"/>
    <x v="9"/>
    <n v="2"/>
    <n v="2"/>
    <n v="0"/>
    <m/>
    <x v="1"/>
    <n v="0.33859241347985619"/>
  </r>
  <r>
    <x v="0"/>
    <x v="0"/>
    <x v="1"/>
    <x v="0"/>
    <x v="3"/>
    <x v="1"/>
    <x v="0"/>
    <x v="1"/>
    <x v="0"/>
    <x v="8"/>
    <n v="1"/>
    <n v="1"/>
    <n v="1"/>
    <n v="1"/>
    <x v="0"/>
    <n v="0.11253926602183867"/>
  </r>
  <r>
    <x v="6"/>
    <x v="0"/>
    <x v="1"/>
    <x v="1"/>
    <x v="1"/>
    <x v="1"/>
    <x v="0"/>
    <x v="1"/>
    <x v="0"/>
    <x v="4"/>
    <n v="1"/>
    <n v="1"/>
    <n v="0"/>
    <m/>
    <x v="1"/>
    <n v="4.1399495065687533E-2"/>
  </r>
  <r>
    <x v="16"/>
    <x v="1"/>
    <x v="0"/>
    <x v="0"/>
    <x v="0"/>
    <x v="0"/>
    <x v="0"/>
    <x v="1"/>
    <x v="2"/>
    <x v="9"/>
    <n v="3"/>
    <n v="3"/>
    <n v="2"/>
    <m/>
    <x v="1"/>
    <n v="0.41036534188999013"/>
  </r>
  <r>
    <x v="3"/>
    <x v="0"/>
    <x v="0"/>
    <x v="0"/>
    <x v="2"/>
    <x v="0"/>
    <x v="0"/>
    <x v="0"/>
    <x v="0"/>
    <x v="3"/>
    <n v="7"/>
    <n v="9"/>
    <n v="0"/>
    <m/>
    <x v="1"/>
    <n v="0.5768525493388138"/>
  </r>
  <r>
    <x v="12"/>
    <x v="0"/>
    <x v="1"/>
    <x v="1"/>
    <x v="0"/>
    <x v="0"/>
    <x v="1"/>
    <x v="1"/>
    <x v="1"/>
    <x v="6"/>
    <n v="3"/>
    <n v="3"/>
    <n v="0"/>
    <m/>
    <x v="1"/>
    <n v="1.3736566616060271E-2"/>
  </r>
  <r>
    <x v="1"/>
    <x v="1"/>
    <x v="0"/>
    <x v="2"/>
    <x v="2"/>
    <x v="0"/>
    <x v="1"/>
    <x v="1"/>
    <x v="0"/>
    <x v="3"/>
    <n v="2"/>
    <n v="2"/>
    <n v="0"/>
    <n v="2"/>
    <x v="0"/>
    <n v="0.12108807040598503"/>
  </r>
  <r>
    <x v="15"/>
    <x v="1"/>
    <x v="1"/>
    <x v="0"/>
    <x v="0"/>
    <x v="1"/>
    <x v="0"/>
    <x v="0"/>
    <x v="1"/>
    <x v="3"/>
    <n v="3"/>
    <n v="3"/>
    <n v="0"/>
    <n v="3"/>
    <x v="0"/>
    <n v="0.17895518928492249"/>
  </r>
  <r>
    <x v="8"/>
    <x v="1"/>
    <x v="1"/>
    <x v="2"/>
    <x v="1"/>
    <x v="0"/>
    <x v="0"/>
    <x v="1"/>
    <x v="1"/>
    <x v="3"/>
    <n v="8"/>
    <n v="9"/>
    <n v="1"/>
    <m/>
    <x v="1"/>
    <n v="0.53285871029429843"/>
  </r>
  <r>
    <x v="5"/>
    <x v="1"/>
    <x v="1"/>
    <x v="2"/>
    <x v="0"/>
    <x v="0"/>
    <x v="0"/>
    <x v="0"/>
    <x v="1"/>
    <x v="4"/>
    <n v="7"/>
    <n v="8"/>
    <n v="0"/>
    <n v="7"/>
    <x v="0"/>
    <n v="0.32539432021225373"/>
  </r>
  <r>
    <x v="20"/>
    <x v="0"/>
    <x v="1"/>
    <x v="1"/>
    <x v="3"/>
    <x v="0"/>
    <x v="0"/>
    <x v="1"/>
    <x v="1"/>
    <x v="5"/>
    <n v="1"/>
    <n v="1"/>
    <n v="0"/>
    <n v="1"/>
    <x v="0"/>
    <n v="1.8959791303298907E-2"/>
  </r>
  <r>
    <x v="17"/>
    <x v="0"/>
    <x v="1"/>
    <x v="1"/>
    <x v="0"/>
    <x v="0"/>
    <x v="0"/>
    <x v="0"/>
    <x v="1"/>
    <x v="6"/>
    <n v="3"/>
    <n v="4"/>
    <n v="0"/>
    <n v="2"/>
    <x v="0"/>
    <n v="3.8515340652904961E-2"/>
  </r>
  <r>
    <x v="9"/>
    <x v="1"/>
    <x v="0"/>
    <x v="0"/>
    <x v="3"/>
    <x v="1"/>
    <x v="0"/>
    <x v="1"/>
    <x v="2"/>
    <x v="9"/>
    <n v="2"/>
    <n v="3"/>
    <n v="0"/>
    <n v="2"/>
    <x v="0"/>
    <n v="1.1481308342243193"/>
  </r>
  <r>
    <x v="14"/>
    <x v="0"/>
    <x v="0"/>
    <x v="0"/>
    <x v="2"/>
    <x v="1"/>
    <x v="0"/>
    <x v="0"/>
    <x v="1"/>
    <x v="1"/>
    <n v="4"/>
    <n v="5"/>
    <n v="0"/>
    <m/>
    <x v="1"/>
    <n v="0.40716190402417746"/>
  </r>
  <r>
    <x v="2"/>
    <x v="0"/>
    <x v="0"/>
    <x v="0"/>
    <x v="0"/>
    <x v="0"/>
    <x v="1"/>
    <x v="0"/>
    <x v="1"/>
    <x v="6"/>
    <n v="1"/>
    <n v="1"/>
    <n v="0"/>
    <m/>
    <x v="1"/>
    <n v="1.4314121579974512E-2"/>
  </r>
  <r>
    <x v="1"/>
    <x v="1"/>
    <x v="0"/>
    <x v="0"/>
    <x v="2"/>
    <x v="0"/>
    <x v="0"/>
    <x v="0"/>
    <x v="0"/>
    <x v="8"/>
    <n v="3"/>
    <n v="5"/>
    <n v="0"/>
    <n v="3"/>
    <x v="0"/>
    <n v="0.46914126202672529"/>
  </r>
  <r>
    <x v="4"/>
    <x v="0"/>
    <x v="1"/>
    <x v="2"/>
    <x v="0"/>
    <x v="0"/>
    <x v="0"/>
    <x v="0"/>
    <x v="2"/>
    <x v="8"/>
    <n v="1"/>
    <n v="1"/>
    <n v="0"/>
    <m/>
    <x v="1"/>
    <n v="8.7388588178664475E-2"/>
  </r>
  <r>
    <x v="7"/>
    <x v="0"/>
    <x v="0"/>
    <x v="1"/>
    <x v="1"/>
    <x v="0"/>
    <x v="0"/>
    <x v="1"/>
    <x v="1"/>
    <x v="5"/>
    <n v="5"/>
    <n v="5"/>
    <n v="0"/>
    <m/>
    <x v="1"/>
    <n v="0.10178025979265702"/>
  </r>
  <r>
    <x v="5"/>
    <x v="1"/>
    <x v="0"/>
    <x v="0"/>
    <x v="0"/>
    <x v="0"/>
    <x v="1"/>
    <x v="1"/>
    <x v="0"/>
    <x v="4"/>
    <n v="2"/>
    <n v="2"/>
    <n v="1"/>
    <n v="2"/>
    <x v="0"/>
    <n v="6.4611432767311794E-2"/>
  </r>
  <r>
    <x v="1"/>
    <x v="0"/>
    <x v="1"/>
    <x v="1"/>
    <x v="2"/>
    <x v="1"/>
    <x v="0"/>
    <x v="0"/>
    <x v="2"/>
    <x v="8"/>
    <n v="1"/>
    <n v="1"/>
    <n v="0"/>
    <n v="1"/>
    <x v="0"/>
    <n v="8.7496757188836941E-2"/>
  </r>
  <r>
    <x v="16"/>
    <x v="0"/>
    <x v="1"/>
    <x v="0"/>
    <x v="2"/>
    <x v="1"/>
    <x v="1"/>
    <x v="1"/>
    <x v="1"/>
    <x v="7"/>
    <n v="1"/>
    <n v="1"/>
    <n v="0"/>
    <m/>
    <x v="1"/>
    <n v="2.8304934375149939E-2"/>
  </r>
  <r>
    <x v="5"/>
    <x v="0"/>
    <x v="0"/>
    <x v="2"/>
    <x v="2"/>
    <x v="1"/>
    <x v="0"/>
    <x v="1"/>
    <x v="1"/>
    <x v="8"/>
    <n v="2"/>
    <n v="2"/>
    <n v="0"/>
    <n v="2"/>
    <x v="0"/>
    <n v="0.20888488220949553"/>
  </r>
  <r>
    <x v="1"/>
    <x v="0"/>
    <x v="0"/>
    <x v="1"/>
    <x v="0"/>
    <x v="1"/>
    <x v="1"/>
    <x v="1"/>
    <x v="1"/>
    <x v="6"/>
    <n v="1"/>
    <n v="3"/>
    <n v="0"/>
    <n v="1"/>
    <x v="0"/>
    <n v="3.8605785089437614E-2"/>
  </r>
  <r>
    <x v="17"/>
    <x v="0"/>
    <x v="0"/>
    <x v="2"/>
    <x v="3"/>
    <x v="0"/>
    <x v="1"/>
    <x v="1"/>
    <x v="0"/>
    <x v="0"/>
    <n v="1"/>
    <n v="1"/>
    <n v="0"/>
    <n v="1"/>
    <x v="0"/>
    <n v="5.458810944457012E-2"/>
  </r>
  <r>
    <x v="5"/>
    <x v="0"/>
    <x v="1"/>
    <x v="0"/>
    <x v="3"/>
    <x v="1"/>
    <x v="0"/>
    <x v="1"/>
    <x v="2"/>
    <x v="9"/>
    <n v="2"/>
    <n v="3"/>
    <n v="1"/>
    <n v="2"/>
    <x v="0"/>
    <n v="0.66498267382666365"/>
  </r>
  <r>
    <x v="5"/>
    <x v="1"/>
    <x v="1"/>
    <x v="2"/>
    <x v="0"/>
    <x v="0"/>
    <x v="1"/>
    <x v="1"/>
    <x v="1"/>
    <x v="5"/>
    <n v="3"/>
    <n v="3"/>
    <n v="0"/>
    <n v="3"/>
    <x v="0"/>
    <n v="5.899616791105624E-2"/>
  </r>
  <r>
    <x v="3"/>
    <x v="1"/>
    <x v="0"/>
    <x v="1"/>
    <x v="0"/>
    <x v="0"/>
    <x v="1"/>
    <x v="0"/>
    <x v="1"/>
    <x v="6"/>
    <n v="1"/>
    <n v="1"/>
    <n v="0"/>
    <m/>
    <x v="1"/>
    <n v="9.9147897890897955E-3"/>
  </r>
  <r>
    <x v="19"/>
    <x v="0"/>
    <x v="1"/>
    <x v="0"/>
    <x v="2"/>
    <x v="0"/>
    <x v="0"/>
    <x v="1"/>
    <x v="2"/>
    <x v="8"/>
    <n v="5"/>
    <n v="7"/>
    <n v="0"/>
    <m/>
    <x v="1"/>
    <n v="0.67553989261940062"/>
  </r>
  <r>
    <x v="19"/>
    <x v="0"/>
    <x v="1"/>
    <x v="0"/>
    <x v="0"/>
    <x v="0"/>
    <x v="1"/>
    <x v="0"/>
    <x v="1"/>
    <x v="6"/>
    <n v="1"/>
    <n v="1"/>
    <n v="0"/>
    <m/>
    <x v="1"/>
    <n v="9.9848113487339026E-3"/>
  </r>
  <r>
    <x v="21"/>
    <x v="0"/>
    <x v="0"/>
    <x v="1"/>
    <x v="2"/>
    <x v="0"/>
    <x v="0"/>
    <x v="1"/>
    <x v="0"/>
    <x v="7"/>
    <n v="1"/>
    <n v="1"/>
    <n v="0"/>
    <m/>
    <x v="1"/>
    <n v="3.0288991469430131E-2"/>
  </r>
  <r>
    <x v="0"/>
    <x v="1"/>
    <x v="1"/>
    <x v="0"/>
    <x v="0"/>
    <x v="0"/>
    <x v="0"/>
    <x v="0"/>
    <x v="2"/>
    <x v="8"/>
    <n v="1"/>
    <n v="1"/>
    <n v="0"/>
    <n v="1"/>
    <x v="0"/>
    <n v="9.9142550923112027E-2"/>
  </r>
  <r>
    <x v="4"/>
    <x v="1"/>
    <x v="1"/>
    <x v="0"/>
    <x v="1"/>
    <x v="0"/>
    <x v="0"/>
    <x v="1"/>
    <x v="0"/>
    <x v="1"/>
    <n v="3"/>
    <n v="6"/>
    <n v="0"/>
    <m/>
    <x v="1"/>
    <n v="0.40683448709077763"/>
  </r>
  <r>
    <x v="11"/>
    <x v="0"/>
    <x v="0"/>
    <x v="0"/>
    <x v="2"/>
    <x v="0"/>
    <x v="0"/>
    <x v="1"/>
    <x v="0"/>
    <x v="3"/>
    <n v="7"/>
    <n v="10"/>
    <n v="0"/>
    <m/>
    <x v="1"/>
    <n v="0.64094727704312648"/>
  </r>
  <r>
    <x v="4"/>
    <x v="1"/>
    <x v="0"/>
    <x v="0"/>
    <x v="2"/>
    <x v="0"/>
    <x v="1"/>
    <x v="1"/>
    <x v="0"/>
    <x v="0"/>
    <n v="1"/>
    <n v="1"/>
    <n v="0"/>
    <m/>
    <x v="1"/>
    <n v="4.6701039199944734E-2"/>
  </r>
  <r>
    <x v="16"/>
    <x v="0"/>
    <x v="1"/>
    <x v="1"/>
    <x v="0"/>
    <x v="0"/>
    <x v="1"/>
    <x v="0"/>
    <x v="1"/>
    <x v="6"/>
    <n v="1"/>
    <n v="1"/>
    <n v="0"/>
    <m/>
    <x v="1"/>
    <n v="4.5788555386867564E-3"/>
  </r>
  <r>
    <x v="20"/>
    <x v="0"/>
    <x v="1"/>
    <x v="2"/>
    <x v="1"/>
    <x v="1"/>
    <x v="0"/>
    <x v="1"/>
    <x v="1"/>
    <x v="1"/>
    <n v="2"/>
    <n v="2"/>
    <n v="0"/>
    <n v="2"/>
    <x v="0"/>
    <n v="0.15144433182698927"/>
  </r>
  <r>
    <x v="15"/>
    <x v="0"/>
    <x v="1"/>
    <x v="1"/>
    <x v="2"/>
    <x v="0"/>
    <x v="0"/>
    <x v="1"/>
    <x v="0"/>
    <x v="5"/>
    <n v="1"/>
    <n v="1"/>
    <n v="1"/>
    <n v="1"/>
    <x v="0"/>
    <n v="2.1232152294556311E-2"/>
  </r>
  <r>
    <x v="22"/>
    <x v="1"/>
    <x v="0"/>
    <x v="0"/>
    <x v="0"/>
    <x v="0"/>
    <x v="1"/>
    <x v="0"/>
    <x v="0"/>
    <x v="4"/>
    <n v="5"/>
    <n v="5"/>
    <n v="0"/>
    <n v="5"/>
    <x v="0"/>
    <n v="0.16152858191827948"/>
  </r>
  <r>
    <x v="20"/>
    <x v="1"/>
    <x v="1"/>
    <x v="0"/>
    <x v="1"/>
    <x v="1"/>
    <x v="1"/>
    <x v="1"/>
    <x v="1"/>
    <x v="2"/>
    <n v="1"/>
    <n v="1"/>
    <n v="0"/>
    <n v="1"/>
    <x v="0"/>
    <n v="4.264827937041895E-2"/>
  </r>
  <r>
    <x v="0"/>
    <x v="1"/>
    <x v="0"/>
    <x v="2"/>
    <x v="2"/>
    <x v="0"/>
    <x v="0"/>
    <x v="0"/>
    <x v="0"/>
    <x v="8"/>
    <n v="1"/>
    <n v="1"/>
    <n v="1"/>
    <n v="1"/>
    <x v="0"/>
    <n v="0.11988383252407406"/>
  </r>
  <r>
    <x v="8"/>
    <x v="1"/>
    <x v="0"/>
    <x v="0"/>
    <x v="2"/>
    <x v="1"/>
    <x v="0"/>
    <x v="0"/>
    <x v="1"/>
    <x v="8"/>
    <n v="1"/>
    <n v="1"/>
    <n v="0"/>
    <m/>
    <x v="1"/>
    <n v="0.118193115915998"/>
  </r>
  <r>
    <x v="21"/>
    <x v="0"/>
    <x v="0"/>
    <x v="0"/>
    <x v="2"/>
    <x v="0"/>
    <x v="1"/>
    <x v="1"/>
    <x v="0"/>
    <x v="4"/>
    <n v="2"/>
    <n v="2"/>
    <n v="0"/>
    <m/>
    <x v="1"/>
    <n v="6.2769130013339253E-2"/>
  </r>
  <r>
    <x v="22"/>
    <x v="0"/>
    <x v="0"/>
    <x v="2"/>
    <x v="0"/>
    <x v="0"/>
    <x v="0"/>
    <x v="1"/>
    <x v="0"/>
    <x v="0"/>
    <n v="2"/>
    <n v="2"/>
    <n v="0"/>
    <n v="2"/>
    <x v="0"/>
    <n v="0.11568704600419652"/>
  </r>
  <r>
    <x v="4"/>
    <x v="0"/>
    <x v="1"/>
    <x v="1"/>
    <x v="0"/>
    <x v="0"/>
    <x v="0"/>
    <x v="0"/>
    <x v="0"/>
    <x v="5"/>
    <n v="3"/>
    <n v="3"/>
    <n v="0"/>
    <m/>
    <x v="1"/>
    <n v="4.3702495657158974E-2"/>
  </r>
  <r>
    <x v="17"/>
    <x v="1"/>
    <x v="1"/>
    <x v="2"/>
    <x v="0"/>
    <x v="0"/>
    <x v="0"/>
    <x v="1"/>
    <x v="2"/>
    <x v="9"/>
    <n v="1"/>
    <n v="1"/>
    <n v="0"/>
    <n v="1"/>
    <x v="0"/>
    <n v="0.12646792194996428"/>
  </r>
  <r>
    <x v="13"/>
    <x v="1"/>
    <x v="0"/>
    <x v="1"/>
    <x v="1"/>
    <x v="0"/>
    <x v="0"/>
    <x v="1"/>
    <x v="1"/>
    <x v="4"/>
    <n v="3"/>
    <n v="4"/>
    <n v="0"/>
    <m/>
    <x v="1"/>
    <n v="0.12183831901464526"/>
  </r>
  <r>
    <x v="5"/>
    <x v="1"/>
    <x v="0"/>
    <x v="1"/>
    <x v="0"/>
    <x v="0"/>
    <x v="0"/>
    <x v="1"/>
    <x v="1"/>
    <x v="5"/>
    <n v="2"/>
    <n v="3"/>
    <n v="0"/>
    <n v="2"/>
    <x v="0"/>
    <n v="6.2181554602239335E-2"/>
  </r>
  <r>
    <x v="0"/>
    <x v="1"/>
    <x v="1"/>
    <x v="2"/>
    <x v="1"/>
    <x v="0"/>
    <x v="0"/>
    <x v="1"/>
    <x v="2"/>
    <x v="9"/>
    <n v="4"/>
    <n v="5"/>
    <n v="1"/>
    <n v="4"/>
    <x v="0"/>
    <n v="0.88441226065905243"/>
  </r>
  <r>
    <x v="17"/>
    <x v="0"/>
    <x v="0"/>
    <x v="0"/>
    <x v="2"/>
    <x v="0"/>
    <x v="1"/>
    <x v="0"/>
    <x v="2"/>
    <x v="1"/>
    <n v="1"/>
    <n v="1"/>
    <n v="0"/>
    <n v="1"/>
    <x v="0"/>
    <n v="6.7830483934244123E-2"/>
  </r>
  <r>
    <x v="5"/>
    <x v="0"/>
    <x v="1"/>
    <x v="2"/>
    <x v="1"/>
    <x v="1"/>
    <x v="0"/>
    <x v="1"/>
    <x v="0"/>
    <x v="8"/>
    <n v="1"/>
    <n v="2"/>
    <n v="0"/>
    <n v="1"/>
    <x v="0"/>
    <n v="0.22153763074869481"/>
  </r>
  <r>
    <x v="0"/>
    <x v="0"/>
    <x v="0"/>
    <x v="2"/>
    <x v="0"/>
    <x v="1"/>
    <x v="0"/>
    <x v="0"/>
    <x v="1"/>
    <x v="1"/>
    <n v="2"/>
    <n v="2"/>
    <n v="0"/>
    <n v="1"/>
    <x v="0"/>
    <n v="0.14724648342003765"/>
  </r>
  <r>
    <x v="11"/>
    <x v="0"/>
    <x v="1"/>
    <x v="2"/>
    <x v="2"/>
    <x v="0"/>
    <x v="0"/>
    <x v="0"/>
    <x v="0"/>
    <x v="3"/>
    <n v="1"/>
    <n v="1"/>
    <n v="0"/>
    <m/>
    <x v="1"/>
    <n v="5.8884716464189815E-2"/>
  </r>
  <r>
    <x v="15"/>
    <x v="0"/>
    <x v="0"/>
    <x v="0"/>
    <x v="3"/>
    <x v="0"/>
    <x v="0"/>
    <x v="1"/>
    <x v="2"/>
    <x v="9"/>
    <n v="2"/>
    <n v="3"/>
    <n v="1"/>
    <n v="2"/>
    <x v="0"/>
    <n v="0.51725290808077895"/>
  </r>
  <r>
    <x v="7"/>
    <x v="0"/>
    <x v="0"/>
    <x v="0"/>
    <x v="3"/>
    <x v="1"/>
    <x v="0"/>
    <x v="1"/>
    <x v="1"/>
    <x v="8"/>
    <n v="4"/>
    <n v="4"/>
    <n v="1"/>
    <m/>
    <x v="1"/>
    <n v="0.42885302722131718"/>
  </r>
  <r>
    <x v="0"/>
    <x v="0"/>
    <x v="0"/>
    <x v="2"/>
    <x v="2"/>
    <x v="0"/>
    <x v="0"/>
    <x v="0"/>
    <x v="1"/>
    <x v="0"/>
    <n v="1"/>
    <n v="1"/>
    <n v="0"/>
    <n v="1"/>
    <x v="0"/>
    <n v="5.5937898870790044E-2"/>
  </r>
  <r>
    <x v="8"/>
    <x v="0"/>
    <x v="1"/>
    <x v="2"/>
    <x v="0"/>
    <x v="1"/>
    <x v="1"/>
    <x v="0"/>
    <x v="1"/>
    <x v="7"/>
    <n v="1"/>
    <n v="1"/>
    <n v="0"/>
    <m/>
    <x v="1"/>
    <n v="2.5449416297903645E-2"/>
  </r>
  <r>
    <x v="13"/>
    <x v="0"/>
    <x v="1"/>
    <x v="0"/>
    <x v="0"/>
    <x v="0"/>
    <x v="0"/>
    <x v="1"/>
    <x v="0"/>
    <x v="4"/>
    <n v="1"/>
    <n v="1"/>
    <n v="0"/>
    <m/>
    <x v="1"/>
    <n v="3.1394457123754216E-2"/>
  </r>
  <r>
    <x v="22"/>
    <x v="1"/>
    <x v="0"/>
    <x v="0"/>
    <x v="0"/>
    <x v="1"/>
    <x v="0"/>
    <x v="0"/>
    <x v="1"/>
    <x v="1"/>
    <n v="3"/>
    <n v="3"/>
    <n v="0"/>
    <n v="3"/>
    <x v="0"/>
    <n v="0.25108659730854688"/>
  </r>
  <r>
    <x v="19"/>
    <x v="0"/>
    <x v="0"/>
    <x v="1"/>
    <x v="2"/>
    <x v="0"/>
    <x v="0"/>
    <x v="0"/>
    <x v="0"/>
    <x v="7"/>
    <n v="1"/>
    <n v="1"/>
    <n v="0"/>
    <m/>
    <x v="1"/>
    <n v="3.0288991469430131E-2"/>
  </r>
  <r>
    <x v="8"/>
    <x v="1"/>
    <x v="0"/>
    <x v="0"/>
    <x v="3"/>
    <x v="0"/>
    <x v="1"/>
    <x v="0"/>
    <x v="2"/>
    <x v="9"/>
    <n v="1"/>
    <n v="1"/>
    <n v="0"/>
    <m/>
    <x v="1"/>
    <n v="0.12970168387961117"/>
  </r>
  <r>
    <x v="18"/>
    <x v="0"/>
    <x v="1"/>
    <x v="0"/>
    <x v="3"/>
    <x v="1"/>
    <x v="0"/>
    <x v="1"/>
    <x v="1"/>
    <x v="1"/>
    <n v="1"/>
    <n v="1"/>
    <n v="0"/>
    <m/>
    <x v="1"/>
    <n v="7.6980948887072007E-2"/>
  </r>
  <r>
    <x v="8"/>
    <x v="1"/>
    <x v="0"/>
    <x v="1"/>
    <x v="3"/>
    <x v="0"/>
    <x v="1"/>
    <x v="1"/>
    <x v="1"/>
    <x v="5"/>
    <n v="2"/>
    <n v="2"/>
    <n v="0"/>
    <m/>
    <x v="1"/>
    <n v="3.9034786414124278E-2"/>
  </r>
  <r>
    <x v="21"/>
    <x v="0"/>
    <x v="0"/>
    <x v="1"/>
    <x v="2"/>
    <x v="0"/>
    <x v="0"/>
    <x v="1"/>
    <x v="1"/>
    <x v="5"/>
    <n v="1"/>
    <n v="1"/>
    <n v="0"/>
    <m/>
    <x v="1"/>
    <n v="2.0129311329445246E-2"/>
  </r>
  <r>
    <x v="9"/>
    <x v="0"/>
    <x v="1"/>
    <x v="2"/>
    <x v="2"/>
    <x v="0"/>
    <x v="0"/>
    <x v="1"/>
    <x v="1"/>
    <x v="4"/>
    <n v="1"/>
    <n v="1"/>
    <n v="0"/>
    <n v="1"/>
    <x v="0"/>
    <n v="3.9524266772527843E-2"/>
  </r>
  <r>
    <x v="12"/>
    <x v="0"/>
    <x v="0"/>
    <x v="1"/>
    <x v="1"/>
    <x v="0"/>
    <x v="0"/>
    <x v="1"/>
    <x v="0"/>
    <x v="4"/>
    <n v="3"/>
    <n v="4"/>
    <n v="0"/>
    <m/>
    <x v="1"/>
    <n v="0.12250638343225755"/>
  </r>
  <r>
    <x v="13"/>
    <x v="0"/>
    <x v="1"/>
    <x v="2"/>
    <x v="1"/>
    <x v="0"/>
    <x v="0"/>
    <x v="1"/>
    <x v="1"/>
    <x v="4"/>
    <n v="1"/>
    <n v="2"/>
    <n v="0"/>
    <m/>
    <x v="1"/>
    <n v="7.9921133246364781E-2"/>
  </r>
  <r>
    <x v="1"/>
    <x v="0"/>
    <x v="0"/>
    <x v="1"/>
    <x v="2"/>
    <x v="0"/>
    <x v="1"/>
    <x v="1"/>
    <x v="0"/>
    <x v="5"/>
    <n v="1"/>
    <n v="1"/>
    <n v="0"/>
    <n v="1"/>
    <x v="0"/>
    <n v="1.4562828746708278E-2"/>
  </r>
  <r>
    <x v="9"/>
    <x v="1"/>
    <x v="1"/>
    <x v="2"/>
    <x v="3"/>
    <x v="0"/>
    <x v="1"/>
    <x v="1"/>
    <x v="2"/>
    <x v="8"/>
    <n v="1"/>
    <n v="1"/>
    <n v="0"/>
    <n v="1"/>
    <x v="0"/>
    <n v="0.11984161446227663"/>
  </r>
  <r>
    <x v="21"/>
    <x v="1"/>
    <x v="0"/>
    <x v="0"/>
    <x v="2"/>
    <x v="0"/>
    <x v="0"/>
    <x v="0"/>
    <x v="1"/>
    <x v="3"/>
    <n v="1"/>
    <n v="1"/>
    <n v="0"/>
    <m/>
    <x v="1"/>
    <n v="6.3757203829364353E-2"/>
  </r>
  <r>
    <x v="20"/>
    <x v="0"/>
    <x v="1"/>
    <x v="1"/>
    <x v="2"/>
    <x v="1"/>
    <x v="1"/>
    <x v="1"/>
    <x v="1"/>
    <x v="6"/>
    <n v="1"/>
    <n v="1"/>
    <n v="0"/>
    <n v="1"/>
    <x v="0"/>
    <n v="1.3111498149720941E-2"/>
  </r>
  <r>
    <x v="12"/>
    <x v="0"/>
    <x v="0"/>
    <x v="1"/>
    <x v="0"/>
    <x v="0"/>
    <x v="1"/>
    <x v="0"/>
    <x v="2"/>
    <x v="7"/>
    <n v="1"/>
    <n v="1"/>
    <n v="0"/>
    <m/>
    <x v="1"/>
    <n v="2.2116330033594731E-2"/>
  </r>
  <r>
    <x v="16"/>
    <x v="1"/>
    <x v="0"/>
    <x v="1"/>
    <x v="0"/>
    <x v="0"/>
    <x v="0"/>
    <x v="0"/>
    <x v="2"/>
    <x v="1"/>
    <n v="1"/>
    <n v="2"/>
    <n v="0"/>
    <m/>
    <x v="1"/>
    <n v="0.13480572126111875"/>
  </r>
  <r>
    <x v="12"/>
    <x v="1"/>
    <x v="1"/>
    <x v="0"/>
    <x v="0"/>
    <x v="0"/>
    <x v="0"/>
    <x v="0"/>
    <x v="0"/>
    <x v="0"/>
    <n v="3"/>
    <n v="3"/>
    <n v="0"/>
    <m/>
    <x v="1"/>
    <n v="0.14014657827847735"/>
  </r>
  <r>
    <x v="13"/>
    <x v="1"/>
    <x v="0"/>
    <x v="0"/>
    <x v="2"/>
    <x v="0"/>
    <x v="0"/>
    <x v="1"/>
    <x v="2"/>
    <x v="9"/>
    <n v="3"/>
    <n v="3"/>
    <n v="1"/>
    <m/>
    <x v="1"/>
    <n v="0.56599211530489102"/>
  </r>
  <r>
    <x v="6"/>
    <x v="0"/>
    <x v="1"/>
    <x v="1"/>
    <x v="1"/>
    <x v="1"/>
    <x v="0"/>
    <x v="1"/>
    <x v="1"/>
    <x v="7"/>
    <n v="2"/>
    <n v="2"/>
    <n v="0"/>
    <m/>
    <x v="1"/>
    <n v="5.5238441328758749E-2"/>
  </r>
  <r>
    <x v="8"/>
    <x v="0"/>
    <x v="0"/>
    <x v="0"/>
    <x v="3"/>
    <x v="0"/>
    <x v="0"/>
    <x v="1"/>
    <x v="2"/>
    <x v="9"/>
    <n v="1"/>
    <n v="3"/>
    <n v="0"/>
    <m/>
    <x v="1"/>
    <n v="0.51725290808077895"/>
  </r>
  <r>
    <x v="11"/>
    <x v="0"/>
    <x v="1"/>
    <x v="0"/>
    <x v="2"/>
    <x v="0"/>
    <x v="0"/>
    <x v="0"/>
    <x v="1"/>
    <x v="7"/>
    <n v="2"/>
    <n v="3"/>
    <n v="0"/>
    <m/>
    <x v="1"/>
    <n v="9.0996392519581665E-2"/>
  </r>
  <r>
    <x v="2"/>
    <x v="1"/>
    <x v="1"/>
    <x v="2"/>
    <x v="1"/>
    <x v="1"/>
    <x v="0"/>
    <x v="1"/>
    <x v="1"/>
    <x v="8"/>
    <n v="2"/>
    <n v="5"/>
    <n v="0"/>
    <m/>
    <x v="1"/>
    <n v="0.55107224702591107"/>
  </r>
  <r>
    <x v="8"/>
    <x v="0"/>
    <x v="0"/>
    <x v="1"/>
    <x v="0"/>
    <x v="0"/>
    <x v="1"/>
    <x v="1"/>
    <x v="1"/>
    <x v="6"/>
    <n v="3"/>
    <n v="3"/>
    <n v="0"/>
    <m/>
    <x v="1"/>
    <n v="1.9739333835198093E-2"/>
  </r>
  <r>
    <x v="12"/>
    <x v="0"/>
    <x v="0"/>
    <x v="0"/>
    <x v="3"/>
    <x v="0"/>
    <x v="0"/>
    <x v="1"/>
    <x v="2"/>
    <x v="9"/>
    <n v="1"/>
    <n v="1"/>
    <n v="0"/>
    <m/>
    <x v="1"/>
    <n v="0.17241763602692631"/>
  </r>
  <r>
    <x v="22"/>
    <x v="0"/>
    <x v="1"/>
    <x v="0"/>
    <x v="0"/>
    <x v="0"/>
    <x v="0"/>
    <x v="1"/>
    <x v="0"/>
    <x v="4"/>
    <n v="2"/>
    <n v="2"/>
    <n v="0"/>
    <n v="2"/>
    <x v="0"/>
    <n v="6.2788914247508432E-2"/>
  </r>
  <r>
    <x v="9"/>
    <x v="0"/>
    <x v="1"/>
    <x v="1"/>
    <x v="2"/>
    <x v="1"/>
    <x v="1"/>
    <x v="0"/>
    <x v="0"/>
    <x v="5"/>
    <n v="1"/>
    <n v="1"/>
    <n v="0"/>
    <n v="1"/>
    <x v="0"/>
    <n v="1.9800718313777412E-2"/>
  </r>
  <r>
    <x v="1"/>
    <x v="0"/>
    <x v="0"/>
    <x v="1"/>
    <x v="3"/>
    <x v="1"/>
    <x v="1"/>
    <x v="1"/>
    <x v="1"/>
    <x v="7"/>
    <n v="2"/>
    <n v="2"/>
    <n v="0"/>
    <n v="2"/>
    <x v="0"/>
    <n v="5.0518025643448448E-2"/>
  </r>
  <r>
    <x v="17"/>
    <x v="1"/>
    <x v="1"/>
    <x v="0"/>
    <x v="0"/>
    <x v="0"/>
    <x v="1"/>
    <x v="1"/>
    <x v="1"/>
    <x v="5"/>
    <n v="5"/>
    <n v="5"/>
    <n v="0"/>
    <n v="5"/>
    <x v="0"/>
    <n v="7.5097987200932345E-2"/>
  </r>
  <r>
    <x v="11"/>
    <x v="1"/>
    <x v="0"/>
    <x v="2"/>
    <x v="2"/>
    <x v="0"/>
    <x v="1"/>
    <x v="1"/>
    <x v="2"/>
    <x v="9"/>
    <n v="2"/>
    <n v="3"/>
    <n v="0"/>
    <m/>
    <x v="1"/>
    <n v="0.37929594984188492"/>
  </r>
  <r>
    <x v="6"/>
    <x v="0"/>
    <x v="0"/>
    <x v="0"/>
    <x v="3"/>
    <x v="1"/>
    <x v="0"/>
    <x v="1"/>
    <x v="0"/>
    <x v="9"/>
    <n v="2"/>
    <n v="2"/>
    <n v="0"/>
    <m/>
    <x v="1"/>
    <n v="0.30880046345207129"/>
  </r>
  <r>
    <x v="22"/>
    <x v="1"/>
    <x v="1"/>
    <x v="0"/>
    <x v="2"/>
    <x v="1"/>
    <x v="0"/>
    <x v="1"/>
    <x v="1"/>
    <x v="8"/>
    <n v="2"/>
    <n v="2"/>
    <n v="0"/>
    <n v="2"/>
    <x v="0"/>
    <n v="0.17032001033339855"/>
  </r>
  <r>
    <x v="0"/>
    <x v="0"/>
    <x v="1"/>
    <x v="0"/>
    <x v="3"/>
    <x v="1"/>
    <x v="0"/>
    <x v="1"/>
    <x v="1"/>
    <x v="1"/>
    <n v="1"/>
    <n v="1"/>
    <n v="0"/>
    <n v="1"/>
    <x v="0"/>
    <n v="7.6980948887072007E-2"/>
  </r>
  <r>
    <x v="0"/>
    <x v="1"/>
    <x v="1"/>
    <x v="2"/>
    <x v="0"/>
    <x v="0"/>
    <x v="1"/>
    <x v="1"/>
    <x v="1"/>
    <x v="5"/>
    <n v="1"/>
    <n v="1"/>
    <n v="0"/>
    <n v="1"/>
    <x v="0"/>
    <n v="1.9665389303685415E-2"/>
  </r>
  <r>
    <x v="15"/>
    <x v="0"/>
    <x v="0"/>
    <x v="1"/>
    <x v="2"/>
    <x v="1"/>
    <x v="1"/>
    <x v="1"/>
    <x v="1"/>
    <x v="5"/>
    <n v="2"/>
    <n v="2"/>
    <n v="0"/>
    <n v="2"/>
    <x v="0"/>
    <n v="3.7541606025736154E-2"/>
  </r>
  <r>
    <x v="6"/>
    <x v="0"/>
    <x v="0"/>
    <x v="0"/>
    <x v="0"/>
    <x v="1"/>
    <x v="0"/>
    <x v="0"/>
    <x v="2"/>
    <x v="9"/>
    <n v="1"/>
    <n v="1"/>
    <n v="0"/>
    <m/>
    <x v="1"/>
    <n v="0.1710116934768498"/>
  </r>
  <r>
    <x v="12"/>
    <x v="1"/>
    <x v="0"/>
    <x v="2"/>
    <x v="0"/>
    <x v="0"/>
    <x v="1"/>
    <x v="1"/>
    <x v="0"/>
    <x v="2"/>
    <n v="1"/>
    <n v="1"/>
    <n v="0"/>
    <m/>
    <x v="1"/>
    <n v="4.2069997453546046E-2"/>
  </r>
  <r>
    <x v="10"/>
    <x v="1"/>
    <x v="0"/>
    <x v="0"/>
    <x v="3"/>
    <x v="0"/>
    <x v="1"/>
    <x v="1"/>
    <x v="0"/>
    <x v="3"/>
    <n v="1"/>
    <n v="1"/>
    <n v="0"/>
    <m/>
    <x v="1"/>
    <n v="6.2231171033494175E-2"/>
  </r>
  <r>
    <x v="14"/>
    <x v="0"/>
    <x v="0"/>
    <x v="2"/>
    <x v="1"/>
    <x v="1"/>
    <x v="0"/>
    <x v="1"/>
    <x v="1"/>
    <x v="8"/>
    <n v="1"/>
    <n v="8"/>
    <n v="0"/>
    <m/>
    <x v="1"/>
    <n v="0.84413305574437769"/>
  </r>
  <r>
    <x v="13"/>
    <x v="0"/>
    <x v="1"/>
    <x v="0"/>
    <x v="0"/>
    <x v="0"/>
    <x v="1"/>
    <x v="1"/>
    <x v="1"/>
    <x v="6"/>
    <n v="1"/>
    <n v="1"/>
    <n v="0"/>
    <m/>
    <x v="1"/>
    <n v="9.9848113487339026E-3"/>
  </r>
  <r>
    <x v="11"/>
    <x v="1"/>
    <x v="0"/>
    <x v="0"/>
    <x v="3"/>
    <x v="0"/>
    <x v="1"/>
    <x v="1"/>
    <x v="1"/>
    <x v="4"/>
    <n v="1"/>
    <n v="1"/>
    <n v="0"/>
    <m/>
    <x v="1"/>
    <n v="4.1819346475315163E-2"/>
  </r>
  <r>
    <x v="2"/>
    <x v="0"/>
    <x v="0"/>
    <x v="1"/>
    <x v="2"/>
    <x v="1"/>
    <x v="0"/>
    <x v="0"/>
    <x v="2"/>
    <x v="8"/>
    <n v="1"/>
    <n v="1"/>
    <n v="0"/>
    <m/>
    <x v="1"/>
    <n v="0.12131608288674169"/>
  </r>
  <r>
    <x v="9"/>
    <x v="0"/>
    <x v="1"/>
    <x v="0"/>
    <x v="2"/>
    <x v="0"/>
    <x v="0"/>
    <x v="0"/>
    <x v="1"/>
    <x v="7"/>
    <n v="1"/>
    <n v="2"/>
    <n v="0"/>
    <n v="1"/>
    <x v="0"/>
    <n v="6.066426167972111E-2"/>
  </r>
  <r>
    <x v="13"/>
    <x v="1"/>
    <x v="0"/>
    <x v="0"/>
    <x v="0"/>
    <x v="0"/>
    <x v="0"/>
    <x v="1"/>
    <x v="0"/>
    <x v="1"/>
    <n v="1"/>
    <n v="1"/>
    <n v="0"/>
    <m/>
    <x v="1"/>
    <n v="6.5910609031603465E-2"/>
  </r>
  <r>
    <x v="2"/>
    <x v="0"/>
    <x v="0"/>
    <x v="1"/>
    <x v="3"/>
    <x v="0"/>
    <x v="0"/>
    <x v="1"/>
    <x v="1"/>
    <x v="7"/>
    <n v="1"/>
    <n v="1"/>
    <n v="0"/>
    <m/>
    <x v="1"/>
    <n v="2.7074138929634051E-2"/>
  </r>
  <r>
    <x v="20"/>
    <x v="1"/>
    <x v="1"/>
    <x v="0"/>
    <x v="3"/>
    <x v="1"/>
    <x v="0"/>
    <x v="1"/>
    <x v="0"/>
    <x v="9"/>
    <n v="1"/>
    <n v="1"/>
    <n v="0"/>
    <n v="1"/>
    <x v="0"/>
    <n v="0.16088299756810187"/>
  </r>
  <r>
    <x v="17"/>
    <x v="1"/>
    <x v="1"/>
    <x v="0"/>
    <x v="2"/>
    <x v="1"/>
    <x v="0"/>
    <x v="1"/>
    <x v="2"/>
    <x v="9"/>
    <n v="1"/>
    <n v="1"/>
    <n v="1"/>
    <n v="1"/>
    <x v="0"/>
    <n v="0.24119501983049757"/>
  </r>
  <r>
    <x v="12"/>
    <x v="0"/>
    <x v="0"/>
    <x v="0"/>
    <x v="0"/>
    <x v="1"/>
    <x v="1"/>
    <x v="0"/>
    <x v="1"/>
    <x v="7"/>
    <n v="3"/>
    <n v="3"/>
    <n v="0"/>
    <m/>
    <x v="1"/>
    <n v="8.3365451563734885E-2"/>
  </r>
  <r>
    <x v="2"/>
    <x v="0"/>
    <x v="1"/>
    <x v="1"/>
    <x v="1"/>
    <x v="0"/>
    <x v="0"/>
    <x v="1"/>
    <x v="1"/>
    <x v="6"/>
    <n v="2"/>
    <n v="2"/>
    <n v="0"/>
    <m/>
    <x v="1"/>
    <n v="2.8451463017698971E-2"/>
  </r>
  <r>
    <x v="21"/>
    <x v="0"/>
    <x v="0"/>
    <x v="2"/>
    <x v="0"/>
    <x v="0"/>
    <x v="0"/>
    <x v="0"/>
    <x v="0"/>
    <x v="0"/>
    <n v="2"/>
    <n v="2"/>
    <n v="0"/>
    <m/>
    <x v="1"/>
    <n v="0.11568704600419652"/>
  </r>
  <r>
    <x v="9"/>
    <x v="1"/>
    <x v="1"/>
    <x v="0"/>
    <x v="1"/>
    <x v="1"/>
    <x v="0"/>
    <x v="1"/>
    <x v="0"/>
    <x v="9"/>
    <n v="1"/>
    <n v="2"/>
    <n v="0"/>
    <n v="1"/>
    <x v="0"/>
    <n v="0.25047186248679471"/>
  </r>
  <r>
    <x v="20"/>
    <x v="0"/>
    <x v="0"/>
    <x v="0"/>
    <x v="3"/>
    <x v="0"/>
    <x v="0"/>
    <x v="1"/>
    <x v="0"/>
    <x v="8"/>
    <n v="1"/>
    <n v="1"/>
    <n v="0"/>
    <n v="1"/>
    <x v="0"/>
    <n v="8.4893923858991527E-2"/>
  </r>
  <r>
    <x v="11"/>
    <x v="1"/>
    <x v="1"/>
    <x v="0"/>
    <x v="2"/>
    <x v="0"/>
    <x v="0"/>
    <x v="1"/>
    <x v="2"/>
    <x v="9"/>
    <n v="1"/>
    <n v="1"/>
    <n v="0"/>
    <m/>
    <x v="1"/>
    <n v="0.13904095240248723"/>
  </r>
  <r>
    <x v="1"/>
    <x v="0"/>
    <x v="1"/>
    <x v="0"/>
    <x v="0"/>
    <x v="1"/>
    <x v="0"/>
    <x v="0"/>
    <x v="1"/>
    <x v="4"/>
    <n v="5"/>
    <n v="5"/>
    <n v="0"/>
    <n v="5"/>
    <x v="0"/>
    <n v="0.20133623171918169"/>
  </r>
  <r>
    <x v="7"/>
    <x v="1"/>
    <x v="1"/>
    <x v="0"/>
    <x v="1"/>
    <x v="0"/>
    <x v="0"/>
    <x v="1"/>
    <x v="0"/>
    <x v="1"/>
    <n v="4"/>
    <n v="6"/>
    <n v="0"/>
    <m/>
    <x v="1"/>
    <n v="0.40683448709077763"/>
  </r>
  <r>
    <x v="8"/>
    <x v="0"/>
    <x v="0"/>
    <x v="1"/>
    <x v="3"/>
    <x v="1"/>
    <x v="0"/>
    <x v="0"/>
    <x v="2"/>
    <x v="9"/>
    <n v="1"/>
    <n v="1"/>
    <n v="0"/>
    <m/>
    <x v="1"/>
    <n v="0.15755800253898447"/>
  </r>
  <r>
    <x v="21"/>
    <x v="0"/>
    <x v="1"/>
    <x v="0"/>
    <x v="0"/>
    <x v="0"/>
    <x v="1"/>
    <x v="1"/>
    <x v="2"/>
    <x v="4"/>
    <n v="1"/>
    <n v="1"/>
    <n v="0"/>
    <m/>
    <x v="1"/>
    <n v="3.3292078574409821E-2"/>
  </r>
  <r>
    <x v="5"/>
    <x v="0"/>
    <x v="0"/>
    <x v="0"/>
    <x v="2"/>
    <x v="0"/>
    <x v="1"/>
    <x v="0"/>
    <x v="0"/>
    <x v="4"/>
    <n v="1"/>
    <n v="1"/>
    <n v="0"/>
    <n v="1"/>
    <x v="0"/>
    <n v="3.1384565006669626E-2"/>
  </r>
  <r>
    <x v="2"/>
    <x v="1"/>
    <x v="1"/>
    <x v="2"/>
    <x v="0"/>
    <x v="0"/>
    <x v="1"/>
    <x v="1"/>
    <x v="1"/>
    <x v="5"/>
    <n v="1"/>
    <n v="1"/>
    <n v="0"/>
    <m/>
    <x v="1"/>
    <n v="1.9665389303685415E-2"/>
  </r>
  <r>
    <x v="5"/>
    <x v="1"/>
    <x v="1"/>
    <x v="0"/>
    <x v="0"/>
    <x v="0"/>
    <x v="1"/>
    <x v="0"/>
    <x v="0"/>
    <x v="7"/>
    <n v="1"/>
    <n v="1"/>
    <n v="0"/>
    <n v="1"/>
    <x v="0"/>
    <n v="2.2659939205773683E-2"/>
  </r>
  <r>
    <x v="6"/>
    <x v="1"/>
    <x v="0"/>
    <x v="2"/>
    <x v="2"/>
    <x v="1"/>
    <x v="1"/>
    <x v="1"/>
    <x v="1"/>
    <x v="1"/>
    <n v="2"/>
    <n v="2"/>
    <n v="0"/>
    <m/>
    <x v="1"/>
    <n v="0.15400049027033044"/>
  </r>
  <r>
    <x v="2"/>
    <x v="1"/>
    <x v="1"/>
    <x v="1"/>
    <x v="0"/>
    <x v="1"/>
    <x v="0"/>
    <x v="0"/>
    <x v="1"/>
    <x v="7"/>
    <n v="1"/>
    <n v="1"/>
    <n v="0"/>
    <m/>
    <x v="1"/>
    <n v="2.8118975193987015E-2"/>
  </r>
  <r>
    <x v="1"/>
    <x v="0"/>
    <x v="1"/>
    <x v="1"/>
    <x v="1"/>
    <x v="1"/>
    <x v="0"/>
    <x v="1"/>
    <x v="2"/>
    <x v="8"/>
    <n v="1"/>
    <n v="1"/>
    <n v="0"/>
    <n v="1"/>
    <x v="0"/>
    <n v="8.8413868051613997E-2"/>
  </r>
  <r>
    <x v="3"/>
    <x v="0"/>
    <x v="1"/>
    <x v="0"/>
    <x v="0"/>
    <x v="0"/>
    <x v="0"/>
    <x v="1"/>
    <x v="0"/>
    <x v="4"/>
    <n v="3"/>
    <n v="5"/>
    <n v="0"/>
    <m/>
    <x v="1"/>
    <n v="0.15697228561877108"/>
  </r>
  <r>
    <x v="19"/>
    <x v="0"/>
    <x v="0"/>
    <x v="1"/>
    <x v="2"/>
    <x v="0"/>
    <x v="1"/>
    <x v="1"/>
    <x v="2"/>
    <x v="4"/>
    <n v="2"/>
    <n v="2"/>
    <n v="0"/>
    <m/>
    <x v="1"/>
    <n v="6.4244019136035085E-2"/>
  </r>
  <r>
    <x v="1"/>
    <x v="1"/>
    <x v="0"/>
    <x v="0"/>
    <x v="3"/>
    <x v="0"/>
    <x v="1"/>
    <x v="1"/>
    <x v="2"/>
    <x v="9"/>
    <n v="2"/>
    <n v="2"/>
    <n v="0"/>
    <n v="2"/>
    <x v="0"/>
    <n v="0.25940336775922235"/>
  </r>
  <r>
    <x v="2"/>
    <x v="0"/>
    <x v="1"/>
    <x v="0"/>
    <x v="3"/>
    <x v="1"/>
    <x v="0"/>
    <x v="1"/>
    <x v="0"/>
    <x v="8"/>
    <n v="1"/>
    <n v="1"/>
    <n v="0"/>
    <m/>
    <x v="1"/>
    <n v="0.11253926602183867"/>
  </r>
  <r>
    <x v="7"/>
    <x v="0"/>
    <x v="0"/>
    <x v="1"/>
    <x v="2"/>
    <x v="1"/>
    <x v="1"/>
    <x v="1"/>
    <x v="0"/>
    <x v="7"/>
    <n v="1"/>
    <n v="1"/>
    <n v="0"/>
    <m/>
    <x v="1"/>
    <n v="2.8264594111214687E-2"/>
  </r>
  <r>
    <x v="4"/>
    <x v="0"/>
    <x v="0"/>
    <x v="0"/>
    <x v="2"/>
    <x v="1"/>
    <x v="1"/>
    <x v="0"/>
    <x v="0"/>
    <x v="3"/>
    <n v="1"/>
    <n v="1"/>
    <n v="0"/>
    <m/>
    <x v="1"/>
    <n v="5.995057339817321E-2"/>
  </r>
  <r>
    <x v="12"/>
    <x v="0"/>
    <x v="1"/>
    <x v="0"/>
    <x v="2"/>
    <x v="1"/>
    <x v="1"/>
    <x v="1"/>
    <x v="1"/>
    <x v="7"/>
    <n v="2"/>
    <n v="2"/>
    <n v="0"/>
    <m/>
    <x v="1"/>
    <n v="5.6609868750299878E-2"/>
  </r>
  <r>
    <x v="12"/>
    <x v="0"/>
    <x v="0"/>
    <x v="2"/>
    <x v="2"/>
    <x v="0"/>
    <x v="0"/>
    <x v="0"/>
    <x v="1"/>
    <x v="0"/>
    <n v="2"/>
    <n v="2"/>
    <n v="0"/>
    <m/>
    <x v="1"/>
    <n v="0.11187579774158009"/>
  </r>
  <r>
    <x v="18"/>
    <x v="1"/>
    <x v="1"/>
    <x v="0"/>
    <x v="3"/>
    <x v="1"/>
    <x v="0"/>
    <x v="1"/>
    <x v="2"/>
    <x v="9"/>
    <n v="1"/>
    <n v="1"/>
    <n v="0"/>
    <m/>
    <x v="1"/>
    <n v="0.30098236555114261"/>
  </r>
  <r>
    <x v="16"/>
    <x v="1"/>
    <x v="1"/>
    <x v="2"/>
    <x v="2"/>
    <x v="0"/>
    <x v="1"/>
    <x v="1"/>
    <x v="0"/>
    <x v="2"/>
    <n v="1"/>
    <n v="1"/>
    <n v="0"/>
    <m/>
    <x v="1"/>
    <n v="4.2840174936451855E-2"/>
  </r>
  <r>
    <x v="0"/>
    <x v="1"/>
    <x v="0"/>
    <x v="1"/>
    <x v="0"/>
    <x v="0"/>
    <x v="0"/>
    <x v="0"/>
    <x v="1"/>
    <x v="5"/>
    <n v="3"/>
    <n v="4"/>
    <n v="0"/>
    <n v="2"/>
    <x v="0"/>
    <n v="8.2908739469652437E-2"/>
  </r>
  <r>
    <x v="5"/>
    <x v="1"/>
    <x v="1"/>
    <x v="2"/>
    <x v="0"/>
    <x v="0"/>
    <x v="0"/>
    <x v="0"/>
    <x v="2"/>
    <x v="9"/>
    <n v="2"/>
    <n v="3"/>
    <n v="0"/>
    <n v="2"/>
    <x v="0"/>
    <n v="0.37940376584989283"/>
  </r>
  <r>
    <x v="16"/>
    <x v="1"/>
    <x v="1"/>
    <x v="0"/>
    <x v="2"/>
    <x v="0"/>
    <x v="1"/>
    <x v="0"/>
    <x v="2"/>
    <x v="1"/>
    <n v="1"/>
    <n v="1"/>
    <n v="0"/>
    <m/>
    <x v="1"/>
    <n v="7.0983587013537311E-2"/>
  </r>
  <r>
    <x v="14"/>
    <x v="1"/>
    <x v="0"/>
    <x v="1"/>
    <x v="0"/>
    <x v="0"/>
    <x v="1"/>
    <x v="0"/>
    <x v="0"/>
    <x v="5"/>
    <n v="1"/>
    <n v="1"/>
    <n v="0"/>
    <m/>
    <x v="1"/>
    <n v="1.4997899225310888E-2"/>
  </r>
  <r>
    <x v="4"/>
    <x v="0"/>
    <x v="0"/>
    <x v="0"/>
    <x v="3"/>
    <x v="1"/>
    <x v="0"/>
    <x v="1"/>
    <x v="0"/>
    <x v="9"/>
    <n v="1"/>
    <n v="3"/>
    <n v="0"/>
    <m/>
    <x v="1"/>
    <n v="0.46320069517810697"/>
  </r>
  <r>
    <x v="6"/>
    <x v="0"/>
    <x v="0"/>
    <x v="1"/>
    <x v="2"/>
    <x v="1"/>
    <x v="0"/>
    <x v="1"/>
    <x v="1"/>
    <x v="4"/>
    <n v="1"/>
    <n v="1"/>
    <n v="0"/>
    <m/>
    <x v="1"/>
    <n v="3.8861886041588509E-2"/>
  </r>
  <r>
    <x v="15"/>
    <x v="0"/>
    <x v="1"/>
    <x v="2"/>
    <x v="0"/>
    <x v="0"/>
    <x v="0"/>
    <x v="1"/>
    <x v="1"/>
    <x v="7"/>
    <n v="3"/>
    <n v="4"/>
    <n v="0"/>
    <n v="3"/>
    <x v="0"/>
    <n v="0.10911136800135676"/>
  </r>
  <r>
    <x v="11"/>
    <x v="1"/>
    <x v="1"/>
    <x v="0"/>
    <x v="3"/>
    <x v="1"/>
    <x v="0"/>
    <x v="1"/>
    <x v="0"/>
    <x v="9"/>
    <n v="1"/>
    <n v="1"/>
    <n v="0"/>
    <m/>
    <x v="1"/>
    <n v="0.16088299756810187"/>
  </r>
  <r>
    <x v="16"/>
    <x v="0"/>
    <x v="0"/>
    <x v="2"/>
    <x v="3"/>
    <x v="0"/>
    <x v="0"/>
    <x v="1"/>
    <x v="2"/>
    <x v="9"/>
    <n v="1"/>
    <n v="1"/>
    <n v="0"/>
    <m/>
    <x v="1"/>
    <n v="0.21511628420770765"/>
  </r>
  <r>
    <x v="22"/>
    <x v="0"/>
    <x v="1"/>
    <x v="2"/>
    <x v="2"/>
    <x v="0"/>
    <x v="0"/>
    <x v="1"/>
    <x v="0"/>
    <x v="3"/>
    <n v="1"/>
    <n v="2"/>
    <n v="0"/>
    <n v="1"/>
    <x v="0"/>
    <n v="0.11776943292837963"/>
  </r>
  <r>
    <x v="16"/>
    <x v="1"/>
    <x v="1"/>
    <x v="1"/>
    <x v="2"/>
    <x v="0"/>
    <x v="1"/>
    <x v="1"/>
    <x v="2"/>
    <x v="4"/>
    <n v="1"/>
    <n v="1"/>
    <n v="0"/>
    <m/>
    <x v="1"/>
    <n v="3.3675167837974015E-2"/>
  </r>
  <r>
    <x v="20"/>
    <x v="1"/>
    <x v="0"/>
    <x v="2"/>
    <x v="0"/>
    <x v="0"/>
    <x v="0"/>
    <x v="1"/>
    <x v="2"/>
    <x v="9"/>
    <n v="1"/>
    <n v="1"/>
    <n v="0"/>
    <n v="1"/>
    <x v="0"/>
    <n v="0.17250282287365376"/>
  </r>
  <r>
    <x v="6"/>
    <x v="0"/>
    <x v="0"/>
    <x v="0"/>
    <x v="1"/>
    <x v="1"/>
    <x v="0"/>
    <x v="0"/>
    <x v="1"/>
    <x v="1"/>
    <n v="2"/>
    <n v="2"/>
    <n v="0"/>
    <m/>
    <x v="1"/>
    <n v="0.16458331875245902"/>
  </r>
  <r>
    <x v="17"/>
    <x v="0"/>
    <x v="1"/>
    <x v="1"/>
    <x v="2"/>
    <x v="1"/>
    <x v="0"/>
    <x v="0"/>
    <x v="0"/>
    <x v="4"/>
    <n v="1"/>
    <n v="1"/>
    <n v="0"/>
    <m/>
    <x v="0"/>
    <n v="4.0948154717703626E-2"/>
  </r>
  <r>
    <x v="9"/>
    <x v="1"/>
    <x v="0"/>
    <x v="2"/>
    <x v="2"/>
    <x v="0"/>
    <x v="0"/>
    <x v="0"/>
    <x v="0"/>
    <x v="8"/>
    <n v="1"/>
    <n v="1"/>
    <n v="0"/>
    <n v="1"/>
    <x v="0"/>
    <n v="0.11988383252407406"/>
  </r>
  <r>
    <x v="20"/>
    <x v="0"/>
    <x v="1"/>
    <x v="0"/>
    <x v="2"/>
    <x v="1"/>
    <x v="0"/>
    <x v="1"/>
    <x v="2"/>
    <x v="9"/>
    <n v="1"/>
    <n v="1"/>
    <n v="0"/>
    <n v="1"/>
    <x v="0"/>
    <n v="0.17371434400069519"/>
  </r>
  <r>
    <x v="20"/>
    <x v="1"/>
    <x v="1"/>
    <x v="0"/>
    <x v="2"/>
    <x v="1"/>
    <x v="1"/>
    <x v="1"/>
    <x v="1"/>
    <x v="2"/>
    <n v="3"/>
    <n v="3"/>
    <n v="0"/>
    <n v="3"/>
    <x v="0"/>
    <n v="0.12655177137867751"/>
  </r>
  <r>
    <x v="0"/>
    <x v="0"/>
    <x v="1"/>
    <x v="1"/>
    <x v="0"/>
    <x v="1"/>
    <x v="1"/>
    <x v="1"/>
    <x v="1"/>
    <x v="6"/>
    <n v="1"/>
    <n v="1"/>
    <n v="0"/>
    <n v="1"/>
    <x v="0"/>
    <n v="8.972504978647905E-3"/>
  </r>
  <r>
    <x v="1"/>
    <x v="1"/>
    <x v="0"/>
    <x v="0"/>
    <x v="0"/>
    <x v="1"/>
    <x v="1"/>
    <x v="0"/>
    <x v="1"/>
    <x v="4"/>
    <n v="1"/>
    <n v="1"/>
    <n v="0"/>
    <n v="1"/>
    <x v="0"/>
    <n v="4.1425033735772165E-2"/>
  </r>
  <r>
    <x v="12"/>
    <x v="0"/>
    <x v="1"/>
    <x v="1"/>
    <x v="2"/>
    <x v="0"/>
    <x v="0"/>
    <x v="0"/>
    <x v="0"/>
    <x v="5"/>
    <n v="1"/>
    <n v="2"/>
    <n v="0"/>
    <m/>
    <x v="1"/>
    <n v="4.2464304589112621E-2"/>
  </r>
  <r>
    <x v="14"/>
    <x v="0"/>
    <x v="0"/>
    <x v="0"/>
    <x v="1"/>
    <x v="1"/>
    <x v="0"/>
    <x v="1"/>
    <x v="0"/>
    <x v="8"/>
    <n v="8"/>
    <n v="16"/>
    <n v="1"/>
    <m/>
    <x v="1"/>
    <n v="1.9197467607810845"/>
  </r>
  <r>
    <x v="4"/>
    <x v="0"/>
    <x v="0"/>
    <x v="0"/>
    <x v="3"/>
    <x v="0"/>
    <x v="0"/>
    <x v="1"/>
    <x v="0"/>
    <x v="8"/>
    <n v="1"/>
    <n v="1"/>
    <n v="0"/>
    <m/>
    <x v="1"/>
    <n v="8.4893923858991527E-2"/>
  </r>
  <r>
    <x v="2"/>
    <x v="1"/>
    <x v="0"/>
    <x v="0"/>
    <x v="3"/>
    <x v="1"/>
    <x v="0"/>
    <x v="0"/>
    <x v="2"/>
    <x v="9"/>
    <n v="2"/>
    <n v="3"/>
    <n v="0"/>
    <m/>
    <x v="1"/>
    <n v="1.1481308342243193"/>
  </r>
  <r>
    <x v="16"/>
    <x v="0"/>
    <x v="0"/>
    <x v="1"/>
    <x v="2"/>
    <x v="0"/>
    <x v="0"/>
    <x v="0"/>
    <x v="2"/>
    <x v="1"/>
    <n v="1"/>
    <n v="1"/>
    <n v="0"/>
    <m/>
    <x v="1"/>
    <n v="6.5548751803400848E-2"/>
  </r>
  <r>
    <x v="0"/>
    <x v="1"/>
    <x v="1"/>
    <x v="2"/>
    <x v="1"/>
    <x v="0"/>
    <x v="0"/>
    <x v="1"/>
    <x v="1"/>
    <x v="3"/>
    <n v="4"/>
    <n v="7"/>
    <n v="0"/>
    <n v="3"/>
    <x v="0"/>
    <n v="0.41444566356223211"/>
  </r>
  <r>
    <x v="12"/>
    <x v="0"/>
    <x v="1"/>
    <x v="0"/>
    <x v="2"/>
    <x v="0"/>
    <x v="0"/>
    <x v="0"/>
    <x v="1"/>
    <x v="7"/>
    <n v="1"/>
    <n v="2"/>
    <n v="0"/>
    <m/>
    <x v="1"/>
    <n v="6.066426167972111E-2"/>
  </r>
  <r>
    <x v="6"/>
    <x v="1"/>
    <x v="0"/>
    <x v="1"/>
    <x v="2"/>
    <x v="1"/>
    <x v="1"/>
    <x v="1"/>
    <x v="1"/>
    <x v="7"/>
    <n v="1"/>
    <n v="1"/>
    <n v="0"/>
    <m/>
    <x v="1"/>
    <n v="2.811008520036597E-2"/>
  </r>
  <r>
    <x v="4"/>
    <x v="0"/>
    <x v="0"/>
    <x v="1"/>
    <x v="2"/>
    <x v="0"/>
    <x v="1"/>
    <x v="1"/>
    <x v="0"/>
    <x v="5"/>
    <n v="1"/>
    <n v="1"/>
    <n v="0"/>
    <m/>
    <x v="1"/>
    <n v="1.4562828746708278E-2"/>
  </r>
  <r>
    <x v="19"/>
    <x v="0"/>
    <x v="0"/>
    <x v="0"/>
    <x v="0"/>
    <x v="1"/>
    <x v="1"/>
    <x v="0"/>
    <x v="1"/>
    <x v="7"/>
    <n v="1"/>
    <n v="1"/>
    <n v="0"/>
    <m/>
    <x v="1"/>
    <n v="2.7788483854578296E-2"/>
  </r>
  <r>
    <x v="11"/>
    <x v="0"/>
    <x v="0"/>
    <x v="0"/>
    <x v="3"/>
    <x v="0"/>
    <x v="0"/>
    <x v="1"/>
    <x v="2"/>
    <x v="9"/>
    <n v="1"/>
    <n v="1"/>
    <n v="0"/>
    <m/>
    <x v="1"/>
    <n v="0.17241763602692631"/>
  </r>
  <r>
    <x v="7"/>
    <x v="0"/>
    <x v="0"/>
    <x v="0"/>
    <x v="3"/>
    <x v="0"/>
    <x v="1"/>
    <x v="1"/>
    <x v="2"/>
    <x v="8"/>
    <n v="2"/>
    <n v="3"/>
    <n v="0"/>
    <m/>
    <x v="1"/>
    <n v="0.2691772132109515"/>
  </r>
  <r>
    <x v="20"/>
    <x v="0"/>
    <x v="0"/>
    <x v="2"/>
    <x v="3"/>
    <x v="1"/>
    <x v="0"/>
    <x v="1"/>
    <x v="2"/>
    <x v="9"/>
    <n v="1"/>
    <n v="1"/>
    <n v="0"/>
    <n v="1"/>
    <x v="0"/>
    <n v="0.35041457657899155"/>
  </r>
  <r>
    <x v="13"/>
    <x v="0"/>
    <x v="0"/>
    <x v="1"/>
    <x v="1"/>
    <x v="1"/>
    <x v="0"/>
    <x v="1"/>
    <x v="2"/>
    <x v="8"/>
    <n v="1"/>
    <n v="1"/>
    <n v="0"/>
    <m/>
    <x v="1"/>
    <n v="0.12254007280701143"/>
  </r>
  <r>
    <x v="15"/>
    <x v="0"/>
    <x v="0"/>
    <x v="0"/>
    <x v="3"/>
    <x v="1"/>
    <x v="0"/>
    <x v="1"/>
    <x v="2"/>
    <x v="9"/>
    <n v="2"/>
    <n v="6"/>
    <n v="0"/>
    <n v="2"/>
    <x v="0"/>
    <n v="1.7448647012571212"/>
  </r>
  <r>
    <x v="21"/>
    <x v="0"/>
    <x v="1"/>
    <x v="0"/>
    <x v="2"/>
    <x v="0"/>
    <x v="1"/>
    <x v="1"/>
    <x v="0"/>
    <x v="7"/>
    <n v="1"/>
    <n v="1"/>
    <n v="0"/>
    <m/>
    <x v="1"/>
    <n v="2.2007568458762099E-2"/>
  </r>
  <r>
    <x v="20"/>
    <x v="1"/>
    <x v="0"/>
    <x v="1"/>
    <x v="2"/>
    <x v="0"/>
    <x v="0"/>
    <x v="1"/>
    <x v="0"/>
    <x v="0"/>
    <n v="2"/>
    <n v="2"/>
    <n v="0"/>
    <n v="2"/>
    <x v="0"/>
    <n v="9.0191380175083991E-2"/>
  </r>
  <r>
    <x v="3"/>
    <x v="0"/>
    <x v="0"/>
    <x v="0"/>
    <x v="3"/>
    <x v="1"/>
    <x v="0"/>
    <x v="0"/>
    <x v="1"/>
    <x v="8"/>
    <n v="1"/>
    <n v="2"/>
    <n v="0"/>
    <m/>
    <x v="1"/>
    <n v="0.21442651361065859"/>
  </r>
  <r>
    <x v="5"/>
    <x v="0"/>
    <x v="1"/>
    <x v="2"/>
    <x v="1"/>
    <x v="1"/>
    <x v="0"/>
    <x v="1"/>
    <x v="1"/>
    <x v="1"/>
    <n v="3"/>
    <n v="4"/>
    <n v="0"/>
    <n v="3"/>
    <x v="0"/>
    <n v="0.30288866365397854"/>
  </r>
  <r>
    <x v="20"/>
    <x v="1"/>
    <x v="0"/>
    <x v="1"/>
    <x v="2"/>
    <x v="0"/>
    <x v="1"/>
    <x v="1"/>
    <x v="1"/>
    <x v="6"/>
    <n v="1"/>
    <n v="1"/>
    <n v="0"/>
    <n v="1"/>
    <x v="0"/>
    <n v="1.4482104507696861E-2"/>
  </r>
  <r>
    <x v="0"/>
    <x v="0"/>
    <x v="1"/>
    <x v="2"/>
    <x v="2"/>
    <x v="0"/>
    <x v="0"/>
    <x v="1"/>
    <x v="2"/>
    <x v="8"/>
    <n v="2"/>
    <n v="2"/>
    <n v="0"/>
    <n v="2"/>
    <x v="0"/>
    <n v="0.24640740521321994"/>
  </r>
  <r>
    <x v="8"/>
    <x v="0"/>
    <x v="0"/>
    <x v="0"/>
    <x v="0"/>
    <x v="1"/>
    <x v="1"/>
    <x v="0"/>
    <x v="1"/>
    <x v="7"/>
    <n v="1"/>
    <n v="1"/>
    <n v="0"/>
    <m/>
    <x v="1"/>
    <n v="2.7788483854578296E-2"/>
  </r>
  <r>
    <x v="2"/>
    <x v="1"/>
    <x v="0"/>
    <x v="1"/>
    <x v="0"/>
    <x v="0"/>
    <x v="1"/>
    <x v="0"/>
    <x v="0"/>
    <x v="5"/>
    <n v="1"/>
    <n v="2"/>
    <n v="0"/>
    <m/>
    <x v="1"/>
    <n v="2.9995798450621777E-2"/>
  </r>
  <r>
    <x v="18"/>
    <x v="0"/>
    <x v="1"/>
    <x v="0"/>
    <x v="2"/>
    <x v="0"/>
    <x v="1"/>
    <x v="1"/>
    <x v="0"/>
    <x v="7"/>
    <n v="1"/>
    <n v="1"/>
    <n v="0"/>
    <m/>
    <x v="1"/>
    <n v="2.2007568458762099E-2"/>
  </r>
  <r>
    <x v="17"/>
    <x v="1"/>
    <x v="1"/>
    <x v="2"/>
    <x v="0"/>
    <x v="0"/>
    <x v="0"/>
    <x v="1"/>
    <x v="0"/>
    <x v="3"/>
    <n v="1"/>
    <n v="1"/>
    <n v="1"/>
    <n v="1"/>
    <x v="0"/>
    <n v="6.0562543455648175E-2"/>
  </r>
  <r>
    <x v="7"/>
    <x v="0"/>
    <x v="0"/>
    <x v="1"/>
    <x v="1"/>
    <x v="0"/>
    <x v="0"/>
    <x v="1"/>
    <x v="2"/>
    <x v="1"/>
    <n v="1"/>
    <n v="1"/>
    <n v="0"/>
    <m/>
    <x v="1"/>
    <n v="6.6252514174304555E-2"/>
  </r>
  <r>
    <x v="10"/>
    <x v="0"/>
    <x v="1"/>
    <x v="2"/>
    <x v="0"/>
    <x v="0"/>
    <x v="0"/>
    <x v="0"/>
    <x v="1"/>
    <x v="7"/>
    <n v="1"/>
    <n v="1"/>
    <n v="0"/>
    <m/>
    <x v="1"/>
    <n v="2.7277842000339191E-2"/>
  </r>
  <r>
    <x v="1"/>
    <x v="1"/>
    <x v="0"/>
    <x v="2"/>
    <x v="0"/>
    <x v="0"/>
    <x v="1"/>
    <x v="1"/>
    <x v="0"/>
    <x v="2"/>
    <n v="1"/>
    <n v="1"/>
    <n v="0"/>
    <n v="1"/>
    <x v="0"/>
    <n v="4.2069997453546046E-2"/>
  </r>
  <r>
    <x v="5"/>
    <x v="0"/>
    <x v="1"/>
    <x v="1"/>
    <x v="0"/>
    <x v="1"/>
    <x v="0"/>
    <x v="0"/>
    <x v="1"/>
    <x v="5"/>
    <n v="1"/>
    <n v="1"/>
    <n v="0"/>
    <n v="1"/>
    <x v="0"/>
    <n v="1.8776796462310515E-2"/>
  </r>
  <r>
    <x v="6"/>
    <x v="0"/>
    <x v="1"/>
    <x v="2"/>
    <x v="0"/>
    <x v="0"/>
    <x v="0"/>
    <x v="1"/>
    <x v="1"/>
    <x v="7"/>
    <n v="1"/>
    <n v="1"/>
    <n v="0"/>
    <m/>
    <x v="1"/>
    <n v="2.7277842000339191E-2"/>
  </r>
  <r>
    <x v="14"/>
    <x v="1"/>
    <x v="1"/>
    <x v="0"/>
    <x v="2"/>
    <x v="1"/>
    <x v="0"/>
    <x v="1"/>
    <x v="0"/>
    <x v="8"/>
    <n v="1"/>
    <n v="1"/>
    <n v="0"/>
    <m/>
    <x v="1"/>
    <n v="0.12398881875313826"/>
  </r>
  <r>
    <x v="15"/>
    <x v="0"/>
    <x v="1"/>
    <x v="0"/>
    <x v="3"/>
    <x v="0"/>
    <x v="1"/>
    <x v="1"/>
    <x v="2"/>
    <x v="3"/>
    <n v="2"/>
    <n v="2"/>
    <n v="0"/>
    <n v="2"/>
    <x v="0"/>
    <n v="0.12814145198905752"/>
  </r>
  <r>
    <x v="10"/>
    <x v="0"/>
    <x v="1"/>
    <x v="0"/>
    <x v="2"/>
    <x v="1"/>
    <x v="0"/>
    <x v="1"/>
    <x v="1"/>
    <x v="0"/>
    <n v="2"/>
    <n v="4"/>
    <n v="0"/>
    <m/>
    <x v="1"/>
    <n v="0.23199031270691034"/>
  </r>
  <r>
    <x v="7"/>
    <x v="0"/>
    <x v="1"/>
    <x v="1"/>
    <x v="0"/>
    <x v="1"/>
    <x v="0"/>
    <x v="0"/>
    <x v="2"/>
    <x v="3"/>
    <n v="1"/>
    <n v="1"/>
    <n v="0"/>
    <m/>
    <x v="1"/>
    <n v="6.1335473442694889E-2"/>
  </r>
  <r>
    <x v="17"/>
    <x v="1"/>
    <x v="0"/>
    <x v="0"/>
    <x v="3"/>
    <x v="0"/>
    <x v="0"/>
    <x v="0"/>
    <x v="2"/>
    <x v="9"/>
    <n v="1"/>
    <n v="2"/>
    <n v="1"/>
    <n v="1"/>
    <x v="0"/>
    <n v="0.47908124645836453"/>
  </r>
  <r>
    <x v="11"/>
    <x v="1"/>
    <x v="0"/>
    <x v="1"/>
    <x v="2"/>
    <x v="0"/>
    <x v="1"/>
    <x v="1"/>
    <x v="0"/>
    <x v="7"/>
    <n v="1"/>
    <n v="1"/>
    <n v="0"/>
    <m/>
    <x v="1"/>
    <n v="2.1855094877283671E-2"/>
  </r>
  <r>
    <x v="4"/>
    <x v="1"/>
    <x v="0"/>
    <x v="0"/>
    <x v="2"/>
    <x v="1"/>
    <x v="0"/>
    <x v="0"/>
    <x v="1"/>
    <x v="8"/>
    <n v="1"/>
    <n v="3"/>
    <n v="0"/>
    <m/>
    <x v="1"/>
    <n v="0.35457934774799399"/>
  </r>
  <r>
    <x v="19"/>
    <x v="1"/>
    <x v="0"/>
    <x v="0"/>
    <x v="2"/>
    <x v="1"/>
    <x v="0"/>
    <x v="1"/>
    <x v="0"/>
    <x v="9"/>
    <n v="1"/>
    <n v="2"/>
    <n v="0"/>
    <m/>
    <x v="1"/>
    <n v="0.33859241347985619"/>
  </r>
  <r>
    <x v="3"/>
    <x v="1"/>
    <x v="0"/>
    <x v="2"/>
    <x v="1"/>
    <x v="1"/>
    <x v="0"/>
    <x v="1"/>
    <x v="0"/>
    <x v="9"/>
    <n v="1"/>
    <n v="1"/>
    <n v="0"/>
    <m/>
    <x v="1"/>
    <n v="0.21333167671907721"/>
  </r>
  <r>
    <x v="0"/>
    <x v="0"/>
    <x v="0"/>
    <x v="0"/>
    <x v="2"/>
    <x v="0"/>
    <x v="0"/>
    <x v="0"/>
    <x v="1"/>
    <x v="2"/>
    <n v="3"/>
    <n v="3"/>
    <n v="0"/>
    <n v="3"/>
    <x v="0"/>
    <n v="0.12929924810722088"/>
  </r>
  <r>
    <x v="11"/>
    <x v="1"/>
    <x v="0"/>
    <x v="1"/>
    <x v="1"/>
    <x v="0"/>
    <x v="0"/>
    <x v="1"/>
    <x v="1"/>
    <x v="4"/>
    <n v="3"/>
    <n v="4"/>
    <n v="0"/>
    <m/>
    <x v="1"/>
    <n v="0.12183831901464526"/>
  </r>
  <r>
    <x v="10"/>
    <x v="0"/>
    <x v="0"/>
    <x v="0"/>
    <x v="3"/>
    <x v="0"/>
    <x v="1"/>
    <x v="1"/>
    <x v="1"/>
    <x v="7"/>
    <n v="2"/>
    <n v="2"/>
    <n v="0"/>
    <m/>
    <x v="1"/>
    <n v="5.6113586994347098E-2"/>
  </r>
  <r>
    <x v="19"/>
    <x v="1"/>
    <x v="1"/>
    <x v="2"/>
    <x v="2"/>
    <x v="0"/>
    <x v="0"/>
    <x v="1"/>
    <x v="2"/>
    <x v="9"/>
    <n v="1"/>
    <n v="3"/>
    <n v="0"/>
    <m/>
    <x v="1"/>
    <n v="0.52567217385903053"/>
  </r>
  <r>
    <x v="6"/>
    <x v="0"/>
    <x v="0"/>
    <x v="1"/>
    <x v="2"/>
    <x v="0"/>
    <x v="0"/>
    <x v="1"/>
    <x v="1"/>
    <x v="5"/>
    <n v="2"/>
    <n v="3"/>
    <n v="0"/>
    <m/>
    <x v="1"/>
    <n v="6.0387933988335737E-2"/>
  </r>
  <r>
    <x v="3"/>
    <x v="1"/>
    <x v="0"/>
    <x v="2"/>
    <x v="2"/>
    <x v="0"/>
    <x v="0"/>
    <x v="1"/>
    <x v="2"/>
    <x v="9"/>
    <n v="2"/>
    <n v="4"/>
    <n v="0"/>
    <m/>
    <x v="1"/>
    <n v="0.93698895724395781"/>
  </r>
  <r>
    <x v="6"/>
    <x v="0"/>
    <x v="1"/>
    <x v="0"/>
    <x v="0"/>
    <x v="0"/>
    <x v="0"/>
    <x v="1"/>
    <x v="2"/>
    <x v="1"/>
    <n v="1"/>
    <n v="2"/>
    <n v="0"/>
    <m/>
    <x v="1"/>
    <n v="0.1357021175431819"/>
  </r>
  <r>
    <x v="3"/>
    <x v="1"/>
    <x v="0"/>
    <x v="1"/>
    <x v="3"/>
    <x v="0"/>
    <x v="1"/>
    <x v="1"/>
    <x v="2"/>
    <x v="3"/>
    <n v="1"/>
    <n v="1"/>
    <n v="0"/>
    <m/>
    <x v="1"/>
    <n v="6.3645794272210038E-2"/>
  </r>
  <r>
    <x v="0"/>
    <x v="1"/>
    <x v="0"/>
    <x v="2"/>
    <x v="0"/>
    <x v="0"/>
    <x v="1"/>
    <x v="0"/>
    <x v="1"/>
    <x v="7"/>
    <n v="2"/>
    <n v="4"/>
    <n v="0"/>
    <n v="2"/>
    <x v="0"/>
    <n v="0.1122923002242814"/>
  </r>
  <r>
    <x v="5"/>
    <x v="1"/>
    <x v="0"/>
    <x v="1"/>
    <x v="3"/>
    <x v="0"/>
    <x v="0"/>
    <x v="1"/>
    <x v="1"/>
    <x v="4"/>
    <n v="1"/>
    <n v="4"/>
    <n v="0"/>
    <n v="1"/>
    <x v="0"/>
    <n v="0.16149879409915732"/>
  </r>
  <r>
    <x v="18"/>
    <x v="1"/>
    <x v="1"/>
    <x v="2"/>
    <x v="1"/>
    <x v="1"/>
    <x v="0"/>
    <x v="1"/>
    <x v="1"/>
    <x v="8"/>
    <n v="1"/>
    <n v="1"/>
    <n v="0"/>
    <m/>
    <x v="1"/>
    <n v="0.11021444940518223"/>
  </r>
  <r>
    <x v="15"/>
    <x v="0"/>
    <x v="0"/>
    <x v="2"/>
    <x v="2"/>
    <x v="0"/>
    <x v="0"/>
    <x v="0"/>
    <x v="0"/>
    <x v="1"/>
    <n v="2"/>
    <n v="2"/>
    <n v="0"/>
    <n v="2"/>
    <x v="0"/>
    <n v="0.16529306235547556"/>
  </r>
  <r>
    <x v="18"/>
    <x v="0"/>
    <x v="0"/>
    <x v="2"/>
    <x v="0"/>
    <x v="0"/>
    <x v="0"/>
    <x v="0"/>
    <x v="2"/>
    <x v="8"/>
    <n v="1"/>
    <n v="2"/>
    <n v="0"/>
    <m/>
    <x v="1"/>
    <n v="0.2423433124072577"/>
  </r>
  <r>
    <x v="11"/>
    <x v="0"/>
    <x v="1"/>
    <x v="2"/>
    <x v="0"/>
    <x v="1"/>
    <x v="0"/>
    <x v="0"/>
    <x v="1"/>
    <x v="0"/>
    <n v="1"/>
    <n v="2"/>
    <n v="0"/>
    <m/>
    <x v="1"/>
    <n v="0.10461559458137147"/>
  </r>
  <r>
    <x v="1"/>
    <x v="0"/>
    <x v="0"/>
    <x v="1"/>
    <x v="2"/>
    <x v="0"/>
    <x v="0"/>
    <x v="0"/>
    <x v="2"/>
    <x v="1"/>
    <n v="2"/>
    <n v="2"/>
    <n v="0"/>
    <n v="2"/>
    <x v="0"/>
    <n v="0.1310975036068017"/>
  </r>
  <r>
    <x v="0"/>
    <x v="1"/>
    <x v="1"/>
    <x v="2"/>
    <x v="2"/>
    <x v="1"/>
    <x v="0"/>
    <x v="1"/>
    <x v="0"/>
    <x v="9"/>
    <n v="1"/>
    <n v="1"/>
    <n v="0"/>
    <n v="1"/>
    <x v="0"/>
    <n v="0.15696901095540433"/>
  </r>
  <r>
    <x v="1"/>
    <x v="1"/>
    <x v="0"/>
    <x v="1"/>
    <x v="3"/>
    <x v="0"/>
    <x v="0"/>
    <x v="1"/>
    <x v="2"/>
    <x v="9"/>
    <n v="1"/>
    <n v="1"/>
    <n v="0"/>
    <n v="1"/>
    <x v="0"/>
    <n v="0.12561915426424905"/>
  </r>
  <r>
    <x v="21"/>
    <x v="1"/>
    <x v="0"/>
    <x v="2"/>
    <x v="2"/>
    <x v="0"/>
    <x v="0"/>
    <x v="0"/>
    <x v="0"/>
    <x v="8"/>
    <n v="1"/>
    <n v="2"/>
    <n v="0"/>
    <m/>
    <x v="1"/>
    <n v="0.23976766504814812"/>
  </r>
  <r>
    <x v="4"/>
    <x v="1"/>
    <x v="0"/>
    <x v="1"/>
    <x v="0"/>
    <x v="0"/>
    <x v="1"/>
    <x v="1"/>
    <x v="1"/>
    <x v="6"/>
    <n v="1"/>
    <n v="1"/>
    <n v="0"/>
    <m/>
    <x v="1"/>
    <n v="9.9147897890897955E-3"/>
  </r>
  <r>
    <x v="0"/>
    <x v="0"/>
    <x v="0"/>
    <x v="0"/>
    <x v="1"/>
    <x v="1"/>
    <x v="0"/>
    <x v="1"/>
    <x v="2"/>
    <x v="9"/>
    <n v="3"/>
    <n v="7"/>
    <n v="0"/>
    <n v="3"/>
    <x v="0"/>
    <n v="1.6409246287750281"/>
  </r>
  <r>
    <x v="1"/>
    <x v="1"/>
    <x v="1"/>
    <x v="0"/>
    <x v="0"/>
    <x v="0"/>
    <x v="0"/>
    <x v="1"/>
    <x v="2"/>
    <x v="8"/>
    <n v="4"/>
    <n v="4"/>
    <n v="3"/>
    <n v="4"/>
    <x v="0"/>
    <n v="0.39657020369244811"/>
  </r>
  <r>
    <x v="1"/>
    <x v="0"/>
    <x v="0"/>
    <x v="0"/>
    <x v="2"/>
    <x v="1"/>
    <x v="0"/>
    <x v="0"/>
    <x v="0"/>
    <x v="8"/>
    <n v="3"/>
    <n v="4"/>
    <n v="0"/>
    <n v="3"/>
    <x v="0"/>
    <n v="0.47512902500595516"/>
  </r>
  <r>
    <x v="2"/>
    <x v="0"/>
    <x v="0"/>
    <x v="2"/>
    <x v="0"/>
    <x v="0"/>
    <x v="1"/>
    <x v="1"/>
    <x v="1"/>
    <x v="5"/>
    <n v="1"/>
    <n v="1"/>
    <n v="0"/>
    <m/>
    <x v="1"/>
    <n v="1.874585193217462E-2"/>
  </r>
  <r>
    <x v="12"/>
    <x v="1"/>
    <x v="1"/>
    <x v="2"/>
    <x v="0"/>
    <x v="1"/>
    <x v="1"/>
    <x v="1"/>
    <x v="1"/>
    <x v="4"/>
    <n v="1"/>
    <n v="1"/>
    <n v="0"/>
    <m/>
    <x v="1"/>
    <n v="3.7982968009771363E-2"/>
  </r>
  <r>
    <x v="14"/>
    <x v="1"/>
    <x v="0"/>
    <x v="0"/>
    <x v="3"/>
    <x v="1"/>
    <x v="1"/>
    <x v="1"/>
    <x v="1"/>
    <x v="1"/>
    <n v="1"/>
    <n v="1"/>
    <n v="0"/>
    <m/>
    <x v="1"/>
    <n v="7.9107339630020743E-2"/>
  </r>
  <r>
    <x v="21"/>
    <x v="1"/>
    <x v="1"/>
    <x v="1"/>
    <x v="0"/>
    <x v="0"/>
    <x v="0"/>
    <x v="1"/>
    <x v="0"/>
    <x v="7"/>
    <n v="1"/>
    <n v="1"/>
    <n v="0"/>
    <m/>
    <x v="1"/>
    <n v="2.1862051188270244E-2"/>
  </r>
  <r>
    <x v="8"/>
    <x v="1"/>
    <x v="0"/>
    <x v="1"/>
    <x v="2"/>
    <x v="1"/>
    <x v="0"/>
    <x v="1"/>
    <x v="1"/>
    <x v="0"/>
    <n v="1"/>
    <n v="1"/>
    <n v="0"/>
    <m/>
    <x v="1"/>
    <n v="5.7610445646867868E-2"/>
  </r>
  <r>
    <x v="9"/>
    <x v="0"/>
    <x v="1"/>
    <x v="0"/>
    <x v="0"/>
    <x v="1"/>
    <x v="1"/>
    <x v="0"/>
    <x v="0"/>
    <x v="7"/>
    <n v="1"/>
    <n v="1"/>
    <n v="0"/>
    <n v="1"/>
    <x v="0"/>
    <n v="2.9298407105615491E-2"/>
  </r>
  <r>
    <x v="17"/>
    <x v="1"/>
    <x v="0"/>
    <x v="0"/>
    <x v="3"/>
    <x v="1"/>
    <x v="0"/>
    <x v="0"/>
    <x v="0"/>
    <x v="9"/>
    <n v="1"/>
    <n v="1"/>
    <n v="0"/>
    <n v="1"/>
    <x v="0"/>
    <n v="0.21634259353047053"/>
  </r>
  <r>
    <x v="20"/>
    <x v="0"/>
    <x v="0"/>
    <x v="0"/>
    <x v="0"/>
    <x v="1"/>
    <x v="1"/>
    <x v="0"/>
    <x v="1"/>
    <x v="7"/>
    <n v="1"/>
    <n v="1"/>
    <n v="0"/>
    <n v="1"/>
    <x v="0"/>
    <n v="2.7788483854578296E-2"/>
  </r>
  <r>
    <x v="19"/>
    <x v="0"/>
    <x v="1"/>
    <x v="1"/>
    <x v="2"/>
    <x v="0"/>
    <x v="0"/>
    <x v="1"/>
    <x v="1"/>
    <x v="6"/>
    <n v="1"/>
    <n v="1"/>
    <n v="0"/>
    <m/>
    <x v="1"/>
    <n v="1.4066294421662752E-2"/>
  </r>
  <r>
    <x v="20"/>
    <x v="0"/>
    <x v="1"/>
    <x v="1"/>
    <x v="0"/>
    <x v="1"/>
    <x v="0"/>
    <x v="0"/>
    <x v="0"/>
    <x v="7"/>
    <n v="1"/>
    <n v="1"/>
    <n v="0"/>
    <n v="1"/>
    <x v="0"/>
    <n v="2.8273531547734397E-2"/>
  </r>
  <r>
    <x v="21"/>
    <x v="1"/>
    <x v="1"/>
    <x v="2"/>
    <x v="2"/>
    <x v="0"/>
    <x v="1"/>
    <x v="1"/>
    <x v="0"/>
    <x v="2"/>
    <n v="1"/>
    <n v="1"/>
    <n v="0"/>
    <m/>
    <x v="1"/>
    <n v="4.2840174936451855E-2"/>
  </r>
  <r>
    <x v="12"/>
    <x v="0"/>
    <x v="0"/>
    <x v="2"/>
    <x v="0"/>
    <x v="1"/>
    <x v="0"/>
    <x v="0"/>
    <x v="1"/>
    <x v="1"/>
    <n v="2"/>
    <n v="2"/>
    <n v="1"/>
    <m/>
    <x v="1"/>
    <n v="0.14724648342003765"/>
  </r>
  <r>
    <x v="0"/>
    <x v="1"/>
    <x v="0"/>
    <x v="2"/>
    <x v="2"/>
    <x v="0"/>
    <x v="0"/>
    <x v="0"/>
    <x v="1"/>
    <x v="1"/>
    <n v="1"/>
    <n v="1"/>
    <n v="0"/>
    <n v="1"/>
    <x v="0"/>
    <n v="8.221989569595807E-2"/>
  </r>
  <r>
    <x v="8"/>
    <x v="0"/>
    <x v="0"/>
    <x v="2"/>
    <x v="0"/>
    <x v="0"/>
    <x v="0"/>
    <x v="0"/>
    <x v="2"/>
    <x v="8"/>
    <n v="1"/>
    <n v="3"/>
    <n v="0"/>
    <m/>
    <x v="1"/>
    <n v="0.36351496861088656"/>
  </r>
  <r>
    <x v="15"/>
    <x v="0"/>
    <x v="0"/>
    <x v="0"/>
    <x v="3"/>
    <x v="1"/>
    <x v="1"/>
    <x v="0"/>
    <x v="2"/>
    <x v="9"/>
    <n v="1"/>
    <n v="1"/>
    <n v="0"/>
    <n v="1"/>
    <x v="0"/>
    <n v="0.16248563228241489"/>
  </r>
  <r>
    <x v="12"/>
    <x v="0"/>
    <x v="1"/>
    <x v="0"/>
    <x v="2"/>
    <x v="1"/>
    <x v="0"/>
    <x v="0"/>
    <x v="1"/>
    <x v="0"/>
    <n v="2"/>
    <n v="4"/>
    <n v="0"/>
    <m/>
    <x v="1"/>
    <n v="0.23199031270691034"/>
  </r>
  <r>
    <x v="16"/>
    <x v="1"/>
    <x v="0"/>
    <x v="0"/>
    <x v="3"/>
    <x v="1"/>
    <x v="0"/>
    <x v="1"/>
    <x v="0"/>
    <x v="9"/>
    <n v="3"/>
    <n v="3"/>
    <n v="0"/>
    <m/>
    <x v="1"/>
    <n v="0.64902778059141164"/>
  </r>
  <r>
    <x v="5"/>
    <x v="0"/>
    <x v="0"/>
    <x v="2"/>
    <x v="0"/>
    <x v="0"/>
    <x v="0"/>
    <x v="1"/>
    <x v="2"/>
    <x v="8"/>
    <n v="1"/>
    <n v="1"/>
    <n v="0"/>
    <n v="1"/>
    <x v="0"/>
    <n v="0.12117165620362885"/>
  </r>
  <r>
    <x v="5"/>
    <x v="0"/>
    <x v="1"/>
    <x v="0"/>
    <x v="2"/>
    <x v="1"/>
    <x v="1"/>
    <x v="1"/>
    <x v="1"/>
    <x v="7"/>
    <n v="1"/>
    <n v="2"/>
    <n v="0"/>
    <n v="1"/>
    <x v="0"/>
    <n v="5.6609868750299878E-2"/>
  </r>
  <r>
    <x v="9"/>
    <x v="0"/>
    <x v="1"/>
    <x v="2"/>
    <x v="0"/>
    <x v="0"/>
    <x v="0"/>
    <x v="0"/>
    <x v="2"/>
    <x v="8"/>
    <n v="1"/>
    <n v="1"/>
    <n v="0"/>
    <n v="1"/>
    <x v="0"/>
    <n v="8.7388588178664475E-2"/>
  </r>
  <r>
    <x v="19"/>
    <x v="1"/>
    <x v="0"/>
    <x v="1"/>
    <x v="2"/>
    <x v="1"/>
    <x v="1"/>
    <x v="0"/>
    <x v="1"/>
    <x v="7"/>
    <n v="1"/>
    <n v="1"/>
    <n v="0"/>
    <m/>
    <x v="1"/>
    <n v="2.811008520036597E-2"/>
  </r>
  <r>
    <x v="1"/>
    <x v="0"/>
    <x v="0"/>
    <x v="1"/>
    <x v="1"/>
    <x v="1"/>
    <x v="0"/>
    <x v="1"/>
    <x v="0"/>
    <x v="0"/>
    <n v="2"/>
    <n v="2"/>
    <n v="0"/>
    <n v="2"/>
    <x v="0"/>
    <n v="0.11708880893825875"/>
  </r>
  <r>
    <x v="7"/>
    <x v="0"/>
    <x v="1"/>
    <x v="2"/>
    <x v="1"/>
    <x v="1"/>
    <x v="0"/>
    <x v="1"/>
    <x v="0"/>
    <x v="8"/>
    <n v="1"/>
    <n v="1"/>
    <n v="0"/>
    <m/>
    <x v="1"/>
    <n v="0.11076881537434741"/>
  </r>
  <r>
    <x v="6"/>
    <x v="0"/>
    <x v="1"/>
    <x v="0"/>
    <x v="2"/>
    <x v="1"/>
    <x v="0"/>
    <x v="0"/>
    <x v="1"/>
    <x v="0"/>
    <n v="1"/>
    <n v="1"/>
    <n v="0"/>
    <m/>
    <x v="1"/>
    <n v="5.7997578176727585E-2"/>
  </r>
  <r>
    <x v="0"/>
    <x v="0"/>
    <x v="0"/>
    <x v="1"/>
    <x v="0"/>
    <x v="0"/>
    <x v="1"/>
    <x v="0"/>
    <x v="1"/>
    <x v="6"/>
    <n v="1"/>
    <n v="1"/>
    <n v="0"/>
    <n v="1"/>
    <x v="0"/>
    <n v="6.57977794506603E-3"/>
  </r>
  <r>
    <x v="8"/>
    <x v="1"/>
    <x v="1"/>
    <x v="0"/>
    <x v="3"/>
    <x v="1"/>
    <x v="0"/>
    <x v="1"/>
    <x v="0"/>
    <x v="9"/>
    <n v="1"/>
    <n v="1"/>
    <n v="0"/>
    <m/>
    <x v="1"/>
    <n v="0.16088299756810187"/>
  </r>
  <r>
    <x v="14"/>
    <x v="0"/>
    <x v="0"/>
    <x v="2"/>
    <x v="2"/>
    <x v="0"/>
    <x v="0"/>
    <x v="0"/>
    <x v="2"/>
    <x v="9"/>
    <n v="1"/>
    <n v="1"/>
    <n v="0"/>
    <m/>
    <x v="1"/>
    <n v="0.1682793086942907"/>
  </r>
  <r>
    <x v="7"/>
    <x v="1"/>
    <x v="0"/>
    <x v="0"/>
    <x v="0"/>
    <x v="0"/>
    <x v="1"/>
    <x v="1"/>
    <x v="0"/>
    <x v="4"/>
    <n v="3"/>
    <n v="3"/>
    <n v="0"/>
    <m/>
    <x v="1"/>
    <n v="9.6917149150967677E-2"/>
  </r>
  <r>
    <x v="10"/>
    <x v="0"/>
    <x v="1"/>
    <x v="2"/>
    <x v="0"/>
    <x v="0"/>
    <x v="0"/>
    <x v="1"/>
    <x v="1"/>
    <x v="7"/>
    <n v="2"/>
    <n v="2"/>
    <n v="0"/>
    <m/>
    <x v="1"/>
    <n v="5.4555684000678381E-2"/>
  </r>
  <r>
    <x v="10"/>
    <x v="1"/>
    <x v="1"/>
    <x v="2"/>
    <x v="2"/>
    <x v="0"/>
    <x v="0"/>
    <x v="0"/>
    <x v="1"/>
    <x v="0"/>
    <n v="1"/>
    <n v="1"/>
    <n v="0"/>
    <m/>
    <x v="1"/>
    <n v="5.857291153169402E-2"/>
  </r>
  <r>
    <x v="20"/>
    <x v="0"/>
    <x v="0"/>
    <x v="1"/>
    <x v="0"/>
    <x v="0"/>
    <x v="1"/>
    <x v="1"/>
    <x v="0"/>
    <x v="6"/>
    <n v="1"/>
    <n v="1"/>
    <n v="0"/>
    <n v="1"/>
    <x v="0"/>
    <n v="9.9703130635719027E-3"/>
  </r>
  <r>
    <x v="15"/>
    <x v="0"/>
    <x v="1"/>
    <x v="1"/>
    <x v="1"/>
    <x v="0"/>
    <x v="0"/>
    <x v="1"/>
    <x v="0"/>
    <x v="5"/>
    <n v="1"/>
    <n v="1"/>
    <n v="0"/>
    <n v="1"/>
    <x v="0"/>
    <n v="2.1471043341050454E-2"/>
  </r>
  <r>
    <x v="9"/>
    <x v="1"/>
    <x v="1"/>
    <x v="0"/>
    <x v="0"/>
    <x v="0"/>
    <x v="0"/>
    <x v="0"/>
    <x v="0"/>
    <x v="0"/>
    <n v="3"/>
    <n v="4"/>
    <n v="0"/>
    <n v="3"/>
    <x v="0"/>
    <n v="0.18686210437130313"/>
  </r>
  <r>
    <x v="4"/>
    <x v="1"/>
    <x v="0"/>
    <x v="0"/>
    <x v="0"/>
    <x v="0"/>
    <x v="1"/>
    <x v="0"/>
    <x v="2"/>
    <x v="1"/>
    <n v="1"/>
    <n v="1"/>
    <n v="0"/>
    <m/>
    <x v="1"/>
    <n v="6.974431660442891E-2"/>
  </r>
  <r>
    <x v="6"/>
    <x v="0"/>
    <x v="0"/>
    <x v="0"/>
    <x v="0"/>
    <x v="0"/>
    <x v="0"/>
    <x v="1"/>
    <x v="0"/>
    <x v="0"/>
    <n v="8"/>
    <n v="9"/>
    <n v="1"/>
    <m/>
    <x v="1"/>
    <n v="0.40129808053568622"/>
  </r>
  <r>
    <x v="21"/>
    <x v="0"/>
    <x v="1"/>
    <x v="0"/>
    <x v="2"/>
    <x v="0"/>
    <x v="0"/>
    <x v="1"/>
    <x v="2"/>
    <x v="8"/>
    <n v="4"/>
    <n v="5"/>
    <n v="0"/>
    <m/>
    <x v="1"/>
    <n v="0.4825284947281433"/>
  </r>
  <r>
    <x v="10"/>
    <x v="0"/>
    <x v="1"/>
    <x v="2"/>
    <x v="1"/>
    <x v="0"/>
    <x v="0"/>
    <x v="1"/>
    <x v="0"/>
    <x v="3"/>
    <n v="1"/>
    <n v="1"/>
    <n v="0"/>
    <m/>
    <x v="1"/>
    <n v="5.9521487991317845E-2"/>
  </r>
  <r>
    <x v="9"/>
    <x v="1"/>
    <x v="1"/>
    <x v="2"/>
    <x v="2"/>
    <x v="0"/>
    <x v="0"/>
    <x v="0"/>
    <x v="0"/>
    <x v="8"/>
    <n v="1"/>
    <n v="1"/>
    <n v="0"/>
    <n v="1"/>
    <x v="0"/>
    <n v="8.6424504948779526E-2"/>
  </r>
  <r>
    <x v="12"/>
    <x v="0"/>
    <x v="0"/>
    <x v="0"/>
    <x v="2"/>
    <x v="0"/>
    <x v="0"/>
    <x v="0"/>
    <x v="1"/>
    <x v="2"/>
    <n v="1"/>
    <n v="1"/>
    <n v="0"/>
    <m/>
    <x v="1"/>
    <n v="4.3099749369073626E-2"/>
  </r>
  <r>
    <x v="6"/>
    <x v="0"/>
    <x v="1"/>
    <x v="0"/>
    <x v="1"/>
    <x v="0"/>
    <x v="1"/>
    <x v="1"/>
    <x v="1"/>
    <x v="5"/>
    <n v="1"/>
    <n v="1"/>
    <n v="0"/>
    <m/>
    <x v="1"/>
    <n v="1.4749123138908945E-2"/>
  </r>
  <r>
    <x v="18"/>
    <x v="0"/>
    <x v="1"/>
    <x v="0"/>
    <x v="2"/>
    <x v="0"/>
    <x v="0"/>
    <x v="0"/>
    <x v="0"/>
    <x v="0"/>
    <n v="1"/>
    <n v="1"/>
    <n v="0"/>
    <m/>
    <x v="1"/>
    <n v="4.540277721734616E-2"/>
  </r>
  <r>
    <x v="14"/>
    <x v="1"/>
    <x v="0"/>
    <x v="0"/>
    <x v="0"/>
    <x v="1"/>
    <x v="1"/>
    <x v="0"/>
    <x v="2"/>
    <x v="9"/>
    <n v="1"/>
    <n v="1"/>
    <n v="0"/>
    <m/>
    <x v="1"/>
    <n v="0.12858993764061805"/>
  </r>
  <r>
    <x v="19"/>
    <x v="1"/>
    <x v="0"/>
    <x v="2"/>
    <x v="0"/>
    <x v="0"/>
    <x v="1"/>
    <x v="1"/>
    <x v="0"/>
    <x v="2"/>
    <n v="2"/>
    <n v="2"/>
    <n v="0"/>
    <m/>
    <x v="1"/>
    <n v="8.4139994907092092E-2"/>
  </r>
  <r>
    <x v="20"/>
    <x v="1"/>
    <x v="0"/>
    <x v="2"/>
    <x v="2"/>
    <x v="1"/>
    <x v="1"/>
    <x v="1"/>
    <x v="1"/>
    <x v="1"/>
    <n v="1"/>
    <n v="1"/>
    <n v="0"/>
    <n v="1"/>
    <x v="0"/>
    <n v="7.7000245135165221E-2"/>
  </r>
  <r>
    <x v="18"/>
    <x v="0"/>
    <x v="0"/>
    <x v="0"/>
    <x v="0"/>
    <x v="0"/>
    <x v="1"/>
    <x v="1"/>
    <x v="1"/>
    <x v="6"/>
    <n v="1"/>
    <n v="1"/>
    <n v="0"/>
    <m/>
    <x v="1"/>
    <n v="1.4314121579974512E-2"/>
  </r>
  <r>
    <x v="14"/>
    <x v="1"/>
    <x v="1"/>
    <x v="2"/>
    <x v="3"/>
    <x v="1"/>
    <x v="0"/>
    <x v="1"/>
    <x v="0"/>
    <x v="9"/>
    <n v="1"/>
    <n v="1"/>
    <n v="0"/>
    <m/>
    <x v="1"/>
    <n v="0.20142036139967667"/>
  </r>
  <r>
    <x v="8"/>
    <x v="0"/>
    <x v="1"/>
    <x v="0"/>
    <x v="0"/>
    <x v="1"/>
    <x v="0"/>
    <x v="0"/>
    <x v="1"/>
    <x v="4"/>
    <n v="2"/>
    <n v="2"/>
    <n v="0"/>
    <m/>
    <x v="1"/>
    <n v="8.0534492687672668E-2"/>
  </r>
  <r>
    <x v="0"/>
    <x v="0"/>
    <x v="1"/>
    <x v="0"/>
    <x v="3"/>
    <x v="1"/>
    <x v="1"/>
    <x v="1"/>
    <x v="1"/>
    <x v="4"/>
    <n v="1"/>
    <n v="1"/>
    <n v="0"/>
    <n v="1"/>
    <x v="0"/>
    <n v="3.796116348571927E-2"/>
  </r>
  <r>
    <x v="19"/>
    <x v="1"/>
    <x v="1"/>
    <x v="1"/>
    <x v="3"/>
    <x v="0"/>
    <x v="0"/>
    <x v="1"/>
    <x v="2"/>
    <x v="8"/>
    <n v="1"/>
    <n v="1"/>
    <n v="0"/>
    <m/>
    <x v="1"/>
    <n v="9.072411536115646E-2"/>
  </r>
  <r>
    <x v="0"/>
    <x v="0"/>
    <x v="0"/>
    <x v="0"/>
    <x v="2"/>
    <x v="1"/>
    <x v="0"/>
    <x v="0"/>
    <x v="0"/>
    <x v="8"/>
    <n v="1"/>
    <n v="1"/>
    <n v="0"/>
    <n v="1"/>
    <x v="0"/>
    <n v="0.11878225625148879"/>
  </r>
  <r>
    <x v="17"/>
    <x v="0"/>
    <x v="1"/>
    <x v="2"/>
    <x v="1"/>
    <x v="0"/>
    <x v="0"/>
    <x v="1"/>
    <x v="1"/>
    <x v="4"/>
    <n v="2"/>
    <n v="2"/>
    <n v="0"/>
    <n v="2"/>
    <x v="0"/>
    <n v="7.9921133246364781E-2"/>
  </r>
  <r>
    <x v="21"/>
    <x v="1"/>
    <x v="0"/>
    <x v="1"/>
    <x v="0"/>
    <x v="0"/>
    <x v="0"/>
    <x v="0"/>
    <x v="1"/>
    <x v="5"/>
    <n v="1"/>
    <n v="1"/>
    <n v="0"/>
    <m/>
    <x v="1"/>
    <n v="2.0727184867413109E-2"/>
  </r>
  <r>
    <x v="7"/>
    <x v="0"/>
    <x v="1"/>
    <x v="2"/>
    <x v="0"/>
    <x v="0"/>
    <x v="1"/>
    <x v="0"/>
    <x v="1"/>
    <x v="6"/>
    <n v="1"/>
    <n v="1"/>
    <n v="0"/>
    <m/>
    <x v="1"/>
    <n v="1.3093969311862536E-2"/>
  </r>
  <r>
    <x v="4"/>
    <x v="1"/>
    <x v="0"/>
    <x v="0"/>
    <x v="2"/>
    <x v="0"/>
    <x v="0"/>
    <x v="0"/>
    <x v="1"/>
    <x v="3"/>
    <n v="3"/>
    <n v="4"/>
    <n v="0"/>
    <m/>
    <x v="1"/>
    <n v="0.25502881531745741"/>
  </r>
  <r>
    <x v="21"/>
    <x v="1"/>
    <x v="0"/>
    <x v="1"/>
    <x v="1"/>
    <x v="0"/>
    <x v="0"/>
    <x v="1"/>
    <x v="1"/>
    <x v="4"/>
    <n v="1"/>
    <n v="1"/>
    <n v="0"/>
    <m/>
    <x v="1"/>
    <n v="3.0459579753661314E-2"/>
  </r>
  <r>
    <x v="16"/>
    <x v="0"/>
    <x v="0"/>
    <x v="0"/>
    <x v="2"/>
    <x v="0"/>
    <x v="0"/>
    <x v="0"/>
    <x v="2"/>
    <x v="9"/>
    <n v="1"/>
    <n v="4"/>
    <n v="0"/>
    <m/>
    <x v="1"/>
    <n v="0.53319398890281122"/>
  </r>
  <r>
    <x v="13"/>
    <x v="0"/>
    <x v="0"/>
    <x v="1"/>
    <x v="0"/>
    <x v="0"/>
    <x v="1"/>
    <x v="0"/>
    <x v="0"/>
    <x v="6"/>
    <n v="1"/>
    <n v="1"/>
    <n v="0"/>
    <m/>
    <x v="1"/>
    <n v="9.9703130635719027E-3"/>
  </r>
  <r>
    <x v="2"/>
    <x v="0"/>
    <x v="0"/>
    <x v="0"/>
    <x v="2"/>
    <x v="1"/>
    <x v="0"/>
    <x v="1"/>
    <x v="0"/>
    <x v="8"/>
    <n v="2"/>
    <n v="2"/>
    <n v="0"/>
    <m/>
    <x v="1"/>
    <n v="0.23756451250297758"/>
  </r>
  <r>
    <x v="20"/>
    <x v="0"/>
    <x v="1"/>
    <x v="2"/>
    <x v="3"/>
    <x v="0"/>
    <x v="0"/>
    <x v="1"/>
    <x v="1"/>
    <x v="0"/>
    <n v="1"/>
    <n v="1"/>
    <n v="0"/>
    <n v="1"/>
    <x v="0"/>
    <n v="5.2799993952800307E-2"/>
  </r>
  <r>
    <x v="7"/>
    <x v="0"/>
    <x v="0"/>
    <x v="1"/>
    <x v="2"/>
    <x v="1"/>
    <x v="0"/>
    <x v="0"/>
    <x v="0"/>
    <x v="0"/>
    <n v="1"/>
    <n v="1"/>
    <n v="0"/>
    <m/>
    <x v="1"/>
    <n v="5.7917442228855184E-2"/>
  </r>
  <r>
    <x v="5"/>
    <x v="1"/>
    <x v="0"/>
    <x v="1"/>
    <x v="2"/>
    <x v="0"/>
    <x v="1"/>
    <x v="1"/>
    <x v="0"/>
    <x v="7"/>
    <n v="1"/>
    <n v="2"/>
    <n v="0"/>
    <n v="1"/>
    <x v="0"/>
    <n v="4.3710189754567343E-2"/>
  </r>
  <r>
    <x v="17"/>
    <x v="1"/>
    <x v="0"/>
    <x v="0"/>
    <x v="3"/>
    <x v="0"/>
    <x v="0"/>
    <x v="1"/>
    <x v="0"/>
    <x v="8"/>
    <n v="1"/>
    <n v="1"/>
    <n v="0"/>
    <n v="1"/>
    <x v="0"/>
    <n v="0.12300803466666659"/>
  </r>
  <r>
    <x v="17"/>
    <x v="1"/>
    <x v="0"/>
    <x v="1"/>
    <x v="3"/>
    <x v="0"/>
    <x v="0"/>
    <x v="1"/>
    <x v="2"/>
    <x v="9"/>
    <n v="1"/>
    <n v="1"/>
    <n v="0"/>
    <n v="1"/>
    <x v="0"/>
    <n v="0.12561915426424905"/>
  </r>
  <r>
    <x v="15"/>
    <x v="1"/>
    <x v="1"/>
    <x v="2"/>
    <x v="1"/>
    <x v="0"/>
    <x v="0"/>
    <x v="1"/>
    <x v="0"/>
    <x v="8"/>
    <n v="2"/>
    <n v="2"/>
    <n v="1"/>
    <n v="2"/>
    <x v="0"/>
    <n v="0.17466290492702188"/>
  </r>
  <r>
    <x v="6"/>
    <x v="0"/>
    <x v="0"/>
    <x v="1"/>
    <x v="0"/>
    <x v="0"/>
    <x v="0"/>
    <x v="0"/>
    <x v="2"/>
    <x v="0"/>
    <n v="1"/>
    <n v="1"/>
    <n v="0"/>
    <m/>
    <x v="1"/>
    <n v="4.5621764642715154E-2"/>
  </r>
  <r>
    <x v="13"/>
    <x v="0"/>
    <x v="0"/>
    <x v="0"/>
    <x v="0"/>
    <x v="0"/>
    <x v="0"/>
    <x v="1"/>
    <x v="0"/>
    <x v="0"/>
    <n v="1"/>
    <n v="1"/>
    <n v="0"/>
    <m/>
    <x v="1"/>
    <n v="4.4588675615076248E-2"/>
  </r>
  <r>
    <x v="13"/>
    <x v="0"/>
    <x v="0"/>
    <x v="0"/>
    <x v="1"/>
    <x v="1"/>
    <x v="0"/>
    <x v="1"/>
    <x v="1"/>
    <x v="1"/>
    <n v="1"/>
    <n v="2"/>
    <n v="0"/>
    <m/>
    <x v="1"/>
    <n v="0.16458331875245902"/>
  </r>
  <r>
    <x v="22"/>
    <x v="0"/>
    <x v="0"/>
    <x v="0"/>
    <x v="2"/>
    <x v="1"/>
    <x v="0"/>
    <x v="0"/>
    <x v="0"/>
    <x v="8"/>
    <n v="1"/>
    <n v="1"/>
    <n v="0"/>
    <n v="1"/>
    <x v="0"/>
    <n v="0.11878225625148879"/>
  </r>
  <r>
    <x v="6"/>
    <x v="1"/>
    <x v="0"/>
    <x v="2"/>
    <x v="0"/>
    <x v="0"/>
    <x v="1"/>
    <x v="1"/>
    <x v="1"/>
    <x v="7"/>
    <n v="1"/>
    <n v="2"/>
    <n v="0"/>
    <m/>
    <x v="1"/>
    <n v="5.6146150112140698E-2"/>
  </r>
  <r>
    <x v="7"/>
    <x v="0"/>
    <x v="0"/>
    <x v="1"/>
    <x v="3"/>
    <x v="0"/>
    <x v="0"/>
    <x v="1"/>
    <x v="2"/>
    <x v="8"/>
    <n v="1"/>
    <n v="1"/>
    <n v="0"/>
    <m/>
    <x v="1"/>
    <n v="8.6776040583617209E-2"/>
  </r>
  <r>
    <x v="13"/>
    <x v="0"/>
    <x v="0"/>
    <x v="1"/>
    <x v="0"/>
    <x v="0"/>
    <x v="0"/>
    <x v="0"/>
    <x v="0"/>
    <x v="5"/>
    <n v="1"/>
    <n v="1"/>
    <n v="0"/>
    <m/>
    <x v="1"/>
    <n v="2.0841983429204125E-2"/>
  </r>
  <r>
    <x v="19"/>
    <x v="0"/>
    <x v="0"/>
    <x v="1"/>
    <x v="2"/>
    <x v="0"/>
    <x v="1"/>
    <x v="1"/>
    <x v="0"/>
    <x v="5"/>
    <n v="1"/>
    <n v="1"/>
    <n v="0"/>
    <m/>
    <x v="1"/>
    <n v="1.4562828746708278E-2"/>
  </r>
  <r>
    <x v="8"/>
    <x v="1"/>
    <x v="1"/>
    <x v="1"/>
    <x v="2"/>
    <x v="1"/>
    <x v="1"/>
    <x v="1"/>
    <x v="0"/>
    <x v="7"/>
    <n v="1"/>
    <n v="1"/>
    <n v="0"/>
    <m/>
    <x v="1"/>
    <n v="2.9636950379474274E-2"/>
  </r>
  <r>
    <x v="15"/>
    <x v="0"/>
    <x v="0"/>
    <x v="0"/>
    <x v="3"/>
    <x v="1"/>
    <x v="1"/>
    <x v="1"/>
    <x v="1"/>
    <x v="0"/>
    <n v="1"/>
    <n v="2"/>
    <n v="0"/>
    <n v="1"/>
    <x v="0"/>
    <n v="0.10752400926505153"/>
  </r>
  <r>
    <x v="12"/>
    <x v="0"/>
    <x v="1"/>
    <x v="2"/>
    <x v="2"/>
    <x v="0"/>
    <x v="1"/>
    <x v="1"/>
    <x v="2"/>
    <x v="3"/>
    <n v="1"/>
    <n v="1"/>
    <n v="0"/>
    <m/>
    <x v="1"/>
    <n v="6.2337033552238463E-2"/>
  </r>
  <r>
    <x v="14"/>
    <x v="1"/>
    <x v="0"/>
    <x v="2"/>
    <x v="0"/>
    <x v="0"/>
    <x v="1"/>
    <x v="1"/>
    <x v="1"/>
    <x v="7"/>
    <n v="1"/>
    <n v="1"/>
    <n v="0"/>
    <m/>
    <x v="1"/>
    <n v="2.8073075056070349E-2"/>
  </r>
  <r>
    <x v="12"/>
    <x v="0"/>
    <x v="0"/>
    <x v="0"/>
    <x v="3"/>
    <x v="1"/>
    <x v="0"/>
    <x v="0"/>
    <x v="1"/>
    <x v="8"/>
    <n v="1"/>
    <n v="1"/>
    <n v="0"/>
    <m/>
    <x v="1"/>
    <n v="0.1072132568053293"/>
  </r>
  <r>
    <x v="17"/>
    <x v="0"/>
    <x v="1"/>
    <x v="0"/>
    <x v="3"/>
    <x v="1"/>
    <x v="1"/>
    <x v="1"/>
    <x v="2"/>
    <x v="8"/>
    <n v="1"/>
    <n v="1"/>
    <n v="0"/>
    <n v="1"/>
    <x v="0"/>
    <n v="0.11874037378146943"/>
  </r>
  <r>
    <x v="8"/>
    <x v="1"/>
    <x v="0"/>
    <x v="0"/>
    <x v="3"/>
    <x v="1"/>
    <x v="0"/>
    <x v="1"/>
    <x v="1"/>
    <x v="9"/>
    <n v="1"/>
    <n v="1"/>
    <n v="0"/>
    <m/>
    <x v="1"/>
    <n v="0.15366523766540796"/>
  </r>
  <r>
    <x v="18"/>
    <x v="0"/>
    <x v="1"/>
    <x v="2"/>
    <x v="1"/>
    <x v="1"/>
    <x v="0"/>
    <x v="1"/>
    <x v="1"/>
    <x v="1"/>
    <n v="1"/>
    <n v="1"/>
    <n v="1"/>
    <m/>
    <x v="1"/>
    <n v="7.5722165913494635E-2"/>
  </r>
  <r>
    <x v="1"/>
    <x v="0"/>
    <x v="0"/>
    <x v="1"/>
    <x v="0"/>
    <x v="1"/>
    <x v="1"/>
    <x v="1"/>
    <x v="0"/>
    <x v="5"/>
    <n v="1"/>
    <n v="1"/>
    <n v="0"/>
    <n v="1"/>
    <x v="0"/>
    <n v="1.943633158653461E-2"/>
  </r>
  <r>
    <x v="17"/>
    <x v="1"/>
    <x v="1"/>
    <x v="0"/>
    <x v="2"/>
    <x v="0"/>
    <x v="0"/>
    <x v="1"/>
    <x v="1"/>
    <x v="0"/>
    <n v="2"/>
    <n v="2"/>
    <n v="0"/>
    <n v="2"/>
    <x v="0"/>
    <n v="9.0317871897326291E-2"/>
  </r>
  <r>
    <x v="0"/>
    <x v="0"/>
    <x v="1"/>
    <x v="2"/>
    <x v="3"/>
    <x v="1"/>
    <x v="1"/>
    <x v="1"/>
    <x v="1"/>
    <x v="0"/>
    <n v="1"/>
    <n v="1"/>
    <n v="0"/>
    <n v="1"/>
    <x v="0"/>
    <n v="4.9347614387798763E-2"/>
  </r>
  <r>
    <x v="16"/>
    <x v="0"/>
    <x v="0"/>
    <x v="0"/>
    <x v="2"/>
    <x v="0"/>
    <x v="1"/>
    <x v="1"/>
    <x v="0"/>
    <x v="4"/>
    <n v="1"/>
    <n v="1"/>
    <n v="0"/>
    <m/>
    <x v="1"/>
    <n v="3.1384565006669626E-2"/>
  </r>
  <r>
    <x v="21"/>
    <x v="0"/>
    <x v="1"/>
    <x v="2"/>
    <x v="1"/>
    <x v="1"/>
    <x v="0"/>
    <x v="1"/>
    <x v="2"/>
    <x v="9"/>
    <n v="1"/>
    <n v="4"/>
    <n v="0"/>
    <m/>
    <x v="1"/>
    <n v="0.87438641731161604"/>
  </r>
  <r>
    <x v="2"/>
    <x v="0"/>
    <x v="1"/>
    <x v="2"/>
    <x v="1"/>
    <x v="0"/>
    <x v="0"/>
    <x v="1"/>
    <x v="2"/>
    <x v="8"/>
    <n v="1"/>
    <n v="1"/>
    <n v="1"/>
    <m/>
    <x v="1"/>
    <n v="0.12444404000559624"/>
  </r>
  <r>
    <x v="12"/>
    <x v="1"/>
    <x v="0"/>
    <x v="1"/>
    <x v="0"/>
    <x v="0"/>
    <x v="0"/>
    <x v="0"/>
    <x v="1"/>
    <x v="5"/>
    <n v="2"/>
    <n v="2"/>
    <n v="0"/>
    <m/>
    <x v="1"/>
    <n v="4.1454369734826219E-2"/>
  </r>
  <r>
    <x v="11"/>
    <x v="0"/>
    <x v="0"/>
    <x v="2"/>
    <x v="2"/>
    <x v="1"/>
    <x v="1"/>
    <x v="1"/>
    <x v="1"/>
    <x v="0"/>
    <n v="1"/>
    <n v="1"/>
    <n v="0"/>
    <m/>
    <x v="1"/>
    <n v="5.2291671314483069E-2"/>
  </r>
  <r>
    <x v="1"/>
    <x v="1"/>
    <x v="0"/>
    <x v="2"/>
    <x v="3"/>
    <x v="0"/>
    <x v="0"/>
    <x v="1"/>
    <x v="0"/>
    <x v="9"/>
    <n v="1"/>
    <n v="1"/>
    <n v="0"/>
    <n v="1"/>
    <x v="0"/>
    <n v="0.15577373535327643"/>
  </r>
  <r>
    <x v="19"/>
    <x v="0"/>
    <x v="1"/>
    <x v="2"/>
    <x v="0"/>
    <x v="0"/>
    <x v="1"/>
    <x v="1"/>
    <x v="1"/>
    <x v="6"/>
    <n v="1"/>
    <n v="1"/>
    <n v="0"/>
    <m/>
    <x v="1"/>
    <n v="1.3093969311862536E-2"/>
  </r>
  <r>
    <x v="22"/>
    <x v="0"/>
    <x v="1"/>
    <x v="1"/>
    <x v="0"/>
    <x v="1"/>
    <x v="0"/>
    <x v="0"/>
    <x v="1"/>
    <x v="5"/>
    <n v="1"/>
    <n v="1"/>
    <n v="0"/>
    <n v="1"/>
    <x v="0"/>
    <n v="1.8776796462310515E-2"/>
  </r>
  <r>
    <x v="4"/>
    <x v="0"/>
    <x v="0"/>
    <x v="0"/>
    <x v="0"/>
    <x v="1"/>
    <x v="1"/>
    <x v="1"/>
    <x v="1"/>
    <x v="7"/>
    <n v="2"/>
    <n v="2"/>
    <n v="0"/>
    <m/>
    <x v="1"/>
    <n v="5.5576967709156593E-2"/>
  </r>
  <r>
    <x v="6"/>
    <x v="0"/>
    <x v="0"/>
    <x v="0"/>
    <x v="2"/>
    <x v="0"/>
    <x v="0"/>
    <x v="0"/>
    <x v="2"/>
    <x v="9"/>
    <n v="3"/>
    <n v="4"/>
    <n v="0"/>
    <m/>
    <x v="1"/>
    <n v="0.53319398890281122"/>
  </r>
  <r>
    <x v="9"/>
    <x v="1"/>
    <x v="0"/>
    <x v="1"/>
    <x v="1"/>
    <x v="0"/>
    <x v="0"/>
    <x v="1"/>
    <x v="2"/>
    <x v="8"/>
    <n v="1"/>
    <n v="1"/>
    <n v="0"/>
    <n v="1"/>
    <x v="0"/>
    <n v="9.6883413810830737E-2"/>
  </r>
  <r>
    <x v="11"/>
    <x v="1"/>
    <x v="0"/>
    <x v="0"/>
    <x v="2"/>
    <x v="0"/>
    <x v="1"/>
    <x v="1"/>
    <x v="2"/>
    <x v="8"/>
    <n v="1"/>
    <n v="3"/>
    <n v="0"/>
    <m/>
    <x v="1"/>
    <n v="0.29734048893839099"/>
  </r>
  <r>
    <x v="3"/>
    <x v="0"/>
    <x v="1"/>
    <x v="1"/>
    <x v="2"/>
    <x v="0"/>
    <x v="0"/>
    <x v="0"/>
    <x v="2"/>
    <x v="0"/>
    <n v="1"/>
    <n v="1"/>
    <n v="0"/>
    <m/>
    <x v="1"/>
    <n v="4.6453811307868083E-2"/>
  </r>
  <r>
    <x v="6"/>
    <x v="1"/>
    <x v="0"/>
    <x v="0"/>
    <x v="1"/>
    <x v="0"/>
    <x v="1"/>
    <x v="1"/>
    <x v="1"/>
    <x v="4"/>
    <n v="1"/>
    <n v="1"/>
    <n v="0"/>
    <m/>
    <x v="1"/>
    <n v="3.1561122761615629E-2"/>
  </r>
  <r>
    <x v="5"/>
    <x v="1"/>
    <x v="1"/>
    <x v="2"/>
    <x v="2"/>
    <x v="0"/>
    <x v="0"/>
    <x v="0"/>
    <x v="1"/>
    <x v="0"/>
    <n v="2"/>
    <n v="2"/>
    <n v="0"/>
    <n v="2"/>
    <x v="0"/>
    <n v="0.11714582306338804"/>
  </r>
  <r>
    <x v="12"/>
    <x v="0"/>
    <x v="0"/>
    <x v="0"/>
    <x v="2"/>
    <x v="1"/>
    <x v="1"/>
    <x v="1"/>
    <x v="2"/>
    <x v="9"/>
    <n v="1"/>
    <n v="1"/>
    <n v="0"/>
    <m/>
    <x v="1"/>
    <n v="0.12527880269335515"/>
  </r>
  <r>
    <x v="12"/>
    <x v="1"/>
    <x v="1"/>
    <x v="2"/>
    <x v="0"/>
    <x v="0"/>
    <x v="1"/>
    <x v="0"/>
    <x v="1"/>
    <x v="5"/>
    <n v="1"/>
    <n v="1"/>
    <n v="0"/>
    <m/>
    <x v="1"/>
    <n v="1.9665389303685415E-2"/>
  </r>
  <r>
    <x v="6"/>
    <x v="1"/>
    <x v="0"/>
    <x v="1"/>
    <x v="0"/>
    <x v="0"/>
    <x v="1"/>
    <x v="1"/>
    <x v="2"/>
    <x v="4"/>
    <n v="1"/>
    <n v="1"/>
    <n v="0"/>
    <m/>
    <x v="1"/>
    <n v="3.306406644322489E-2"/>
  </r>
  <r>
    <x v="17"/>
    <x v="0"/>
    <x v="1"/>
    <x v="1"/>
    <x v="2"/>
    <x v="0"/>
    <x v="1"/>
    <x v="1"/>
    <x v="0"/>
    <x v="6"/>
    <n v="1"/>
    <n v="2"/>
    <n v="0"/>
    <n v="1"/>
    <x v="0"/>
    <n v="2.031814447852491E-2"/>
  </r>
  <r>
    <x v="22"/>
    <x v="1"/>
    <x v="0"/>
    <x v="1"/>
    <x v="1"/>
    <x v="0"/>
    <x v="0"/>
    <x v="1"/>
    <x v="0"/>
    <x v="0"/>
    <n v="1"/>
    <n v="1"/>
    <n v="0"/>
    <n v="1"/>
    <x v="0"/>
    <n v="4.5590572395740707E-2"/>
  </r>
  <r>
    <x v="5"/>
    <x v="1"/>
    <x v="0"/>
    <x v="0"/>
    <x v="3"/>
    <x v="0"/>
    <x v="1"/>
    <x v="1"/>
    <x v="0"/>
    <x v="3"/>
    <n v="1"/>
    <n v="1"/>
    <n v="0"/>
    <n v="1"/>
    <x v="0"/>
    <n v="6.2231171033494175E-2"/>
  </r>
  <r>
    <x v="5"/>
    <x v="1"/>
    <x v="0"/>
    <x v="1"/>
    <x v="0"/>
    <x v="0"/>
    <x v="0"/>
    <x v="0"/>
    <x v="1"/>
    <x v="5"/>
    <n v="1"/>
    <n v="2"/>
    <n v="0"/>
    <n v="1"/>
    <x v="0"/>
    <n v="4.1454369734826219E-2"/>
  </r>
  <r>
    <x v="14"/>
    <x v="0"/>
    <x v="0"/>
    <x v="2"/>
    <x v="2"/>
    <x v="1"/>
    <x v="1"/>
    <x v="1"/>
    <x v="0"/>
    <x v="1"/>
    <n v="1"/>
    <n v="1"/>
    <n v="0"/>
    <m/>
    <x v="1"/>
    <n v="7.7402080283077657E-2"/>
  </r>
  <r>
    <x v="10"/>
    <x v="1"/>
    <x v="0"/>
    <x v="1"/>
    <x v="1"/>
    <x v="0"/>
    <x v="0"/>
    <x v="1"/>
    <x v="2"/>
    <x v="8"/>
    <n v="1"/>
    <n v="1"/>
    <n v="0"/>
    <m/>
    <x v="1"/>
    <n v="9.6883413810830737E-2"/>
  </r>
  <r>
    <x v="3"/>
    <x v="0"/>
    <x v="0"/>
    <x v="2"/>
    <x v="0"/>
    <x v="1"/>
    <x v="0"/>
    <x v="0"/>
    <x v="0"/>
    <x v="8"/>
    <n v="1"/>
    <n v="1"/>
    <n v="0"/>
    <m/>
    <x v="1"/>
    <n v="0.10781175572643616"/>
  </r>
  <r>
    <x v="7"/>
    <x v="0"/>
    <x v="1"/>
    <x v="1"/>
    <x v="3"/>
    <x v="1"/>
    <x v="0"/>
    <x v="1"/>
    <x v="1"/>
    <x v="4"/>
    <n v="1"/>
    <n v="1"/>
    <n v="0"/>
    <m/>
    <x v="1"/>
    <n v="3.6644699143444329E-2"/>
  </r>
  <r>
    <x v="4"/>
    <x v="1"/>
    <x v="0"/>
    <x v="0"/>
    <x v="2"/>
    <x v="1"/>
    <x v="0"/>
    <x v="1"/>
    <x v="1"/>
    <x v="8"/>
    <n v="6"/>
    <n v="7"/>
    <n v="0"/>
    <m/>
    <x v="1"/>
    <n v="0.82735181141198599"/>
  </r>
  <r>
    <x v="18"/>
    <x v="1"/>
    <x v="1"/>
    <x v="1"/>
    <x v="0"/>
    <x v="1"/>
    <x v="1"/>
    <x v="1"/>
    <x v="1"/>
    <x v="6"/>
    <n v="1"/>
    <n v="2"/>
    <n v="0"/>
    <m/>
    <x v="1"/>
    <n v="2.700760739449418E-2"/>
  </r>
  <r>
    <x v="21"/>
    <x v="1"/>
    <x v="0"/>
    <x v="1"/>
    <x v="2"/>
    <x v="0"/>
    <x v="0"/>
    <x v="1"/>
    <x v="2"/>
    <x v="8"/>
    <n v="1"/>
    <n v="1"/>
    <n v="0"/>
    <m/>
    <x v="1"/>
    <n v="9.5887690107650039E-2"/>
  </r>
  <r>
    <x v="10"/>
    <x v="0"/>
    <x v="1"/>
    <x v="2"/>
    <x v="2"/>
    <x v="0"/>
    <x v="0"/>
    <x v="1"/>
    <x v="1"/>
    <x v="4"/>
    <n v="1"/>
    <n v="1"/>
    <n v="0"/>
    <m/>
    <x v="1"/>
    <n v="3.9524266772527843E-2"/>
  </r>
  <r>
    <x v="1"/>
    <x v="0"/>
    <x v="0"/>
    <x v="1"/>
    <x v="2"/>
    <x v="0"/>
    <x v="0"/>
    <x v="0"/>
    <x v="0"/>
    <x v="7"/>
    <n v="1"/>
    <n v="1"/>
    <n v="0"/>
    <n v="1"/>
    <x v="0"/>
    <n v="3.0288991469430131E-2"/>
  </r>
  <r>
    <x v="5"/>
    <x v="1"/>
    <x v="1"/>
    <x v="0"/>
    <x v="3"/>
    <x v="1"/>
    <x v="1"/>
    <x v="0"/>
    <x v="1"/>
    <x v="0"/>
    <n v="1"/>
    <n v="1"/>
    <n v="0"/>
    <n v="1"/>
    <x v="0"/>
    <n v="5.6300632156829497E-2"/>
  </r>
  <r>
    <x v="3"/>
    <x v="0"/>
    <x v="0"/>
    <x v="0"/>
    <x v="3"/>
    <x v="0"/>
    <x v="1"/>
    <x v="1"/>
    <x v="0"/>
    <x v="2"/>
    <n v="1"/>
    <n v="1"/>
    <n v="0"/>
    <m/>
    <x v="1"/>
    <n v="4.2045949270268397E-2"/>
  </r>
  <r>
    <x v="21"/>
    <x v="0"/>
    <x v="0"/>
    <x v="0"/>
    <x v="3"/>
    <x v="1"/>
    <x v="0"/>
    <x v="0"/>
    <x v="1"/>
    <x v="8"/>
    <n v="1"/>
    <n v="1"/>
    <n v="0"/>
    <m/>
    <x v="1"/>
    <n v="0.1072132568053293"/>
  </r>
  <r>
    <x v="14"/>
    <x v="0"/>
    <x v="1"/>
    <x v="0"/>
    <x v="3"/>
    <x v="0"/>
    <x v="1"/>
    <x v="1"/>
    <x v="0"/>
    <x v="7"/>
    <n v="1"/>
    <n v="1"/>
    <n v="0"/>
    <m/>
    <x v="1"/>
    <n v="2.9580852115696006E-2"/>
  </r>
  <r>
    <x v="15"/>
    <x v="0"/>
    <x v="0"/>
    <x v="0"/>
    <x v="2"/>
    <x v="0"/>
    <x v="1"/>
    <x v="0"/>
    <x v="1"/>
    <x v="5"/>
    <n v="1"/>
    <n v="1"/>
    <n v="0"/>
    <n v="1"/>
    <x v="0"/>
    <n v="2.0865309424357978E-2"/>
  </r>
  <r>
    <x v="2"/>
    <x v="1"/>
    <x v="1"/>
    <x v="1"/>
    <x v="2"/>
    <x v="0"/>
    <x v="0"/>
    <x v="0"/>
    <x v="2"/>
    <x v="1"/>
    <n v="1"/>
    <n v="1"/>
    <n v="0"/>
    <m/>
    <x v="1"/>
    <n v="6.8603594486611547E-2"/>
  </r>
  <r>
    <x v="22"/>
    <x v="0"/>
    <x v="0"/>
    <x v="2"/>
    <x v="3"/>
    <x v="0"/>
    <x v="1"/>
    <x v="1"/>
    <x v="2"/>
    <x v="8"/>
    <n v="1"/>
    <n v="2"/>
    <n v="0"/>
    <n v="1"/>
    <x v="0"/>
    <n v="0.22957276548181973"/>
  </r>
  <r>
    <x v="16"/>
    <x v="1"/>
    <x v="0"/>
    <x v="2"/>
    <x v="2"/>
    <x v="0"/>
    <x v="0"/>
    <x v="1"/>
    <x v="0"/>
    <x v="8"/>
    <n v="1"/>
    <n v="1"/>
    <n v="0"/>
    <m/>
    <x v="1"/>
    <n v="0.11988383252407406"/>
  </r>
  <r>
    <x v="17"/>
    <x v="1"/>
    <x v="0"/>
    <x v="2"/>
    <x v="3"/>
    <x v="1"/>
    <x v="1"/>
    <x v="1"/>
    <x v="0"/>
    <x v="9"/>
    <n v="1"/>
    <n v="1"/>
    <n v="1"/>
    <n v="1"/>
    <x v="0"/>
    <n v="0.14663061972369384"/>
  </r>
  <r>
    <x v="20"/>
    <x v="1"/>
    <x v="1"/>
    <x v="0"/>
    <x v="3"/>
    <x v="0"/>
    <x v="0"/>
    <x v="1"/>
    <x v="2"/>
    <x v="9"/>
    <n v="1"/>
    <n v="1"/>
    <n v="0"/>
    <n v="1"/>
    <x v="0"/>
    <n v="0.17949631292439386"/>
  </r>
  <r>
    <x v="5"/>
    <x v="0"/>
    <x v="1"/>
    <x v="0"/>
    <x v="2"/>
    <x v="0"/>
    <x v="1"/>
    <x v="1"/>
    <x v="0"/>
    <x v="7"/>
    <n v="1"/>
    <n v="2"/>
    <n v="0"/>
    <n v="1"/>
    <x v="0"/>
    <n v="4.4015136917524199E-2"/>
  </r>
  <r>
    <x v="0"/>
    <x v="1"/>
    <x v="0"/>
    <x v="0"/>
    <x v="2"/>
    <x v="0"/>
    <x v="1"/>
    <x v="0"/>
    <x v="2"/>
    <x v="8"/>
    <n v="1"/>
    <n v="1"/>
    <n v="0"/>
    <n v="1"/>
    <x v="0"/>
    <n v="9.9113496312796978E-2"/>
  </r>
  <r>
    <x v="12"/>
    <x v="1"/>
    <x v="1"/>
    <x v="0"/>
    <x v="0"/>
    <x v="1"/>
    <x v="1"/>
    <x v="1"/>
    <x v="1"/>
    <x v="7"/>
    <n v="1"/>
    <n v="1"/>
    <n v="0"/>
    <m/>
    <x v="1"/>
    <n v="2.9138416298841268E-2"/>
  </r>
  <r>
    <x v="11"/>
    <x v="0"/>
    <x v="1"/>
    <x v="0"/>
    <x v="0"/>
    <x v="0"/>
    <x v="1"/>
    <x v="1"/>
    <x v="2"/>
    <x v="4"/>
    <n v="1"/>
    <n v="1"/>
    <n v="0"/>
    <m/>
    <x v="1"/>
    <n v="3.3292078574409821E-2"/>
  </r>
  <r>
    <x v="22"/>
    <x v="0"/>
    <x v="0"/>
    <x v="2"/>
    <x v="0"/>
    <x v="0"/>
    <x v="1"/>
    <x v="1"/>
    <x v="0"/>
    <x v="7"/>
    <n v="1"/>
    <n v="1"/>
    <n v="0"/>
    <n v="1"/>
    <x v="0"/>
    <n v="2.8227386446598338E-2"/>
  </r>
  <r>
    <x v="1"/>
    <x v="0"/>
    <x v="0"/>
    <x v="2"/>
    <x v="2"/>
    <x v="0"/>
    <x v="0"/>
    <x v="1"/>
    <x v="0"/>
    <x v="1"/>
    <n v="1"/>
    <n v="2"/>
    <n v="0"/>
    <n v="1"/>
    <x v="0"/>
    <n v="0.16529306235547556"/>
  </r>
  <r>
    <x v="21"/>
    <x v="0"/>
    <x v="0"/>
    <x v="2"/>
    <x v="2"/>
    <x v="0"/>
    <x v="0"/>
    <x v="0"/>
    <x v="1"/>
    <x v="0"/>
    <n v="2"/>
    <n v="2"/>
    <n v="0"/>
    <m/>
    <x v="1"/>
    <n v="0.11187579774158009"/>
  </r>
  <r>
    <x v="15"/>
    <x v="0"/>
    <x v="1"/>
    <x v="1"/>
    <x v="2"/>
    <x v="0"/>
    <x v="0"/>
    <x v="1"/>
    <x v="1"/>
    <x v="6"/>
    <n v="1"/>
    <n v="1"/>
    <n v="0"/>
    <n v="1"/>
    <x v="0"/>
    <n v="1.4066294421662752E-2"/>
  </r>
  <r>
    <x v="10"/>
    <x v="0"/>
    <x v="0"/>
    <x v="0"/>
    <x v="2"/>
    <x v="0"/>
    <x v="1"/>
    <x v="0"/>
    <x v="0"/>
    <x v="4"/>
    <n v="1"/>
    <n v="1"/>
    <n v="0"/>
    <m/>
    <x v="1"/>
    <n v="3.1384565006669626E-2"/>
  </r>
  <r>
    <x v="22"/>
    <x v="1"/>
    <x v="0"/>
    <x v="1"/>
    <x v="2"/>
    <x v="1"/>
    <x v="0"/>
    <x v="1"/>
    <x v="0"/>
    <x v="8"/>
    <n v="1"/>
    <n v="1"/>
    <n v="0"/>
    <n v="1"/>
    <x v="0"/>
    <n v="8.5045726905154884E-2"/>
  </r>
  <r>
    <x v="5"/>
    <x v="1"/>
    <x v="1"/>
    <x v="1"/>
    <x v="0"/>
    <x v="0"/>
    <x v="1"/>
    <x v="0"/>
    <x v="1"/>
    <x v="6"/>
    <n v="1"/>
    <n v="1"/>
    <n v="0"/>
    <n v="1"/>
    <x v="0"/>
    <n v="6.9067353216518941E-3"/>
  </r>
  <r>
    <x v="11"/>
    <x v="1"/>
    <x v="0"/>
    <x v="1"/>
    <x v="2"/>
    <x v="0"/>
    <x v="0"/>
    <x v="1"/>
    <x v="1"/>
    <x v="7"/>
    <n v="1"/>
    <n v="1"/>
    <n v="0"/>
    <m/>
    <x v="1"/>
    <n v="3.012375921220177E-2"/>
  </r>
  <r>
    <x v="12"/>
    <x v="0"/>
    <x v="0"/>
    <x v="2"/>
    <x v="0"/>
    <x v="1"/>
    <x v="0"/>
    <x v="0"/>
    <x v="0"/>
    <x v="8"/>
    <n v="1"/>
    <n v="1"/>
    <n v="0"/>
    <m/>
    <x v="1"/>
    <n v="0.10781175572643616"/>
  </r>
  <r>
    <x v="19"/>
    <x v="1"/>
    <x v="1"/>
    <x v="0"/>
    <x v="0"/>
    <x v="0"/>
    <x v="1"/>
    <x v="1"/>
    <x v="2"/>
    <x v="0"/>
    <n v="1"/>
    <n v="1"/>
    <n v="0"/>
    <m/>
    <x v="1"/>
    <n v="4.9491902792675999E-2"/>
  </r>
  <r>
    <x v="3"/>
    <x v="1"/>
    <x v="1"/>
    <x v="2"/>
    <x v="1"/>
    <x v="1"/>
    <x v="0"/>
    <x v="1"/>
    <x v="1"/>
    <x v="8"/>
    <n v="1"/>
    <n v="4"/>
    <n v="0"/>
    <m/>
    <x v="1"/>
    <n v="0.44085779762072891"/>
  </r>
  <r>
    <x v="5"/>
    <x v="1"/>
    <x v="1"/>
    <x v="0"/>
    <x v="0"/>
    <x v="1"/>
    <x v="0"/>
    <x v="1"/>
    <x v="1"/>
    <x v="3"/>
    <n v="1"/>
    <n v="1"/>
    <n v="0"/>
    <n v="1"/>
    <x v="0"/>
    <n v="5.9651729761640827E-2"/>
  </r>
  <r>
    <x v="0"/>
    <x v="1"/>
    <x v="0"/>
    <x v="0"/>
    <x v="2"/>
    <x v="0"/>
    <x v="0"/>
    <x v="0"/>
    <x v="1"/>
    <x v="3"/>
    <n v="1"/>
    <n v="1"/>
    <n v="0"/>
    <n v="1"/>
    <x v="0"/>
    <n v="6.3757203829364353E-2"/>
  </r>
  <r>
    <x v="3"/>
    <x v="1"/>
    <x v="0"/>
    <x v="2"/>
    <x v="0"/>
    <x v="1"/>
    <x v="0"/>
    <x v="0"/>
    <x v="1"/>
    <x v="8"/>
    <n v="1"/>
    <n v="2"/>
    <n v="0"/>
    <m/>
    <x v="1"/>
    <n v="0.21454080743188383"/>
  </r>
  <r>
    <x v="15"/>
    <x v="1"/>
    <x v="0"/>
    <x v="1"/>
    <x v="2"/>
    <x v="1"/>
    <x v="0"/>
    <x v="0"/>
    <x v="1"/>
    <x v="0"/>
    <n v="1"/>
    <n v="1"/>
    <n v="0"/>
    <n v="1"/>
    <x v="0"/>
    <n v="5.7610445646867868E-2"/>
  </r>
  <r>
    <x v="8"/>
    <x v="1"/>
    <x v="0"/>
    <x v="0"/>
    <x v="3"/>
    <x v="1"/>
    <x v="0"/>
    <x v="1"/>
    <x v="2"/>
    <x v="9"/>
    <n v="1"/>
    <n v="4"/>
    <n v="0"/>
    <m/>
    <x v="1"/>
    <n v="1.5308411122990924"/>
  </r>
  <r>
    <x v="16"/>
    <x v="1"/>
    <x v="0"/>
    <x v="2"/>
    <x v="3"/>
    <x v="1"/>
    <x v="0"/>
    <x v="1"/>
    <x v="1"/>
    <x v="9"/>
    <n v="1"/>
    <n v="1"/>
    <n v="0"/>
    <m/>
    <x v="1"/>
    <n v="0.19280182250464545"/>
  </r>
  <r>
    <x v="1"/>
    <x v="0"/>
    <x v="1"/>
    <x v="2"/>
    <x v="0"/>
    <x v="0"/>
    <x v="0"/>
    <x v="0"/>
    <x v="0"/>
    <x v="4"/>
    <n v="1"/>
    <n v="1"/>
    <n v="0"/>
    <n v="1"/>
    <x v="0"/>
    <n v="4.089495301709424E-2"/>
  </r>
  <r>
    <x v="3"/>
    <x v="1"/>
    <x v="1"/>
    <x v="1"/>
    <x v="2"/>
    <x v="1"/>
    <x v="1"/>
    <x v="1"/>
    <x v="1"/>
    <x v="5"/>
    <n v="1"/>
    <n v="1"/>
    <n v="0"/>
    <m/>
    <x v="1"/>
    <n v="1.9691539744554062E-2"/>
  </r>
  <r>
    <x v="19"/>
    <x v="0"/>
    <x v="1"/>
    <x v="2"/>
    <x v="2"/>
    <x v="0"/>
    <x v="1"/>
    <x v="1"/>
    <x v="1"/>
    <x v="5"/>
    <n v="1"/>
    <n v="1"/>
    <n v="0"/>
    <m/>
    <x v="1"/>
    <n v="1.9097545862700165E-2"/>
  </r>
  <r>
    <x v="8"/>
    <x v="0"/>
    <x v="0"/>
    <x v="1"/>
    <x v="2"/>
    <x v="0"/>
    <x v="0"/>
    <x v="1"/>
    <x v="2"/>
    <x v="1"/>
    <n v="0"/>
    <n v="1"/>
    <n v="0"/>
    <m/>
    <x v="1"/>
    <n v="6.5548751803400848E-2"/>
  </r>
  <r>
    <x v="6"/>
    <x v="1"/>
    <x v="0"/>
    <x v="0"/>
    <x v="1"/>
    <x v="0"/>
    <x v="0"/>
    <x v="0"/>
    <x v="1"/>
    <x v="3"/>
    <n v="0"/>
    <n v="2"/>
    <n v="0"/>
    <m/>
    <x v="1"/>
    <n v="0.12888611560345561"/>
  </r>
  <r>
    <x v="2"/>
    <x v="1"/>
    <x v="1"/>
    <x v="0"/>
    <x v="3"/>
    <x v="1"/>
    <x v="1"/>
    <x v="1"/>
    <x v="0"/>
    <x v="1"/>
    <n v="0"/>
    <n v="1"/>
    <n v="0"/>
    <m/>
    <x v="1"/>
    <n v="8.3167200953685433E-2"/>
  </r>
  <r>
    <x v="19"/>
    <x v="0"/>
    <x v="0"/>
    <x v="2"/>
    <x v="3"/>
    <x v="1"/>
    <x v="0"/>
    <x v="1"/>
    <x v="2"/>
    <x v="9"/>
    <n v="0"/>
    <n v="1"/>
    <n v="0"/>
    <m/>
    <x v="1"/>
    <n v="0.35041457657899155"/>
  </r>
  <r>
    <x v="7"/>
    <x v="1"/>
    <x v="1"/>
    <x v="2"/>
    <x v="3"/>
    <x v="1"/>
    <x v="0"/>
    <x v="1"/>
    <x v="2"/>
    <x v="9"/>
    <n v="0"/>
    <n v="1"/>
    <n v="0"/>
    <m/>
    <x v="1"/>
    <n v="0.36160791219919358"/>
  </r>
  <r>
    <x v="15"/>
    <x v="1"/>
    <x v="1"/>
    <x v="2"/>
    <x v="2"/>
    <x v="0"/>
    <x v="0"/>
    <x v="1"/>
    <x v="1"/>
    <x v="0"/>
    <n v="0"/>
    <n v="1"/>
    <n v="0"/>
    <m/>
    <x v="0"/>
    <n v="5.857291153169402E-2"/>
  </r>
  <r>
    <x v="16"/>
    <x v="1"/>
    <x v="0"/>
    <x v="1"/>
    <x v="0"/>
    <x v="0"/>
    <x v="1"/>
    <x v="1"/>
    <x v="2"/>
    <x v="4"/>
    <n v="0"/>
    <n v="1"/>
    <n v="0"/>
    <m/>
    <x v="1"/>
    <n v="3.306406644322489E-2"/>
  </r>
  <r>
    <x v="12"/>
    <x v="1"/>
    <x v="0"/>
    <x v="2"/>
    <x v="2"/>
    <x v="0"/>
    <x v="1"/>
    <x v="1"/>
    <x v="0"/>
    <x v="3"/>
    <n v="0"/>
    <n v="1"/>
    <n v="0"/>
    <m/>
    <x v="1"/>
    <n v="6.0544035202992515E-2"/>
  </r>
  <r>
    <x v="8"/>
    <x v="1"/>
    <x v="0"/>
    <x v="0"/>
    <x v="1"/>
    <x v="1"/>
    <x v="0"/>
    <x v="1"/>
    <x v="2"/>
    <x v="9"/>
    <n v="0"/>
    <n v="4"/>
    <n v="0"/>
    <m/>
    <x v="1"/>
    <n v="1.265793331168636"/>
  </r>
  <r>
    <x v="18"/>
    <x v="0"/>
    <x v="1"/>
    <x v="2"/>
    <x v="1"/>
    <x v="1"/>
    <x v="0"/>
    <x v="1"/>
    <x v="2"/>
    <x v="9"/>
    <n v="0"/>
    <n v="1"/>
    <n v="0"/>
    <m/>
    <x v="1"/>
    <n v="0.21859660432790401"/>
  </r>
  <r>
    <x v="7"/>
    <x v="1"/>
    <x v="0"/>
    <x v="2"/>
    <x v="0"/>
    <x v="0"/>
    <x v="0"/>
    <x v="0"/>
    <x v="2"/>
    <x v="9"/>
    <n v="0"/>
    <n v="1"/>
    <n v="0"/>
    <m/>
    <x v="1"/>
    <n v="0.17250282287365376"/>
  </r>
  <r>
    <x v="2"/>
    <x v="0"/>
    <x v="1"/>
    <x v="2"/>
    <x v="3"/>
    <x v="1"/>
    <x v="0"/>
    <x v="1"/>
    <x v="2"/>
    <x v="9"/>
    <n v="0"/>
    <n v="1"/>
    <n v="0"/>
    <m/>
    <x v="1"/>
    <n v="0.27253844728178028"/>
  </r>
  <r>
    <x v="21"/>
    <x v="1"/>
    <x v="0"/>
    <x v="1"/>
    <x v="0"/>
    <x v="0"/>
    <x v="1"/>
    <x v="1"/>
    <x v="2"/>
    <x v="4"/>
    <n v="0"/>
    <n v="2"/>
    <n v="0"/>
    <m/>
    <x v="1"/>
    <n v="6.6128132886449781E-2"/>
  </r>
  <r>
    <x v="7"/>
    <x v="1"/>
    <x v="0"/>
    <x v="0"/>
    <x v="2"/>
    <x v="1"/>
    <x v="1"/>
    <x v="1"/>
    <x v="2"/>
    <x v="9"/>
    <n v="0"/>
    <n v="1"/>
    <n v="0"/>
    <m/>
    <x v="1"/>
    <n v="0.1779974580864464"/>
  </r>
  <r>
    <x v="21"/>
    <x v="0"/>
    <x v="1"/>
    <x v="2"/>
    <x v="2"/>
    <x v="1"/>
    <x v="0"/>
    <x v="0"/>
    <x v="0"/>
    <x v="8"/>
    <n v="0"/>
    <n v="1"/>
    <n v="0"/>
    <m/>
    <x v="1"/>
    <n v="0.10964771003463976"/>
  </r>
  <r>
    <x v="11"/>
    <x v="0"/>
    <x v="0"/>
    <x v="2"/>
    <x v="2"/>
    <x v="0"/>
    <x v="1"/>
    <x v="1"/>
    <x v="2"/>
    <x v="8"/>
    <n v="0"/>
    <n v="1"/>
    <n v="0"/>
    <m/>
    <x v="1"/>
    <n v="8.7362644124071173E-2"/>
  </r>
  <r>
    <x v="8"/>
    <x v="0"/>
    <x v="0"/>
    <x v="0"/>
    <x v="2"/>
    <x v="1"/>
    <x v="1"/>
    <x v="1"/>
    <x v="2"/>
    <x v="9"/>
    <n v="0"/>
    <n v="1"/>
    <n v="0"/>
    <m/>
    <x v="1"/>
    <n v="0.12527880269335515"/>
  </r>
  <r>
    <x v="0"/>
    <x v="0"/>
    <x v="0"/>
    <x v="0"/>
    <x v="3"/>
    <x v="0"/>
    <x v="0"/>
    <x v="1"/>
    <x v="2"/>
    <x v="9"/>
    <n v="0"/>
    <n v="2"/>
    <n v="0"/>
    <m/>
    <x v="0"/>
    <n v="0.34483527205385262"/>
  </r>
  <r>
    <x v="14"/>
    <x v="1"/>
    <x v="1"/>
    <x v="2"/>
    <x v="1"/>
    <x v="1"/>
    <x v="0"/>
    <x v="1"/>
    <x v="1"/>
    <x v="8"/>
    <n v="0"/>
    <n v="1"/>
    <n v="0"/>
    <m/>
    <x v="1"/>
    <n v="0.11021444940518223"/>
  </r>
  <r>
    <x v="14"/>
    <x v="1"/>
    <x v="0"/>
    <x v="0"/>
    <x v="0"/>
    <x v="1"/>
    <x v="0"/>
    <x v="1"/>
    <x v="0"/>
    <x v="8"/>
    <n v="0"/>
    <n v="1"/>
    <n v="0"/>
    <m/>
    <x v="1"/>
    <n v="0.12194562411528299"/>
  </r>
  <r>
    <x v="8"/>
    <x v="0"/>
    <x v="1"/>
    <x v="0"/>
    <x v="0"/>
    <x v="0"/>
    <x v="0"/>
    <x v="0"/>
    <x v="2"/>
    <x v="1"/>
    <n v="0"/>
    <n v="1"/>
    <n v="0"/>
    <m/>
    <x v="1"/>
    <n v="6.785105877159095E-2"/>
  </r>
  <r>
    <x v="12"/>
    <x v="0"/>
    <x v="0"/>
    <x v="2"/>
    <x v="3"/>
    <x v="0"/>
    <x v="0"/>
    <x v="1"/>
    <x v="2"/>
    <x v="9"/>
    <n v="0"/>
    <n v="1"/>
    <n v="0"/>
    <m/>
    <x v="1"/>
    <n v="0.21511628420770765"/>
  </r>
  <r>
    <x v="2"/>
    <x v="1"/>
    <x v="0"/>
    <x v="0"/>
    <x v="3"/>
    <x v="1"/>
    <x v="0"/>
    <x v="1"/>
    <x v="1"/>
    <x v="9"/>
    <n v="0"/>
    <n v="1"/>
    <n v="0"/>
    <m/>
    <x v="1"/>
    <n v="0.15366523766540796"/>
  </r>
  <r>
    <x v="7"/>
    <x v="1"/>
    <x v="0"/>
    <x v="0"/>
    <x v="1"/>
    <x v="1"/>
    <x v="0"/>
    <x v="1"/>
    <x v="2"/>
    <x v="9"/>
    <n v="0"/>
    <n v="5"/>
    <n v="0"/>
    <m/>
    <x v="1"/>
    <n v="1.582241663960795"/>
  </r>
  <r>
    <x v="14"/>
    <x v="1"/>
    <x v="0"/>
    <x v="2"/>
    <x v="0"/>
    <x v="0"/>
    <x v="1"/>
    <x v="0"/>
    <x v="0"/>
    <x v="2"/>
    <n v="0"/>
    <n v="1"/>
    <n v="0"/>
    <m/>
    <x v="1"/>
    <n v="4.2069997453546046E-2"/>
  </r>
  <r>
    <x v="10"/>
    <x v="1"/>
    <x v="0"/>
    <x v="2"/>
    <x v="2"/>
    <x v="0"/>
    <x v="1"/>
    <x v="1"/>
    <x v="0"/>
    <x v="3"/>
    <n v="0"/>
    <n v="1"/>
    <n v="0"/>
    <m/>
    <x v="1"/>
    <n v="6.0544035202992515E-2"/>
  </r>
  <r>
    <x v="14"/>
    <x v="0"/>
    <x v="1"/>
    <x v="2"/>
    <x v="0"/>
    <x v="0"/>
    <x v="0"/>
    <x v="1"/>
    <x v="0"/>
    <x v="4"/>
    <n v="0"/>
    <n v="1"/>
    <n v="0"/>
    <m/>
    <x v="1"/>
    <n v="4.089495301709424E-2"/>
  </r>
  <r>
    <x v="7"/>
    <x v="1"/>
    <x v="1"/>
    <x v="0"/>
    <x v="3"/>
    <x v="1"/>
    <x v="0"/>
    <x v="1"/>
    <x v="2"/>
    <x v="9"/>
    <n v="0"/>
    <n v="1"/>
    <n v="0"/>
    <m/>
    <x v="1"/>
    <n v="0.30098236555114261"/>
  </r>
  <r>
    <x v="21"/>
    <x v="1"/>
    <x v="0"/>
    <x v="0"/>
    <x v="2"/>
    <x v="1"/>
    <x v="1"/>
    <x v="1"/>
    <x v="1"/>
    <x v="3"/>
    <n v="0"/>
    <n v="2"/>
    <n v="0"/>
    <m/>
    <x v="1"/>
    <n v="0.11926696437941101"/>
  </r>
  <r>
    <x v="11"/>
    <x v="0"/>
    <x v="1"/>
    <x v="0"/>
    <x v="3"/>
    <x v="1"/>
    <x v="0"/>
    <x v="1"/>
    <x v="0"/>
    <x v="8"/>
    <n v="0"/>
    <n v="1"/>
    <n v="0"/>
    <m/>
    <x v="1"/>
    <n v="0.11253926602183867"/>
  </r>
  <r>
    <x v="7"/>
    <x v="1"/>
    <x v="0"/>
    <x v="2"/>
    <x v="0"/>
    <x v="0"/>
    <x v="1"/>
    <x v="0"/>
    <x v="1"/>
    <x v="7"/>
    <n v="0"/>
    <n v="1"/>
    <n v="0"/>
    <m/>
    <x v="1"/>
    <n v="2.8073075056070349E-2"/>
  </r>
  <r>
    <x v="11"/>
    <x v="1"/>
    <x v="0"/>
    <x v="1"/>
    <x v="0"/>
    <x v="0"/>
    <x v="0"/>
    <x v="1"/>
    <x v="0"/>
    <x v="4"/>
    <n v="0"/>
    <n v="1"/>
    <n v="0"/>
    <m/>
    <x v="1"/>
    <n v="3.1179022325415869E-2"/>
  </r>
  <r>
    <x v="17"/>
    <x v="1"/>
    <x v="0"/>
    <x v="2"/>
    <x v="0"/>
    <x v="1"/>
    <x v="1"/>
    <x v="0"/>
    <x v="1"/>
    <x v="0"/>
    <n v="0"/>
    <n v="1"/>
    <n v="0"/>
    <m/>
    <x v="0"/>
    <n v="5.3792377530532454E-2"/>
  </r>
  <r>
    <x v="7"/>
    <x v="0"/>
    <x v="0"/>
    <x v="0"/>
    <x v="0"/>
    <x v="1"/>
    <x v="1"/>
    <x v="1"/>
    <x v="2"/>
    <x v="8"/>
    <n v="0"/>
    <n v="1"/>
    <n v="0"/>
    <m/>
    <x v="1"/>
    <n v="8.8921637380936031E-2"/>
  </r>
  <r>
    <x v="3"/>
    <x v="0"/>
    <x v="0"/>
    <x v="0"/>
    <x v="3"/>
    <x v="1"/>
    <x v="1"/>
    <x v="0"/>
    <x v="2"/>
    <x v="9"/>
    <n v="0"/>
    <n v="1"/>
    <n v="0"/>
    <m/>
    <x v="1"/>
    <n v="0.16248563228241489"/>
  </r>
  <r>
    <x v="7"/>
    <x v="1"/>
    <x v="0"/>
    <x v="0"/>
    <x v="3"/>
    <x v="0"/>
    <x v="0"/>
    <x v="0"/>
    <x v="1"/>
    <x v="8"/>
    <n v="0"/>
    <n v="1"/>
    <n v="0"/>
    <m/>
    <x v="1"/>
    <n v="8.4456755045901957E-2"/>
  </r>
  <r>
    <x v="16"/>
    <x v="0"/>
    <x v="1"/>
    <x v="0"/>
    <x v="3"/>
    <x v="1"/>
    <x v="0"/>
    <x v="0"/>
    <x v="1"/>
    <x v="1"/>
    <n v="0"/>
    <n v="1"/>
    <n v="0"/>
    <m/>
    <x v="1"/>
    <n v="7.6980948887072007E-2"/>
  </r>
  <r>
    <x v="13"/>
    <x v="1"/>
    <x v="1"/>
    <x v="0"/>
    <x v="0"/>
    <x v="0"/>
    <x v="0"/>
    <x v="0"/>
    <x v="0"/>
    <x v="0"/>
    <n v="0"/>
    <n v="1"/>
    <n v="0"/>
    <m/>
    <x v="1"/>
    <n v="4.6715526092825782E-2"/>
  </r>
  <r>
    <x v="2"/>
    <x v="0"/>
    <x v="0"/>
    <x v="2"/>
    <x v="2"/>
    <x v="1"/>
    <x v="1"/>
    <x v="1"/>
    <x v="1"/>
    <x v="0"/>
    <n v="0"/>
    <n v="1"/>
    <n v="0"/>
    <m/>
    <x v="1"/>
    <n v="5.2291671314483069E-2"/>
  </r>
  <r>
    <x v="3"/>
    <x v="1"/>
    <x v="0"/>
    <x v="0"/>
    <x v="2"/>
    <x v="1"/>
    <x v="0"/>
    <x v="1"/>
    <x v="0"/>
    <x v="9"/>
    <n v="0"/>
    <n v="1"/>
    <n v="0"/>
    <m/>
    <x v="1"/>
    <n v="0.1692962067399281"/>
  </r>
  <r>
    <x v="20"/>
    <x v="1"/>
    <x v="0"/>
    <x v="1"/>
    <x v="2"/>
    <x v="0"/>
    <x v="1"/>
    <x v="1"/>
    <x v="0"/>
    <x v="7"/>
    <n v="0"/>
    <n v="1"/>
    <n v="0"/>
    <m/>
    <x v="0"/>
    <n v="2.1855094877283671E-2"/>
  </r>
  <r>
    <x v="2"/>
    <x v="0"/>
    <x v="0"/>
    <x v="0"/>
    <x v="2"/>
    <x v="1"/>
    <x v="1"/>
    <x v="0"/>
    <x v="2"/>
    <x v="9"/>
    <n v="0"/>
    <n v="1"/>
    <n v="0"/>
    <m/>
    <x v="1"/>
    <n v="0.12527880269335515"/>
  </r>
  <r>
    <x v="21"/>
    <x v="1"/>
    <x v="0"/>
    <x v="2"/>
    <x v="1"/>
    <x v="1"/>
    <x v="0"/>
    <x v="1"/>
    <x v="0"/>
    <x v="9"/>
    <n v="0"/>
    <n v="1"/>
    <n v="0"/>
    <m/>
    <x v="1"/>
    <n v="0.21333167671907721"/>
  </r>
  <r>
    <x v="3"/>
    <x v="0"/>
    <x v="1"/>
    <x v="0"/>
    <x v="3"/>
    <x v="1"/>
    <x v="0"/>
    <x v="1"/>
    <x v="1"/>
    <x v="1"/>
    <n v="0"/>
    <n v="3"/>
    <n v="0"/>
    <m/>
    <x v="1"/>
    <n v="0.23094284666121603"/>
  </r>
  <r>
    <x v="8"/>
    <x v="1"/>
    <x v="1"/>
    <x v="0"/>
    <x v="0"/>
    <x v="1"/>
    <x v="1"/>
    <x v="0"/>
    <x v="1"/>
    <x v="7"/>
    <n v="0"/>
    <n v="1"/>
    <n v="0"/>
    <m/>
    <x v="1"/>
    <n v="2.9138416298841268E-2"/>
  </r>
  <r>
    <x v="11"/>
    <x v="0"/>
    <x v="0"/>
    <x v="0"/>
    <x v="2"/>
    <x v="1"/>
    <x v="0"/>
    <x v="0"/>
    <x v="2"/>
    <x v="9"/>
    <n v="0"/>
    <n v="3"/>
    <n v="0"/>
    <m/>
    <x v="1"/>
    <n v="0.69711678800909049"/>
  </r>
  <r>
    <x v="4"/>
    <x v="1"/>
    <x v="1"/>
    <x v="2"/>
    <x v="1"/>
    <x v="0"/>
    <x v="0"/>
    <x v="1"/>
    <x v="2"/>
    <x v="9"/>
    <n v="0"/>
    <n v="2"/>
    <n v="0"/>
    <m/>
    <x v="1"/>
    <n v="0.35376490426362095"/>
  </r>
  <r>
    <x v="11"/>
    <x v="0"/>
    <x v="0"/>
    <x v="1"/>
    <x v="2"/>
    <x v="1"/>
    <x v="1"/>
    <x v="1"/>
    <x v="1"/>
    <x v="5"/>
    <n v="0"/>
    <n v="1"/>
    <n v="0"/>
    <m/>
    <x v="1"/>
    <n v="1.8770803012868077E-2"/>
  </r>
  <r>
    <x v="11"/>
    <x v="0"/>
    <x v="1"/>
    <x v="0"/>
    <x v="3"/>
    <x v="1"/>
    <x v="0"/>
    <x v="1"/>
    <x v="2"/>
    <x v="9"/>
    <n v="0"/>
    <n v="2"/>
    <n v="0"/>
    <m/>
    <x v="1"/>
    <n v="0.44332178255110904"/>
  </r>
  <r>
    <x v="3"/>
    <x v="1"/>
    <x v="1"/>
    <x v="2"/>
    <x v="2"/>
    <x v="0"/>
    <x v="0"/>
    <x v="0"/>
    <x v="2"/>
    <x v="9"/>
    <n v="0"/>
    <n v="1"/>
    <n v="0"/>
    <m/>
    <x v="1"/>
    <n v="0.17522405795301016"/>
  </r>
  <r>
    <x v="19"/>
    <x v="0"/>
    <x v="1"/>
    <x v="0"/>
    <x v="3"/>
    <x v="0"/>
    <x v="0"/>
    <x v="1"/>
    <x v="2"/>
    <x v="9"/>
    <n v="0"/>
    <n v="1"/>
    <n v="0"/>
    <m/>
    <x v="1"/>
    <n v="0.1264019958894318"/>
  </r>
  <r>
    <x v="10"/>
    <x v="0"/>
    <x v="0"/>
    <x v="0"/>
    <x v="3"/>
    <x v="0"/>
    <x v="0"/>
    <x v="1"/>
    <x v="2"/>
    <x v="9"/>
    <n v="0"/>
    <n v="4"/>
    <n v="0"/>
    <m/>
    <x v="1"/>
    <n v="0.68967054410770523"/>
  </r>
  <r>
    <x v="3"/>
    <x v="0"/>
    <x v="1"/>
    <x v="2"/>
    <x v="0"/>
    <x v="0"/>
    <x v="1"/>
    <x v="1"/>
    <x v="0"/>
    <x v="5"/>
    <n v="0"/>
    <n v="1"/>
    <n v="0"/>
    <m/>
    <x v="1"/>
    <n v="1.9774425808023691E-2"/>
  </r>
  <r>
    <x v="10"/>
    <x v="1"/>
    <x v="0"/>
    <x v="0"/>
    <x v="2"/>
    <x v="1"/>
    <x v="0"/>
    <x v="0"/>
    <x v="2"/>
    <x v="9"/>
    <n v="0"/>
    <n v="1"/>
    <n v="0"/>
    <m/>
    <x v="1"/>
    <n v="0.31398055376811668"/>
  </r>
  <r>
    <x v="4"/>
    <x v="0"/>
    <x v="0"/>
    <x v="2"/>
    <x v="2"/>
    <x v="1"/>
    <x v="0"/>
    <x v="1"/>
    <x v="1"/>
    <x v="8"/>
    <n v="0"/>
    <n v="1"/>
    <n v="0"/>
    <m/>
    <x v="1"/>
    <n v="0.10444244110474776"/>
  </r>
  <r>
    <x v="3"/>
    <x v="0"/>
    <x v="0"/>
    <x v="0"/>
    <x v="3"/>
    <x v="1"/>
    <x v="0"/>
    <x v="1"/>
    <x v="1"/>
    <x v="8"/>
    <n v="0"/>
    <n v="1"/>
    <n v="0"/>
    <m/>
    <x v="1"/>
    <n v="0.1072132568053293"/>
  </r>
  <r>
    <x v="10"/>
    <x v="0"/>
    <x v="0"/>
    <x v="2"/>
    <x v="2"/>
    <x v="0"/>
    <x v="1"/>
    <x v="1"/>
    <x v="2"/>
    <x v="8"/>
    <n v="0"/>
    <n v="1"/>
    <n v="0"/>
    <m/>
    <x v="1"/>
    <n v="8.7362644124071173E-2"/>
  </r>
  <r>
    <x v="15"/>
    <x v="1"/>
    <x v="1"/>
    <x v="0"/>
    <x v="0"/>
    <x v="0"/>
    <x v="1"/>
    <x v="0"/>
    <x v="2"/>
    <x v="0"/>
    <n v="0"/>
    <n v="1"/>
    <n v="0"/>
    <m/>
    <x v="0"/>
    <n v="4.9491902792675999E-2"/>
  </r>
  <r>
    <x v="5"/>
    <x v="0"/>
    <x v="1"/>
    <x v="0"/>
    <x v="0"/>
    <x v="0"/>
    <x v="1"/>
    <x v="1"/>
    <x v="2"/>
    <x v="4"/>
    <n v="0"/>
    <n v="1"/>
    <n v="0"/>
    <m/>
    <x v="0"/>
    <n v="3.3292078574409821E-2"/>
  </r>
  <r>
    <x v="17"/>
    <x v="0"/>
    <x v="1"/>
    <x v="2"/>
    <x v="3"/>
    <x v="1"/>
    <x v="0"/>
    <x v="0"/>
    <x v="2"/>
    <x v="9"/>
    <n v="0"/>
    <n v="1"/>
    <n v="0"/>
    <m/>
    <x v="0"/>
    <n v="0.27253844728178028"/>
  </r>
  <r>
    <x v="14"/>
    <x v="1"/>
    <x v="0"/>
    <x v="0"/>
    <x v="0"/>
    <x v="1"/>
    <x v="0"/>
    <x v="1"/>
    <x v="2"/>
    <x v="9"/>
    <n v="0"/>
    <n v="1"/>
    <n v="0"/>
    <m/>
    <x v="1"/>
    <n v="0.23774457836402732"/>
  </r>
  <r>
    <x v="7"/>
    <x v="1"/>
    <x v="0"/>
    <x v="0"/>
    <x v="3"/>
    <x v="1"/>
    <x v="0"/>
    <x v="1"/>
    <x v="2"/>
    <x v="9"/>
    <n v="0"/>
    <n v="3"/>
    <n v="0"/>
    <m/>
    <x v="1"/>
    <n v="1.1481308342243193"/>
  </r>
  <r>
    <x v="18"/>
    <x v="0"/>
    <x v="0"/>
    <x v="0"/>
    <x v="3"/>
    <x v="1"/>
    <x v="1"/>
    <x v="1"/>
    <x v="0"/>
    <x v="1"/>
    <n v="0"/>
    <n v="1"/>
    <n v="0"/>
    <m/>
    <x v="1"/>
    <n v="7.951922355711924E-2"/>
  </r>
  <r>
    <x v="4"/>
    <x v="1"/>
    <x v="0"/>
    <x v="2"/>
    <x v="1"/>
    <x v="1"/>
    <x v="0"/>
    <x v="1"/>
    <x v="2"/>
    <x v="9"/>
    <n v="0"/>
    <n v="3"/>
    <n v="0"/>
    <m/>
    <x v="1"/>
    <n v="1.1355068635565528"/>
  </r>
  <r>
    <x v="4"/>
    <x v="1"/>
    <x v="1"/>
    <x v="2"/>
    <x v="1"/>
    <x v="1"/>
    <x v="0"/>
    <x v="1"/>
    <x v="2"/>
    <x v="9"/>
    <n v="0"/>
    <n v="1"/>
    <n v="0"/>
    <m/>
    <x v="1"/>
    <n v="0.29724028639102335"/>
  </r>
  <r>
    <x v="20"/>
    <x v="1"/>
    <x v="0"/>
    <x v="2"/>
    <x v="2"/>
    <x v="1"/>
    <x v="1"/>
    <x v="1"/>
    <x v="2"/>
    <x v="9"/>
    <n v="0"/>
    <n v="1"/>
    <n v="0"/>
    <m/>
    <x v="0"/>
    <n v="0.22170774237791363"/>
  </r>
  <r>
    <x v="20"/>
    <x v="1"/>
    <x v="0"/>
    <x v="2"/>
    <x v="2"/>
    <x v="0"/>
    <x v="0"/>
    <x v="0"/>
    <x v="0"/>
    <x v="8"/>
    <n v="0"/>
    <n v="1"/>
    <n v="0"/>
    <m/>
    <x v="0"/>
    <n v="0.11988383252407406"/>
  </r>
  <r>
    <x v="7"/>
    <x v="1"/>
    <x v="1"/>
    <x v="0"/>
    <x v="3"/>
    <x v="1"/>
    <x v="1"/>
    <x v="1"/>
    <x v="2"/>
    <x v="9"/>
    <n v="0"/>
    <n v="1"/>
    <n v="0"/>
    <m/>
    <x v="1"/>
    <n v="0.1692399337900779"/>
  </r>
  <r>
    <x v="16"/>
    <x v="0"/>
    <x v="1"/>
    <x v="0"/>
    <x v="2"/>
    <x v="1"/>
    <x v="0"/>
    <x v="0"/>
    <x v="2"/>
    <x v="9"/>
    <n v="0"/>
    <n v="1"/>
    <n v="0"/>
    <m/>
    <x v="1"/>
    <n v="0.17371434400069519"/>
  </r>
  <r>
    <x v="3"/>
    <x v="1"/>
    <x v="1"/>
    <x v="0"/>
    <x v="3"/>
    <x v="1"/>
    <x v="0"/>
    <x v="1"/>
    <x v="1"/>
    <x v="8"/>
    <n v="0"/>
    <n v="1"/>
    <n v="0"/>
    <m/>
    <x v="1"/>
    <n v="0.11197715523543472"/>
  </r>
  <r>
    <x v="19"/>
    <x v="1"/>
    <x v="0"/>
    <x v="2"/>
    <x v="3"/>
    <x v="1"/>
    <x v="0"/>
    <x v="0"/>
    <x v="0"/>
    <x v="9"/>
    <n v="0"/>
    <n v="1"/>
    <n v="0"/>
    <m/>
    <x v="1"/>
    <n v="0.26641728068577614"/>
  </r>
  <r>
    <x v="22"/>
    <x v="1"/>
    <x v="0"/>
    <x v="2"/>
    <x v="2"/>
    <x v="0"/>
    <x v="0"/>
    <x v="0"/>
    <x v="2"/>
    <x v="9"/>
    <n v="0"/>
    <n v="1"/>
    <n v="0"/>
    <m/>
    <x v="0"/>
    <n v="0.23424723931098945"/>
  </r>
  <r>
    <x v="1"/>
    <x v="1"/>
    <x v="0"/>
    <x v="2"/>
    <x v="2"/>
    <x v="1"/>
    <x v="0"/>
    <x v="1"/>
    <x v="2"/>
    <x v="9"/>
    <n v="0"/>
    <n v="1"/>
    <n v="0"/>
    <m/>
    <x v="0"/>
    <n v="0.37581664832801498"/>
  </r>
  <r>
    <x v="7"/>
    <x v="0"/>
    <x v="0"/>
    <x v="1"/>
    <x v="2"/>
    <x v="1"/>
    <x v="0"/>
    <x v="0"/>
    <x v="2"/>
    <x v="8"/>
    <n v="0"/>
    <n v="1"/>
    <n v="0"/>
    <m/>
    <x v="1"/>
    <n v="0.12131608288674169"/>
  </r>
  <r>
    <x v="8"/>
    <x v="1"/>
    <x v="0"/>
    <x v="2"/>
    <x v="1"/>
    <x v="1"/>
    <x v="0"/>
    <x v="1"/>
    <x v="2"/>
    <x v="9"/>
    <n v="0"/>
    <n v="2"/>
    <n v="0"/>
    <m/>
    <x v="1"/>
    <n v="0.75700457570436863"/>
  </r>
  <r>
    <x v="15"/>
    <x v="0"/>
    <x v="1"/>
    <x v="2"/>
    <x v="2"/>
    <x v="1"/>
    <x v="1"/>
    <x v="1"/>
    <x v="1"/>
    <x v="4"/>
    <n v="0"/>
    <n v="1"/>
    <n v="0"/>
    <m/>
    <x v="0"/>
    <n v="3.6906111670654135E-2"/>
  </r>
  <r>
    <x v="20"/>
    <x v="0"/>
    <x v="0"/>
    <x v="2"/>
    <x v="0"/>
    <x v="0"/>
    <x v="0"/>
    <x v="1"/>
    <x v="0"/>
    <x v="0"/>
    <n v="0"/>
    <n v="1"/>
    <n v="0"/>
    <m/>
    <x v="0"/>
    <n v="5.784352300209826E-2"/>
  </r>
  <r>
    <x v="2"/>
    <x v="1"/>
    <x v="0"/>
    <x v="0"/>
    <x v="3"/>
    <x v="1"/>
    <x v="1"/>
    <x v="1"/>
    <x v="1"/>
    <x v="1"/>
    <n v="0"/>
    <n v="2"/>
    <n v="0"/>
    <m/>
    <x v="1"/>
    <n v="0.15821467926004149"/>
  </r>
  <r>
    <x v="5"/>
    <x v="0"/>
    <x v="0"/>
    <x v="0"/>
    <x v="3"/>
    <x v="1"/>
    <x v="0"/>
    <x v="1"/>
    <x v="0"/>
    <x v="9"/>
    <n v="0"/>
    <n v="1"/>
    <n v="0"/>
    <m/>
    <x v="0"/>
    <n v="0.15440023172603565"/>
  </r>
  <r>
    <x v="7"/>
    <x v="0"/>
    <x v="0"/>
    <x v="2"/>
    <x v="3"/>
    <x v="1"/>
    <x v="0"/>
    <x v="0"/>
    <x v="0"/>
    <x v="9"/>
    <n v="0"/>
    <n v="2"/>
    <n v="0"/>
    <m/>
    <x v="1"/>
    <n v="0.38736234302699285"/>
  </r>
  <r>
    <x v="17"/>
    <x v="1"/>
    <x v="0"/>
    <x v="0"/>
    <x v="3"/>
    <x v="0"/>
    <x v="1"/>
    <x v="1"/>
    <x v="2"/>
    <x v="9"/>
    <n v="0"/>
    <n v="1"/>
    <n v="0"/>
    <m/>
    <x v="0"/>
    <n v="0.12970168387961117"/>
  </r>
  <r>
    <x v="15"/>
    <x v="1"/>
    <x v="1"/>
    <x v="2"/>
    <x v="1"/>
    <x v="1"/>
    <x v="0"/>
    <x v="1"/>
    <x v="2"/>
    <x v="9"/>
    <n v="0"/>
    <n v="2"/>
    <n v="0"/>
    <m/>
    <x v="0"/>
    <n v="0.59448057278204669"/>
  </r>
  <r>
    <x v="19"/>
    <x v="1"/>
    <x v="0"/>
    <x v="0"/>
    <x v="3"/>
    <x v="1"/>
    <x v="0"/>
    <x v="0"/>
    <x v="0"/>
    <x v="9"/>
    <n v="0"/>
    <n v="1"/>
    <n v="0"/>
    <m/>
    <x v="1"/>
    <n v="0.21634259353047053"/>
  </r>
  <r>
    <x v="12"/>
    <x v="0"/>
    <x v="1"/>
    <x v="2"/>
    <x v="2"/>
    <x v="0"/>
    <x v="0"/>
    <x v="1"/>
    <x v="0"/>
    <x v="3"/>
    <n v="0"/>
    <n v="1"/>
    <n v="0"/>
    <m/>
    <x v="1"/>
    <n v="5.8884716464189815E-2"/>
  </r>
  <r>
    <x v="3"/>
    <x v="1"/>
    <x v="0"/>
    <x v="2"/>
    <x v="2"/>
    <x v="1"/>
    <x v="0"/>
    <x v="1"/>
    <x v="2"/>
    <x v="9"/>
    <n v="0"/>
    <n v="1"/>
    <n v="0"/>
    <m/>
    <x v="1"/>
    <n v="0.37581664832801498"/>
  </r>
  <r>
    <x v="11"/>
    <x v="1"/>
    <x v="0"/>
    <x v="1"/>
    <x v="2"/>
    <x v="1"/>
    <x v="0"/>
    <x v="1"/>
    <x v="0"/>
    <x v="8"/>
    <n v="0"/>
    <n v="1"/>
    <n v="0"/>
    <m/>
    <x v="1"/>
    <n v="8.5045726905154884E-2"/>
  </r>
  <r>
    <x v="21"/>
    <x v="0"/>
    <x v="0"/>
    <x v="0"/>
    <x v="0"/>
    <x v="1"/>
    <x v="0"/>
    <x v="1"/>
    <x v="1"/>
    <x v="0"/>
    <n v="0"/>
    <n v="1"/>
    <n v="0"/>
    <m/>
    <x v="1"/>
    <n v="5.6971121420815236E-2"/>
  </r>
  <r>
    <x v="3"/>
    <x v="0"/>
    <x v="1"/>
    <x v="2"/>
    <x v="1"/>
    <x v="1"/>
    <x v="0"/>
    <x v="1"/>
    <x v="2"/>
    <x v="9"/>
    <n v="0"/>
    <n v="1"/>
    <n v="0"/>
    <m/>
    <x v="1"/>
    <n v="0.21859660432790401"/>
  </r>
  <r>
    <x v="11"/>
    <x v="0"/>
    <x v="1"/>
    <x v="0"/>
    <x v="3"/>
    <x v="1"/>
    <x v="0"/>
    <x v="1"/>
    <x v="1"/>
    <x v="1"/>
    <n v="0"/>
    <n v="1"/>
    <n v="0"/>
    <m/>
    <x v="1"/>
    <n v="7.6980948887072007E-2"/>
  </r>
  <r>
    <x v="17"/>
    <x v="1"/>
    <x v="0"/>
    <x v="2"/>
    <x v="2"/>
    <x v="0"/>
    <x v="0"/>
    <x v="1"/>
    <x v="0"/>
    <x v="8"/>
    <n v="0"/>
    <n v="1"/>
    <n v="0"/>
    <m/>
    <x v="0"/>
    <n v="0.11988383252407406"/>
  </r>
  <r>
    <x v="4"/>
    <x v="0"/>
    <x v="1"/>
    <x v="1"/>
    <x v="0"/>
    <x v="0"/>
    <x v="0"/>
    <x v="1"/>
    <x v="2"/>
    <x v="4"/>
    <n v="0"/>
    <n v="1"/>
    <n v="0"/>
    <m/>
    <x v="1"/>
    <n v="3.2132126409987367E-2"/>
  </r>
  <r>
    <x v="3"/>
    <x v="1"/>
    <x v="0"/>
    <x v="0"/>
    <x v="3"/>
    <x v="1"/>
    <x v="0"/>
    <x v="0"/>
    <x v="0"/>
    <x v="9"/>
    <n v="0"/>
    <n v="1"/>
    <n v="0"/>
    <m/>
    <x v="1"/>
    <n v="0.21634259353047053"/>
  </r>
  <r>
    <x v="12"/>
    <x v="0"/>
    <x v="0"/>
    <x v="1"/>
    <x v="3"/>
    <x v="1"/>
    <x v="1"/>
    <x v="1"/>
    <x v="0"/>
    <x v="4"/>
    <n v="0"/>
    <n v="1"/>
    <n v="0"/>
    <m/>
    <x v="1"/>
    <n v="3.7907598023617026E-2"/>
  </r>
  <r>
    <x v="8"/>
    <x v="0"/>
    <x v="1"/>
    <x v="2"/>
    <x v="1"/>
    <x v="0"/>
    <x v="0"/>
    <x v="1"/>
    <x v="0"/>
    <x v="3"/>
    <n v="0"/>
    <n v="1"/>
    <n v="0"/>
    <m/>
    <x v="1"/>
    <n v="5.9521487991317845E-2"/>
  </r>
  <r>
    <x v="10"/>
    <x v="1"/>
    <x v="0"/>
    <x v="2"/>
    <x v="1"/>
    <x v="1"/>
    <x v="0"/>
    <x v="1"/>
    <x v="2"/>
    <x v="9"/>
    <n v="0"/>
    <n v="2"/>
    <n v="0"/>
    <m/>
    <x v="1"/>
    <n v="0.75700457570436863"/>
  </r>
  <r>
    <x v="14"/>
    <x v="0"/>
    <x v="0"/>
    <x v="1"/>
    <x v="0"/>
    <x v="0"/>
    <x v="1"/>
    <x v="1"/>
    <x v="0"/>
    <x v="6"/>
    <n v="0"/>
    <n v="1"/>
    <n v="0"/>
    <m/>
    <x v="1"/>
    <n v="9.9703130635719027E-3"/>
  </r>
  <r>
    <x v="21"/>
    <x v="0"/>
    <x v="1"/>
    <x v="0"/>
    <x v="0"/>
    <x v="0"/>
    <x v="0"/>
    <x v="0"/>
    <x v="2"/>
    <x v="1"/>
    <n v="0"/>
    <n v="1"/>
    <n v="0"/>
    <m/>
    <x v="1"/>
    <n v="6.785105877159095E-2"/>
  </r>
  <r>
    <x v="12"/>
    <x v="1"/>
    <x v="1"/>
    <x v="2"/>
    <x v="2"/>
    <x v="1"/>
    <x v="0"/>
    <x v="1"/>
    <x v="2"/>
    <x v="9"/>
    <n v="0"/>
    <n v="1"/>
    <n v="0"/>
    <m/>
    <x v="1"/>
    <n v="0.29485768452062661"/>
  </r>
  <r>
    <x v="6"/>
    <x v="1"/>
    <x v="0"/>
    <x v="0"/>
    <x v="2"/>
    <x v="0"/>
    <x v="0"/>
    <x v="0"/>
    <x v="1"/>
    <x v="3"/>
    <n v="0"/>
    <n v="1"/>
    <n v="0"/>
    <m/>
    <x v="1"/>
    <n v="6.3757203829364353E-2"/>
  </r>
  <r>
    <x v="4"/>
    <x v="0"/>
    <x v="0"/>
    <x v="1"/>
    <x v="0"/>
    <x v="1"/>
    <x v="0"/>
    <x v="0"/>
    <x v="1"/>
    <x v="7"/>
    <n v="0"/>
    <n v="1"/>
    <n v="0"/>
    <m/>
    <x v="1"/>
    <n v="2.6814967241158918E-2"/>
  </r>
  <r>
    <x v="16"/>
    <x v="0"/>
    <x v="0"/>
    <x v="2"/>
    <x v="1"/>
    <x v="1"/>
    <x v="0"/>
    <x v="1"/>
    <x v="0"/>
    <x v="9"/>
    <n v="0"/>
    <n v="1"/>
    <n v="0"/>
    <m/>
    <x v="1"/>
    <n v="0.15208408645189839"/>
  </r>
  <r>
    <x v="19"/>
    <x v="1"/>
    <x v="0"/>
    <x v="1"/>
    <x v="1"/>
    <x v="0"/>
    <x v="0"/>
    <x v="1"/>
    <x v="2"/>
    <x v="8"/>
    <n v="0"/>
    <n v="1"/>
    <n v="0"/>
    <m/>
    <x v="1"/>
    <n v="9.6883413810830737E-2"/>
  </r>
  <r>
    <x v="7"/>
    <x v="1"/>
    <x v="0"/>
    <x v="2"/>
    <x v="2"/>
    <x v="1"/>
    <x v="0"/>
    <x v="0"/>
    <x v="2"/>
    <x v="9"/>
    <n v="0"/>
    <n v="1"/>
    <n v="0"/>
    <m/>
    <x v="1"/>
    <n v="0.37581664832801498"/>
  </r>
  <r>
    <x v="22"/>
    <x v="0"/>
    <x v="1"/>
    <x v="2"/>
    <x v="2"/>
    <x v="0"/>
    <x v="0"/>
    <x v="0"/>
    <x v="0"/>
    <x v="3"/>
    <n v="0"/>
    <n v="1"/>
    <n v="0"/>
    <m/>
    <x v="0"/>
    <n v="5.8884716464189815E-2"/>
  </r>
  <r>
    <x v="3"/>
    <x v="1"/>
    <x v="1"/>
    <x v="0"/>
    <x v="3"/>
    <x v="1"/>
    <x v="1"/>
    <x v="1"/>
    <x v="1"/>
    <x v="0"/>
    <n v="0"/>
    <n v="1"/>
    <n v="0"/>
    <m/>
    <x v="1"/>
    <n v="5.6300632156829497E-2"/>
  </r>
  <r>
    <x v="11"/>
    <x v="1"/>
    <x v="1"/>
    <x v="0"/>
    <x v="2"/>
    <x v="0"/>
    <x v="0"/>
    <x v="0"/>
    <x v="1"/>
    <x v="0"/>
    <n v="0"/>
    <n v="1"/>
    <n v="0"/>
    <m/>
    <x v="1"/>
    <n v="4.5158935948663145E-2"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  <r>
    <x v="23"/>
    <x v="2"/>
    <x v="2"/>
    <x v="3"/>
    <x v="4"/>
    <x v="2"/>
    <x v="2"/>
    <x v="2"/>
    <x v="3"/>
    <x v="10"/>
    <m/>
    <m/>
    <m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数据透视表3" cacheId="17" applyNumberFormats="0" applyBorderFormats="0" applyFontFormats="0" applyPatternFormats="0" applyAlignmentFormats="0" applyWidthHeightFormats="1" dataCaption="值" updatedVersion="4" minRefreshableVersion="3" useAutoFormatting="1" itemPrintTitles="1" createdVersion="5" indent="0" outline="1" outlineData="1" multipleFieldFilters="0" chartFormat="17">
  <location ref="A3:C16" firstHeaderRow="0" firstDataRow="1" firstDataCol="1"/>
  <pivotFields count="9">
    <pivotField showAll="0"/>
    <pivotField axis="axisRow" showAll="0" sortType="ascending">
      <items count="23">
        <item m="1" x="21"/>
        <item m="1" x="18"/>
        <item m="1" x="16"/>
        <item m="1" x="14"/>
        <item m="1" x="13"/>
        <item m="1" x="20"/>
        <item m="1" x="19"/>
        <item m="1" x="17"/>
        <item m="1" x="15"/>
        <item x="0"/>
        <item x="1"/>
        <item x="2"/>
        <item x="3"/>
        <item x="5"/>
        <item x="4"/>
        <item x="6"/>
        <item x="7"/>
        <item x="10"/>
        <item x="11"/>
        <item x="8"/>
        <item x="9"/>
        <item x="1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</pivotFields>
  <rowFields count="1">
    <field x="1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 KS" fld="5" baseField="1" baseItem="0"/>
    <dataField name=" LIFT" fld="6" baseField="1" baseItem="0"/>
  </dataFields>
  <chartFormats count="6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NewerThan" evalOrder="-1" id="1">
      <autoFilter ref="A1">
        <filterColumn colId="0">
          <customFilters>
            <customFilter operator="greaterThan" val="4233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数据透视表5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4">
  <location ref="A45:X56" firstHeaderRow="1" firstDataRow="2" firstDataCol="1"/>
  <pivotFields count="20">
    <pivotField axis="axisCol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1">
        <item x="6"/>
        <item x="5"/>
        <item x="7"/>
        <item x="4"/>
        <item x="2"/>
        <item x="0"/>
        <item x="3"/>
        <item x="1"/>
        <item x="8"/>
        <item x="9"/>
        <item x="10"/>
      </items>
    </pivotField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0"/>
  </colFields>
  <col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dataFields count="1">
    <dataField name=" CNT" fld="11" showDataAs="percentOfCol" baseField="10" baseItem="4" numFmtId="10"/>
  </dataField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数据透视表6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4">
  <location ref="A69:X71" firstHeaderRow="1" firstDataRow="2" firstDataCol="1"/>
  <pivotFields count="20">
    <pivotField axis="axisCol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Items count="1">
    <i/>
  </rowItems>
  <colFields count="1">
    <field x="0"/>
  </colFields>
  <col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dataFields count="1">
    <dataField name="求和项:avg score" fld="18" baseField="0" baseItem="0"/>
  </dataField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数据透视表4" cacheId="17" applyNumberFormats="0" applyBorderFormats="0" applyFontFormats="0" applyPatternFormats="0" applyAlignmentFormats="0" applyWidthHeightFormats="1" dataCaption="值" updatedVersion="4" minRefreshableVersion="3" useAutoFormatting="1" itemPrintTitles="1" createdVersion="5" indent="0" outline="1" outlineData="1" multipleFieldFilters="0" chartFormat="24">
  <location ref="F3:H16" firstHeaderRow="0" firstDataRow="1" firstDataCol="1"/>
  <pivotFields count="9">
    <pivotField showAll="0"/>
    <pivotField axis="axisRow" showAll="0" sortType="ascending">
      <items count="23">
        <item m="1" x="21"/>
        <item m="1" x="18"/>
        <item m="1" x="16"/>
        <item m="1" x="14"/>
        <item m="1" x="13"/>
        <item m="1" x="20"/>
        <item m="1" x="19"/>
        <item m="1" x="17"/>
        <item m="1" x="15"/>
        <item x="0"/>
        <item x="1"/>
        <item x="2"/>
        <item x="3"/>
        <item x="5"/>
        <item x="4"/>
        <item x="6"/>
        <item x="7"/>
        <item x="10"/>
        <item x="11"/>
        <item x="8"/>
        <item x="9"/>
        <item x="12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showAll="0"/>
  </pivotFields>
  <rowFields count="1">
    <field x="1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measurable" fld="3" baseField="1" baseItem="0"/>
    <dataField name=" BAD_RATE" fld="8" baseField="1" baseItem="0" numFmtId="10"/>
  </dataFields>
  <chartFormats count="6"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NewerThan" evalOrder="-1" id="1">
      <autoFilter ref="A1">
        <filterColumn colId="0">
          <customFilters>
            <customFilter operator="greaterThan" val="4233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数据透视表11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6">
  <location ref="A35:I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axis="axisCol" showAll="0" defaultSubtotal="0">
      <items count="5">
        <item x="2"/>
        <item x="1"/>
        <item x="3"/>
        <item x="0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4"/>
  </colFields>
  <colItems count="8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8">
    <chartFormat chart="2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2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2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2" format="2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22" format="2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22" format="2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22" format="2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5000000}" name="数据透视表15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0">
  <location ref="W35:AC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8"/>
  </colFields>
  <colItems count="6">
    <i>
      <x/>
      <x/>
    </i>
    <i r="1">
      <x v="1"/>
    </i>
    <i r="1">
      <x v="2"/>
    </i>
    <i i="1">
      <x v="1"/>
      <x/>
    </i>
    <i r="1" i="1">
      <x v="1"/>
    </i>
    <i r="1" i="1">
      <x v="2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6">
    <chartFormat chart="1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7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0"/>
          </reference>
        </references>
      </pivotArea>
    </chartFormat>
    <chartFormat chart="16" format="18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1"/>
          </reference>
        </references>
      </pivotArea>
    </chartFormat>
    <chartFormat chart="16" format="19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2"/>
          </reference>
        </references>
      </pivotArea>
    </chartFormat>
    <chartFormat chart="16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6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C000000}" name="数据透视表3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4">
  <location ref="Q3:U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5">
        <item m="1" x="4"/>
        <item m="1" x="3"/>
        <item x="2"/>
        <item x="1"/>
        <item x="0"/>
      </items>
    </pivotField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7"/>
  </colFields>
  <colItems count="4">
    <i>
      <x/>
      <x v="3"/>
    </i>
    <i r="1">
      <x v="4"/>
    </i>
    <i i="1">
      <x v="1"/>
      <x v="3"/>
    </i>
    <i r="1" i="1">
      <x v="4"/>
    </i>
  </colItems>
  <dataFields count="2">
    <dataField name=" CNT" fld="11" baseField="0" baseItem="0"/>
    <dataField name=" 通过率" fld="16" baseField="0" baseItem="0" numFmtId="10"/>
  </dataFields>
  <chartFormats count="8">
    <chartFormat chart="10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0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0" format="26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10" format="2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0" format="30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7000000}" name="数据透视表17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8">
  <location ref="AK35:AO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5"/>
  </colFields>
  <colItems count="4">
    <i>
      <x/>
      <x/>
    </i>
    <i r="1">
      <x v="1"/>
    </i>
    <i i="1">
      <x v="1"/>
      <x/>
    </i>
    <i r="1" i="1">
      <x v="1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4">
    <chartFormat chart="22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2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2" format="36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2" format="37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F000000}" name="数据透视表7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7">
  <location ref="AK3:AO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5"/>
  </colFields>
  <colItems count="4">
    <i>
      <x/>
      <x/>
    </i>
    <i r="1">
      <x v="1"/>
    </i>
    <i i="1">
      <x v="1"/>
      <x/>
    </i>
    <i r="1" i="1">
      <x v="1"/>
    </i>
  </colItems>
  <dataFields count="2">
    <dataField name=" CNT" fld="11" baseField="0" baseItem="0"/>
    <dataField name=" 通过率" fld="16" baseField="0" baseItem="0" numFmtId="10"/>
  </dataFields>
  <chartFormats count="4">
    <chartFormat chart="13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34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3" format="35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10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1">
  <location ref="BE3:BY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1">
        <item x="6"/>
        <item x="5"/>
        <item x="7"/>
        <item x="4"/>
        <item x="2"/>
        <item x="0"/>
        <item x="3"/>
        <item x="1"/>
        <item x="8"/>
        <item x="9"/>
        <item x="10"/>
      </items>
    </pivotField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9"/>
  </colFields>
  <colItems count="2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</colItems>
  <dataFields count="2">
    <dataField name=" CNT" fld="11" baseField="0" baseItem="0"/>
    <dataField name=" 通过率" fld="16" baseField="0" baseItem="0" numFmtId="1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  <chartFormat chart="7" format="8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8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8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7" format="8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7" format="8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7" format="8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7" format="8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7" format="8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7" format="8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7" format="8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7" format="9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7" format="9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7" format="9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7" format="9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7" format="9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7" format="9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7" format="9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7" format="9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7" format="9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7" format="9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  <chartFormat chart="9" format="8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8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8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8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8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9" format="8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9" format="8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9" format="8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9" format="8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9" format="8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9" format="9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9" format="9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9" format="9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9" format="9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9" format="9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9" format="9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9" format="9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9" format="9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9" format="9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9" format="9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  <chartFormat chart="10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6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6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6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6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6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6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6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7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10" format="7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10" format="7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10" format="7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10" format="7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10" format="7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10" format="7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10" format="7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10" format="7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10" format="7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D000000}" name="数据透视表5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4">
  <location ref="W3:AC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8"/>
  </colFields>
  <colItems count="6">
    <i>
      <x/>
      <x/>
    </i>
    <i r="1">
      <x v="1"/>
    </i>
    <i r="1">
      <x v="2"/>
    </i>
    <i i="1">
      <x v="1"/>
      <x/>
    </i>
    <i r="1" i="1">
      <x v="1"/>
    </i>
    <i r="1" i="1">
      <x v="2"/>
    </i>
  </colItems>
  <dataFields count="2">
    <dataField name=" CNT" fld="11" baseField="0" baseItem="0"/>
    <dataField name=" 通过率" fld="16" baseField="0" baseItem="0" numFmtId="10"/>
  </dataFields>
  <chartFormats count="6"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0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1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1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A000000}" name="数据透视表2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5">
  <location ref="K3:O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6"/>
  </colFields>
  <colItems count="4">
    <i>
      <x/>
      <x/>
    </i>
    <i r="1">
      <x v="1"/>
    </i>
    <i i="1">
      <x v="1"/>
      <x/>
    </i>
    <i r="1" i="1">
      <x v="1"/>
    </i>
  </colItems>
  <dataFields count="2">
    <dataField name=" CNT" fld="11" baseField="0" baseItem="0"/>
    <dataField name=" 通过率" fld="16" baseField="0" baseItem="0" numFmtId="10"/>
  </dataFields>
  <chartFormats count="4">
    <chartFormat chart="14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8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14" format="19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数据透视表13" cacheId="18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0">
  <location ref="Q35:U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5">
        <item m="1" x="4"/>
        <item m="1" x="3"/>
        <item x="2"/>
        <item x="1"/>
        <item x="0"/>
      </items>
    </pivotField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7"/>
  </colFields>
  <colItems count="4">
    <i>
      <x/>
      <x v="3"/>
    </i>
    <i r="1">
      <x v="4"/>
    </i>
    <i i="1">
      <x v="1"/>
      <x v="3"/>
    </i>
    <i r="1" i="1">
      <x v="4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4">
    <chartFormat chart="16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6" format="26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4"/>
          </reference>
        </references>
      </pivotArea>
    </chartFormat>
    <chartFormat chart="16" format="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1000000}" name="数据透视表9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1">
  <location ref="AW3:BC28" firstHeaderRow="1" firstDataRow="3" firstDataCol="1"/>
  <pivotFields count="20">
    <pivotField axis="axisRow" showAll="0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23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8"/>
        <item x="7"/>
        <item x="4"/>
        <item x="14"/>
        <item x="19"/>
        <item x="21"/>
        <item x="10"/>
        <item x="3"/>
        <item x="11"/>
        <item t="default"/>
      </items>
    </pivotField>
    <pivotField showAll="0" defaultSubtotal="0"/>
    <pivotField showAll="0" defaultSubtotal="0"/>
    <pivotField axis="axisCol" showAll="0" defaultSubtotal="0">
      <items count="4">
        <item x="1"/>
        <item x="2"/>
        <item x="0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</rowItems>
  <colFields count="2">
    <field x="-2"/>
    <field x="3"/>
  </colFields>
  <colItems count="6">
    <i>
      <x/>
      <x/>
    </i>
    <i r="1">
      <x v="1"/>
    </i>
    <i r="1">
      <x v="2"/>
    </i>
    <i i="1">
      <x v="1"/>
      <x/>
    </i>
    <i r="1" i="1">
      <x v="1"/>
    </i>
    <i r="1" i="1">
      <x v="2"/>
    </i>
  </colItems>
  <dataFields count="2">
    <dataField name=" CNT" fld="11" baseField="0" baseItem="0"/>
    <dataField name=" 通过率" fld="16" baseField="0" baseItem="0" numFmtId="10"/>
  </dataFields>
  <chartFormats count="6">
    <chartFormat chart="10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0" format="2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0000000}" name="数据透视表8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1">
  <location ref="AQ3:AU28" firstHeaderRow="1" firstDataRow="3" firstDataCol="1"/>
  <pivotFields count="20">
    <pivotField axis="axisRow" showAll="0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23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8"/>
        <item x="7"/>
        <item x="4"/>
        <item x="14"/>
        <item x="19"/>
        <item x="21"/>
        <item x="10"/>
        <item x="3"/>
        <item x="11"/>
        <item t="default"/>
      </items>
    </pivotField>
    <pivotField showAll="0" defaultSubtotal="0"/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</rowItems>
  <colFields count="2">
    <field x="-2"/>
    <field x="2"/>
  </colFields>
  <colItems count="4">
    <i>
      <x/>
      <x/>
    </i>
    <i r="1">
      <x v="1"/>
    </i>
    <i i="1">
      <x v="1"/>
      <x/>
    </i>
    <i r="1" i="1">
      <x v="1"/>
    </i>
  </colItems>
  <dataFields count="2">
    <dataField name=" CNT" fld="11" baseField="0" baseItem="0"/>
    <dataField name=" 通过率" fld="16" baseField="0" baseItem="0" numFmtId="10"/>
  </dataFields>
  <chartFormats count="4"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6000000}" name="数据透视表16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0">
  <location ref="AE35:AI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dataField="1"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1"/>
  </colFields>
  <colItems count="4">
    <i>
      <x/>
      <x/>
    </i>
    <i r="1">
      <x v="1"/>
    </i>
    <i i="1">
      <x v="1"/>
      <x/>
    </i>
    <i r="1" i="1">
      <x v="1"/>
    </i>
  </colItems>
  <pageFields count="1">
    <pageField fld="14" hier="-1"/>
  </pageFields>
  <dataFields count="2">
    <dataField name=" AGR" fld="13" baseField="0" baseItem="3"/>
    <dataField name="FSTPD10(%)" fld="12" baseField="0" baseItem="2"/>
  </dataFields>
  <chartFormats count="4">
    <chartFormat chart="1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16" format="1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16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数据透视表12" cacheId="18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0">
  <location ref="K35:O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6"/>
  </colFields>
  <colItems count="4">
    <i>
      <x/>
      <x/>
    </i>
    <i r="1">
      <x v="1"/>
    </i>
    <i i="1">
      <x v="1"/>
      <x/>
    </i>
    <i r="1" i="1">
      <x v="1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4">
    <chartFormat chart="1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7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16" format="18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16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8000000}" name="数据透视表18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2">
  <location ref="AQ35:AU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2"/>
  </colFields>
  <colItems count="4">
    <i>
      <x/>
      <x/>
    </i>
    <i r="1">
      <x v="1"/>
    </i>
    <i i="1">
      <x v="1"/>
      <x/>
    </i>
    <i r="1" i="1">
      <x v="1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4">
    <chartFormat chart="1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6" format="1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9000000}" name="数据透视表19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9">
  <location ref="AW35:BC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axis="axisCol" showAll="0" defaultSubtotal="0">
      <items count="4">
        <item x="1"/>
        <item x="2"/>
        <item x="0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3"/>
  </colFields>
  <colItems count="6">
    <i>
      <x/>
      <x/>
    </i>
    <i r="1">
      <x v="1"/>
    </i>
    <i r="1">
      <x v="2"/>
    </i>
    <i i="1">
      <x v="1"/>
      <x/>
    </i>
    <i r="1" i="1">
      <x v="1"/>
    </i>
    <i r="1" i="1">
      <x v="2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6">
    <chartFormat chart="2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5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25" format="26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25" format="2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25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5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1" cacheId="18" dataPosition="0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28">
  <location ref="A3:I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axis="axisCol" showAll="0" defaultSubtotal="0">
      <items count="5">
        <item x="2"/>
        <item x="1"/>
        <item x="3"/>
        <item x="0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4"/>
  </colFields>
  <colItems count="8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</colItems>
  <dataFields count="2">
    <dataField name=" CNT" fld="11" baseField="0" baseItem="0"/>
    <dataField name=" 通过率" fld="16" baseField="0" baseItem="0" numFmtId="10"/>
  </dataFields>
  <chartFormats count="8">
    <chartFormat chart="2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2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2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2" format="2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22" format="2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22" format="2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22" format="2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B000000}" name="数据透视表20" cacheId="18" dataPosition="0" applyNumberFormats="0" applyBorderFormats="0" applyFontFormats="0" applyPatternFormats="0" applyAlignmentFormats="0" applyWidthHeightFormats="1" dataCaption="值" showError="1" updatedVersion="4" minRefreshableVersion="3" useAutoFormatting="1" rowGrandTotals="0" colGrandTotals="0" itemPrintTitles="1" createdVersion="5" indent="0" outline="1" outlineData="1" multipleFieldFilters="0" chartFormat="20">
  <location ref="BE35:BY45" firstHeaderRow="1" firstDataRow="3" firstDataCol="1" rowPageCount="1" colPageCount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1">
        <item x="6"/>
        <item x="5"/>
        <item x="7"/>
        <item x="4"/>
        <item x="2"/>
        <item x="0"/>
        <item x="3"/>
        <item x="1"/>
        <item x="8"/>
        <item x="9"/>
        <item x="10"/>
      </items>
    </pivotField>
    <pivotField showAll="0"/>
    <pivotField showAll="0"/>
    <pivotField showAll="0" defaultSubtotal="0"/>
    <pivotField dataField="1" showAll="0" defaultSubtota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8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2">
    <field x="-2"/>
    <field x="9"/>
  </colFields>
  <colItems count="2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</colItems>
  <pageFields count="1">
    <pageField fld="14" hier="-1"/>
  </pageFields>
  <dataFields count="2">
    <dataField name=" AGR" fld="13" baseField="0" baseItem="3"/>
    <dataField name="FSTPD10(%)" fld="19" baseField="0" baseItem="0"/>
  </dataFields>
  <chartFormats count="60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9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9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9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9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9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3" format="8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3" format="8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3" format="8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3" format="8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3" format="8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3" format="8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3" format="8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3" format="8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3" format="8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3" format="8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5" format="8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5" format="8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5" format="8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5" format="8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5" format="8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5" format="8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5" format="8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5" format="8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5" format="8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5" format="8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6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6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6" format="6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6" format="6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6" format="6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6" format="6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6" format="6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6" format="6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6" format="6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6" format="80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0"/>
          </reference>
        </references>
      </pivotArea>
    </chartFormat>
    <chartFormat chart="16" format="81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1"/>
          </reference>
        </references>
      </pivotArea>
    </chartFormat>
    <chartFormat chart="16" format="82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2"/>
          </reference>
        </references>
      </pivotArea>
    </chartFormat>
    <chartFormat chart="16" format="83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3"/>
          </reference>
        </references>
      </pivotArea>
    </chartFormat>
    <chartFormat chart="16" format="84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4"/>
          </reference>
        </references>
      </pivotArea>
    </chartFormat>
    <chartFormat chart="16" format="85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5"/>
          </reference>
        </references>
      </pivotArea>
    </chartFormat>
    <chartFormat chart="16" format="86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6"/>
          </reference>
        </references>
      </pivotArea>
    </chartFormat>
    <chartFormat chart="16" format="87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7"/>
          </reference>
        </references>
      </pivotArea>
    </chartFormat>
    <chartFormat chart="16" format="88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8"/>
          </reference>
        </references>
      </pivotArea>
    </chartFormat>
    <chartFormat chart="16" format="89" series="1">
      <pivotArea type="data" outline="0" fieldPosition="0">
        <references count="2">
          <reference field="4294967294" count="1" selected="0">
            <x v="1"/>
          </reference>
          <reference field="9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E000000}" name="数据透视表6" cacheId="18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5" indent="0" outline="1" outlineData="1" multipleFieldFilters="0" chartFormat="11">
  <location ref="AE3:AI28" firstHeaderRow="1" firstDataRow="3" firstDataCol="1"/>
  <pivotFields count="20">
    <pivotField axis="axisRow" showAll="0" sortType="ascending">
      <items count="34">
        <item m="1" x="27"/>
        <item m="1" x="32"/>
        <item m="1" x="31"/>
        <item m="1" x="30"/>
        <item m="1" x="29"/>
        <item m="1" x="28"/>
        <item m="1" x="26"/>
        <item m="1" x="25"/>
        <item m="1" x="24"/>
        <item x="0"/>
        <item x="15"/>
        <item x="20"/>
        <item x="9"/>
        <item x="1"/>
        <item x="5"/>
        <item x="17"/>
        <item x="22"/>
        <item x="13"/>
        <item x="18"/>
        <item x="6"/>
        <item x="12"/>
        <item x="16"/>
        <item x="2"/>
        <item x="14"/>
        <item x="7"/>
        <item x="8"/>
        <item x="21"/>
        <item x="10"/>
        <item x="4"/>
        <item x="19"/>
        <item x="3"/>
        <item x="11"/>
        <item x="23"/>
        <item t="default"/>
      </items>
    </pivotField>
    <pivotField axis="axisCol"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2">
    <field x="-2"/>
    <field x="1"/>
  </colFields>
  <colItems count="4">
    <i>
      <x/>
      <x/>
    </i>
    <i r="1">
      <x v="1"/>
    </i>
    <i i="1">
      <x v="1"/>
      <x/>
    </i>
    <i r="1" i="1">
      <x v="1"/>
    </i>
  </colItems>
  <dataFields count="2">
    <dataField name=" CNT" fld="11" baseField="0" baseItem="0"/>
    <dataField name=" 通过率" fld="16" baseField="0" baseItem="0" numFmtId="10"/>
  </dataFields>
  <chartFormats count="4"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3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13" Type="http://schemas.openxmlformats.org/officeDocument/2006/relationships/pivotTable" Target="../pivotTables/pivotTable17.xml"/><Relationship Id="rId18" Type="http://schemas.openxmlformats.org/officeDocument/2006/relationships/pivotTable" Target="../pivotTables/pivotTable22.xml"/><Relationship Id="rId3" Type="http://schemas.openxmlformats.org/officeDocument/2006/relationships/pivotTable" Target="../pivotTables/pivotTable7.xml"/><Relationship Id="rId7" Type="http://schemas.openxmlformats.org/officeDocument/2006/relationships/pivotTable" Target="../pivotTables/pivotTable11.xml"/><Relationship Id="rId12" Type="http://schemas.openxmlformats.org/officeDocument/2006/relationships/pivotTable" Target="../pivotTables/pivotTable16.xml"/><Relationship Id="rId17" Type="http://schemas.openxmlformats.org/officeDocument/2006/relationships/pivotTable" Target="../pivotTables/pivotTable21.xml"/><Relationship Id="rId2" Type="http://schemas.openxmlformats.org/officeDocument/2006/relationships/pivotTable" Target="../pivotTables/pivotTable6.xml"/><Relationship Id="rId16" Type="http://schemas.openxmlformats.org/officeDocument/2006/relationships/pivotTable" Target="../pivotTables/pivotTable20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ivotTable" Target="../pivotTables/pivotTable15.xml"/><Relationship Id="rId5" Type="http://schemas.openxmlformats.org/officeDocument/2006/relationships/pivotTable" Target="../pivotTables/pivotTable9.xml"/><Relationship Id="rId15" Type="http://schemas.openxmlformats.org/officeDocument/2006/relationships/pivotTable" Target="../pivotTables/pivotTable19.xml"/><Relationship Id="rId10" Type="http://schemas.openxmlformats.org/officeDocument/2006/relationships/pivotTable" Target="../pivotTables/pivotTable14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Relationship Id="rId14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8"/>
  <sheetViews>
    <sheetView workbookViewId="0">
      <selection activeCell="B2" sqref="B2"/>
    </sheetView>
  </sheetViews>
  <sheetFormatPr baseColWidth="10" defaultColWidth="8.83203125" defaultRowHeight="14"/>
  <cols>
    <col min="1" max="1" width="128.6640625" customWidth="1"/>
    <col min="2" max="2" width="16.6640625" bestFit="1" customWidth="1"/>
    <col min="3" max="3" width="17.5" bestFit="1" customWidth="1"/>
    <col min="4" max="4" width="15.83203125" bestFit="1" customWidth="1"/>
    <col min="5" max="5" width="21.83203125" bestFit="1" customWidth="1"/>
    <col min="6" max="6" width="23" bestFit="1" customWidth="1"/>
    <col min="7" max="7" width="5.6640625" bestFit="1" customWidth="1"/>
    <col min="8" max="8" width="7.33203125" bestFit="1" customWidth="1"/>
    <col min="9" max="9" width="4.33203125" bestFit="1" customWidth="1"/>
    <col min="13" max="13" width="12.1640625" bestFit="1" customWidth="1"/>
    <col min="14" max="14" width="9.83203125" bestFit="1" customWidth="1"/>
    <col min="15" max="15" width="4.33203125" bestFit="1" customWidth="1"/>
    <col min="16" max="17" width="11.1640625" bestFit="1" customWidth="1"/>
    <col min="18" max="18" width="8.5" bestFit="1" customWidth="1"/>
    <col min="19" max="19" width="10.1640625" bestFit="1" customWidth="1"/>
    <col min="20" max="20" width="11.1640625" bestFit="1" customWidth="1"/>
    <col min="22" max="22" width="9.83203125" bestFit="1" customWidth="1"/>
    <col min="23" max="23" width="4.33203125" bestFit="1" customWidth="1"/>
    <col min="24" max="24" width="11.1640625" bestFit="1" customWidth="1"/>
    <col min="25" max="25" width="11.33203125" bestFit="1" customWidth="1"/>
    <col min="30" max="30" width="10.33203125" bestFit="1" customWidth="1"/>
    <col min="31" max="31" width="15.6640625" bestFit="1" customWidth="1"/>
    <col min="32" max="32" width="7.33203125" bestFit="1" customWidth="1"/>
    <col min="33" max="33" width="5" bestFit="1" customWidth="1"/>
    <col min="40" max="40" width="10.1640625" bestFit="1" customWidth="1"/>
    <col min="41" max="41" width="15.6640625" bestFit="1" customWidth="1"/>
    <col min="42" max="42" width="7.33203125" bestFit="1" customWidth="1"/>
    <col min="43" max="43" width="4.33203125" bestFit="1" customWidth="1"/>
    <col min="45" max="45" width="10.1640625" bestFit="1" customWidth="1"/>
    <col min="46" max="46" width="17.6640625" bestFit="1" customWidth="1"/>
    <col min="47" max="47" width="9" bestFit="1" customWidth="1"/>
    <col min="48" max="48" width="18.5" bestFit="1" customWidth="1"/>
    <col min="49" max="49" width="22.33203125" bestFit="1" customWidth="1"/>
    <col min="50" max="50" width="14" bestFit="1" customWidth="1"/>
    <col min="51" max="51" width="15.83203125" bestFit="1" customWidth="1"/>
    <col min="52" max="52" width="7" bestFit="1" customWidth="1"/>
    <col min="53" max="53" width="9.1640625" bestFit="1" customWidth="1"/>
    <col min="57" max="57" width="9.1640625" bestFit="1" customWidth="1"/>
    <col min="58" max="58" width="10" bestFit="1" customWidth="1"/>
    <col min="59" max="64" width="9.1640625" bestFit="1" customWidth="1"/>
    <col min="68" max="68" width="10" bestFit="1" customWidth="1"/>
    <col min="69" max="71" width="9.1640625" bestFit="1" customWidth="1"/>
  </cols>
  <sheetData>
    <row r="1" spans="1:3" ht="15.5" customHeight="1">
      <c r="A1" s="20" t="s">
        <v>30</v>
      </c>
      <c r="B1" t="s">
        <v>16</v>
      </c>
    </row>
    <row r="2" spans="1:3" s="19" customFormat="1" ht="15.5" customHeight="1">
      <c r="A2" s="21" t="s">
        <v>17</v>
      </c>
      <c r="B2" s="19" t="s">
        <v>19</v>
      </c>
      <c r="C2" s="19" t="s">
        <v>29</v>
      </c>
    </row>
    <row r="3" spans="1:3" ht="15.5" customHeight="1">
      <c r="A3" s="20" t="s">
        <v>18</v>
      </c>
      <c r="B3" t="s">
        <v>20</v>
      </c>
    </row>
    <row r="4" spans="1:3" s="19" customFormat="1" ht="15.5" customHeight="1">
      <c r="A4" s="22" t="s">
        <v>21</v>
      </c>
      <c r="B4" s="19" t="s">
        <v>31</v>
      </c>
    </row>
    <row r="5" spans="1:3" ht="15.5" customHeight="1">
      <c r="A5" s="20" t="s">
        <v>34</v>
      </c>
      <c r="B5" t="s">
        <v>33</v>
      </c>
    </row>
    <row r="6" spans="1:3" s="19" customFormat="1" ht="15.5" customHeight="1">
      <c r="A6" s="22" t="s">
        <v>60</v>
      </c>
      <c r="B6" s="19" t="s">
        <v>32</v>
      </c>
    </row>
    <row r="7" spans="1:3" ht="15.5" customHeight="1">
      <c r="A7" s="20" t="s">
        <v>61</v>
      </c>
      <c r="B7" t="s">
        <v>57</v>
      </c>
    </row>
    <row r="8" spans="1:3" s="19" customFormat="1" ht="15.5" customHeight="1">
      <c r="A8" s="22" t="s">
        <v>63</v>
      </c>
      <c r="B8" s="19" t="s">
        <v>58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FF00"/>
  </sheetPr>
  <dimension ref="A1:W108"/>
  <sheetViews>
    <sheetView showGridLines="0" tabSelected="1" workbookViewId="0">
      <selection activeCell="O27" sqref="O27"/>
    </sheetView>
  </sheetViews>
  <sheetFormatPr baseColWidth="10" defaultColWidth="8.83203125" defaultRowHeight="17"/>
  <cols>
    <col min="1" max="1" width="8.1640625" style="6" customWidth="1"/>
    <col min="2" max="2" width="7.33203125" style="6" customWidth="1"/>
    <col min="3" max="7" width="8.83203125" style="6"/>
    <col min="8" max="8" width="8" style="6" customWidth="1"/>
    <col min="9" max="11" width="8.83203125" style="6"/>
    <col min="12" max="12" width="5.5" style="6" customWidth="1"/>
    <col min="13" max="23" width="8" style="6" customWidth="1"/>
    <col min="24" max="16384" width="8.83203125" style="6"/>
  </cols>
  <sheetData>
    <row r="1" spans="1:23" ht="40.25" customHeight="1">
      <c r="A1" s="23" t="s">
        <v>64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idden="1"/>
    <row r="3" spans="1:23">
      <c r="A3" s="7"/>
      <c r="B3" s="7"/>
      <c r="C3" s="7"/>
      <c r="D3" s="7"/>
      <c r="E3" s="8" t="s">
        <v>12</v>
      </c>
      <c r="F3" s="7"/>
      <c r="G3" s="7"/>
      <c r="H3" s="7"/>
      <c r="I3" s="7"/>
      <c r="J3" s="7"/>
      <c r="K3" s="7"/>
      <c r="M3" s="7"/>
      <c r="N3" s="7"/>
      <c r="O3" s="7"/>
      <c r="P3" s="7"/>
      <c r="Q3" s="8" t="s">
        <v>22</v>
      </c>
      <c r="R3" s="7"/>
      <c r="S3" s="7"/>
      <c r="T3" s="7"/>
      <c r="U3" s="7"/>
      <c r="V3" s="7"/>
      <c r="W3" s="7"/>
    </row>
    <row r="19" spans="1:23" hidden="1"/>
    <row r="20" spans="1:23" hidden="1"/>
    <row r="21" spans="1:23">
      <c r="A21" s="7"/>
      <c r="B21" s="7"/>
      <c r="C21" s="7"/>
      <c r="D21" s="7"/>
      <c r="E21" s="7"/>
      <c r="F21" s="7" t="s">
        <v>15</v>
      </c>
      <c r="G21" s="7"/>
      <c r="H21" s="7"/>
      <c r="I21" s="7"/>
      <c r="J21" s="7"/>
      <c r="K21" s="7"/>
      <c r="L21" s="1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35" spans="1:23" hidden="1"/>
    <row r="36" spans="1:23" hidden="1"/>
    <row r="37" spans="1:23" hidden="1"/>
    <row r="38" spans="1:23" hidden="1"/>
    <row r="39" spans="1:23" s="10" customFormat="1">
      <c r="A39" s="9"/>
      <c r="B39" s="9"/>
      <c r="C39" s="9"/>
      <c r="D39" s="9"/>
      <c r="E39" s="9"/>
      <c r="F39" s="9" t="s">
        <v>6</v>
      </c>
      <c r="G39" s="9"/>
      <c r="H39" s="9"/>
      <c r="I39" s="9"/>
      <c r="J39" s="9"/>
      <c r="K39" s="9"/>
      <c r="M39" s="9"/>
      <c r="N39" s="9"/>
      <c r="O39" s="9"/>
      <c r="P39" s="9"/>
      <c r="Q39" s="9"/>
      <c r="R39" s="9" t="s">
        <v>62</v>
      </c>
      <c r="S39" s="9"/>
      <c r="T39" s="9"/>
      <c r="U39" s="9"/>
      <c r="V39" s="9"/>
      <c r="W39" s="9"/>
    </row>
    <row r="108" ht="17.25" customHeight="1"/>
  </sheetData>
  <mergeCells count="1">
    <mergeCell ref="A1:W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2:X71"/>
  <sheetViews>
    <sheetView workbookViewId="0">
      <selection activeCell="A24" sqref="A24"/>
    </sheetView>
  </sheetViews>
  <sheetFormatPr baseColWidth="10" defaultColWidth="8.83203125" defaultRowHeight="14"/>
  <cols>
    <col min="1" max="1" width="17.83203125" customWidth="1"/>
    <col min="2" max="2" width="13.1640625" customWidth="1"/>
    <col min="3" max="3" width="12.6640625" customWidth="1"/>
    <col min="4" max="6" width="13.1640625" customWidth="1"/>
    <col min="7" max="16" width="12.6640625" customWidth="1"/>
    <col min="17" max="17" width="12" customWidth="1"/>
    <col min="18" max="21" width="12.6640625" customWidth="1"/>
    <col min="22" max="22" width="12" customWidth="1"/>
    <col min="23" max="25" width="12.6640625" customWidth="1"/>
    <col min="26" max="32" width="2.6640625" customWidth="1"/>
    <col min="33" max="33" width="3.6640625" customWidth="1"/>
    <col min="34" max="34" width="17.5" bestFit="1" customWidth="1"/>
    <col min="35" max="35" width="13.6640625" bestFit="1" customWidth="1"/>
    <col min="36" max="43" width="2.6640625" customWidth="1"/>
    <col min="44" max="44" width="3.6640625" customWidth="1"/>
    <col min="45" max="45" width="17.5" bestFit="1" customWidth="1"/>
    <col min="46" max="46" width="13.6640625" bestFit="1" customWidth="1"/>
    <col min="47" max="54" width="2.6640625" customWidth="1"/>
    <col min="55" max="55" width="3.6640625" customWidth="1"/>
    <col min="56" max="56" width="17.5" bestFit="1" customWidth="1"/>
    <col min="57" max="57" width="12.5" bestFit="1" customWidth="1"/>
    <col min="58" max="65" width="2.6640625" customWidth="1"/>
    <col min="66" max="66" width="3.6640625" customWidth="1"/>
    <col min="67" max="67" width="16.33203125" bestFit="1" customWidth="1"/>
    <col min="68" max="68" width="12.5" bestFit="1" customWidth="1"/>
    <col min="69" max="76" width="2.6640625" customWidth="1"/>
    <col min="77" max="77" width="3.6640625" customWidth="1"/>
    <col min="78" max="78" width="16.33203125" bestFit="1" customWidth="1"/>
    <col min="79" max="79" width="13.6640625" bestFit="1" customWidth="1"/>
    <col min="80" max="87" width="2.6640625" customWidth="1"/>
    <col min="88" max="88" width="3.6640625" customWidth="1"/>
    <col min="89" max="89" width="17.5" bestFit="1" customWidth="1"/>
    <col min="90" max="90" width="13.6640625" bestFit="1" customWidth="1"/>
    <col min="91" max="98" width="2.6640625" customWidth="1"/>
    <col min="99" max="99" width="3.6640625" customWidth="1"/>
    <col min="100" max="100" width="17.5" bestFit="1" customWidth="1"/>
    <col min="101" max="101" width="13.6640625" bestFit="1" customWidth="1"/>
    <col min="102" max="109" width="2.6640625" customWidth="1"/>
    <col min="110" max="110" width="3.6640625" customWidth="1"/>
    <col min="111" max="111" width="17.5" bestFit="1" customWidth="1"/>
    <col min="112" max="112" width="12.5" bestFit="1" customWidth="1"/>
    <col min="113" max="120" width="2.6640625" customWidth="1"/>
    <col min="121" max="121" width="3.6640625" customWidth="1"/>
    <col min="122" max="122" width="16.33203125" bestFit="1" customWidth="1"/>
    <col min="123" max="123" width="13.6640625" bestFit="1" customWidth="1"/>
    <col min="124" max="131" width="2.6640625" customWidth="1"/>
    <col min="132" max="132" width="3.6640625" customWidth="1"/>
    <col min="133" max="133" width="17.5" bestFit="1" customWidth="1"/>
    <col min="134" max="134" width="13.6640625" bestFit="1" customWidth="1"/>
    <col min="135" max="142" width="2.6640625" customWidth="1"/>
    <col min="143" max="143" width="3.6640625" customWidth="1"/>
    <col min="144" max="144" width="17.5" bestFit="1" customWidth="1"/>
    <col min="145" max="145" width="13.6640625" bestFit="1" customWidth="1"/>
    <col min="146" max="153" width="2.6640625" customWidth="1"/>
    <col min="154" max="154" width="3.6640625" customWidth="1"/>
    <col min="155" max="155" width="17.5" bestFit="1" customWidth="1"/>
    <col min="156" max="156" width="13.6640625" bestFit="1" customWidth="1"/>
    <col min="157" max="164" width="2.6640625" customWidth="1"/>
    <col min="165" max="165" width="3.6640625" customWidth="1"/>
    <col min="166" max="166" width="17.5" bestFit="1" customWidth="1"/>
    <col min="167" max="167" width="14.83203125" bestFit="1" customWidth="1"/>
    <col min="168" max="175" width="2.6640625" customWidth="1"/>
    <col min="176" max="176" width="3.6640625" customWidth="1"/>
    <col min="177" max="177" width="18.6640625" bestFit="1" customWidth="1"/>
    <col min="178" max="178" width="14.83203125" bestFit="1" customWidth="1"/>
    <col min="179" max="186" width="2.6640625" customWidth="1"/>
    <col min="187" max="187" width="3.6640625" customWidth="1"/>
    <col min="188" max="188" width="18.6640625" bestFit="1" customWidth="1"/>
    <col min="189" max="189" width="14.83203125" bestFit="1" customWidth="1"/>
    <col min="190" max="197" width="2.6640625" customWidth="1"/>
    <col min="198" max="198" width="3.6640625" customWidth="1"/>
    <col min="199" max="199" width="18.6640625" bestFit="1" customWidth="1"/>
    <col min="200" max="200" width="14.83203125" bestFit="1" customWidth="1"/>
    <col min="201" max="208" width="2.6640625" customWidth="1"/>
    <col min="209" max="209" width="3.6640625" customWidth="1"/>
    <col min="210" max="210" width="18.6640625" bestFit="1" customWidth="1"/>
    <col min="211" max="211" width="13.6640625" bestFit="1" customWidth="1"/>
    <col min="212" max="219" width="2.6640625" customWidth="1"/>
    <col min="220" max="220" width="3.6640625" customWidth="1"/>
    <col min="221" max="221" width="17.5" bestFit="1" customWidth="1"/>
    <col min="222" max="222" width="14.83203125" bestFit="1" customWidth="1"/>
    <col min="223" max="230" width="2.6640625" customWidth="1"/>
    <col min="231" max="231" width="3.6640625" customWidth="1"/>
    <col min="232" max="232" width="18.6640625" bestFit="1" customWidth="1"/>
    <col min="233" max="233" width="14.83203125" bestFit="1" customWidth="1"/>
    <col min="234" max="241" width="2.6640625" customWidth="1"/>
    <col min="242" max="242" width="3.6640625" customWidth="1"/>
    <col min="243" max="243" width="18.6640625" bestFit="1" customWidth="1"/>
  </cols>
  <sheetData>
    <row r="2" spans="1:11">
      <c r="A2" s="17" t="s">
        <v>23</v>
      </c>
      <c r="B2">
        <v>3</v>
      </c>
      <c r="C2" t="s">
        <v>27</v>
      </c>
      <c r="F2" s="17" t="s">
        <v>24</v>
      </c>
      <c r="G2">
        <v>4</v>
      </c>
      <c r="H2" t="s">
        <v>27</v>
      </c>
    </row>
    <row r="3" spans="1:11">
      <c r="A3" s="1" t="s">
        <v>0</v>
      </c>
      <c r="B3" t="s">
        <v>8</v>
      </c>
      <c r="C3" t="s">
        <v>9</v>
      </c>
      <c r="F3" s="1" t="s">
        <v>0</v>
      </c>
      <c r="G3" t="s">
        <v>11</v>
      </c>
      <c r="H3" t="s">
        <v>10</v>
      </c>
    </row>
    <row r="4" spans="1:11">
      <c r="A4" s="2">
        <v>42674</v>
      </c>
      <c r="B4" s="4">
        <v>0.31742294520547948</v>
      </c>
      <c r="C4" s="4">
        <v>2.6641400000000002</v>
      </c>
      <c r="F4" s="2">
        <v>42674</v>
      </c>
      <c r="G4" s="4">
        <v>1013</v>
      </c>
      <c r="H4" s="5">
        <v>6.3178677196446195E-2</v>
      </c>
      <c r="I4" s="16">
        <f>F4</f>
        <v>42674</v>
      </c>
      <c r="J4" s="5">
        <f>H4</f>
        <v>6.3178677196446195E-2</v>
      </c>
      <c r="K4" s="14">
        <v>0.55500000000000005</v>
      </c>
    </row>
    <row r="5" spans="1:11">
      <c r="A5" s="2">
        <v>42681</v>
      </c>
      <c r="B5" s="4">
        <v>0.33541358155278189</v>
      </c>
      <c r="C5" s="4">
        <v>2.762677</v>
      </c>
      <c r="F5" s="2">
        <v>42681</v>
      </c>
      <c r="G5" s="4">
        <v>1362</v>
      </c>
      <c r="H5" s="5">
        <v>4.2584434654919234E-2</v>
      </c>
      <c r="I5" s="16">
        <f t="shared" ref="I5:I17" si="0">F5</f>
        <v>42681</v>
      </c>
      <c r="J5" s="5">
        <f t="shared" ref="J5:J17" si="1">H5</f>
        <v>4.2584434654919234E-2</v>
      </c>
      <c r="K5" s="14">
        <v>0.56700000000000006</v>
      </c>
    </row>
    <row r="6" spans="1:11">
      <c r="A6" s="2">
        <v>42688</v>
      </c>
      <c r="B6" s="4">
        <v>0.33401549736754649</v>
      </c>
      <c r="C6" s="4">
        <v>3.1426180000000001</v>
      </c>
      <c r="F6" s="2">
        <v>42688</v>
      </c>
      <c r="G6" s="4">
        <v>1172</v>
      </c>
      <c r="H6" s="5">
        <v>4.3515358361774746E-2</v>
      </c>
      <c r="I6" s="16">
        <f t="shared" si="0"/>
        <v>42688</v>
      </c>
      <c r="J6" s="5">
        <f t="shared" si="1"/>
        <v>4.3515358361774746E-2</v>
      </c>
      <c r="K6" s="14">
        <v>0.54400000000000004</v>
      </c>
    </row>
    <row r="7" spans="1:11">
      <c r="A7" s="2">
        <v>42695</v>
      </c>
      <c r="B7" s="4">
        <v>0.34965921114145815</v>
      </c>
      <c r="C7" s="4">
        <v>3.7893880000000002</v>
      </c>
      <c r="F7" s="2">
        <v>42695</v>
      </c>
      <c r="G7" s="4">
        <v>1247</v>
      </c>
      <c r="H7" s="5">
        <v>5.5332798716920609E-2</v>
      </c>
      <c r="I7" s="16">
        <f t="shared" si="0"/>
        <v>42695</v>
      </c>
      <c r="J7" s="5">
        <f t="shared" si="1"/>
        <v>5.5332798716920609E-2</v>
      </c>
      <c r="K7" s="14">
        <v>0.53400000000000003</v>
      </c>
    </row>
    <row r="8" spans="1:11">
      <c r="A8" s="2">
        <v>42702</v>
      </c>
      <c r="B8" s="4">
        <v>0.29340545712698313</v>
      </c>
      <c r="C8" s="4">
        <v>2.272799</v>
      </c>
      <c r="F8" s="2">
        <v>42702</v>
      </c>
      <c r="G8" s="4">
        <v>1433</v>
      </c>
      <c r="H8" s="5">
        <v>6.7690160502442434E-2</v>
      </c>
      <c r="I8" s="16">
        <f t="shared" si="0"/>
        <v>42702</v>
      </c>
      <c r="J8" s="5">
        <f t="shared" si="1"/>
        <v>6.7690160502442434E-2</v>
      </c>
      <c r="K8" s="14">
        <v>0.52900000000000003</v>
      </c>
    </row>
    <row r="9" spans="1:11">
      <c r="A9" s="2">
        <v>42709</v>
      </c>
      <c r="B9" s="4">
        <v>0.34309850422382393</v>
      </c>
      <c r="C9" s="4">
        <v>2.2849379999999999</v>
      </c>
      <c r="F9" s="2">
        <v>42709</v>
      </c>
      <c r="G9" s="4">
        <v>1654</v>
      </c>
      <c r="H9" s="5">
        <v>8.222490931076179E-2</v>
      </c>
      <c r="I9" s="16">
        <f t="shared" si="0"/>
        <v>42709</v>
      </c>
      <c r="J9" s="5">
        <f t="shared" si="1"/>
        <v>8.222490931076179E-2</v>
      </c>
      <c r="K9" s="14">
        <v>0.55100000000000005</v>
      </c>
    </row>
    <row r="10" spans="1:11">
      <c r="A10" s="2">
        <v>42716</v>
      </c>
      <c r="B10" s="4">
        <v>0.29215677973789406</v>
      </c>
      <c r="C10" s="4">
        <v>2.670404</v>
      </c>
      <c r="F10" s="2">
        <v>42716</v>
      </c>
      <c r="G10" s="4">
        <v>1626</v>
      </c>
      <c r="H10" s="5">
        <v>6.7035670356703575E-2</v>
      </c>
      <c r="I10" s="16">
        <f t="shared" si="0"/>
        <v>42716</v>
      </c>
      <c r="J10" s="5">
        <f t="shared" si="1"/>
        <v>6.7035670356703575E-2</v>
      </c>
      <c r="K10" s="14">
        <v>0.47</v>
      </c>
    </row>
    <row r="11" spans="1:11">
      <c r="A11" s="2">
        <v>42723</v>
      </c>
      <c r="B11" s="4">
        <v>0.3307428122853498</v>
      </c>
      <c r="C11" s="4">
        <v>3.117191</v>
      </c>
      <c r="F11" s="2">
        <v>42723</v>
      </c>
      <c r="G11" s="4">
        <v>1709</v>
      </c>
      <c r="H11" s="5">
        <v>7.5482738443534231E-2</v>
      </c>
      <c r="I11" s="16">
        <f t="shared" si="0"/>
        <v>42723</v>
      </c>
      <c r="J11" s="5">
        <f t="shared" si="1"/>
        <v>7.5482738443534231E-2</v>
      </c>
      <c r="K11" s="14">
        <v>0.48299999999999998</v>
      </c>
    </row>
    <row r="12" spans="1:11">
      <c r="A12" s="2">
        <v>42730</v>
      </c>
      <c r="B12" s="4">
        <v>0.28087304488351067</v>
      </c>
      <c r="C12" s="4">
        <v>2.8967640000000001</v>
      </c>
      <c r="F12" s="2">
        <v>42730</v>
      </c>
      <c r="G12" s="4">
        <v>1880</v>
      </c>
      <c r="H12" s="5">
        <v>6.2765957446808518E-2</v>
      </c>
      <c r="I12" s="16">
        <f t="shared" si="0"/>
        <v>42730</v>
      </c>
      <c r="J12" s="5">
        <f t="shared" si="1"/>
        <v>6.2765957446808518E-2</v>
      </c>
      <c r="K12" s="14">
        <v>0.47600000000000003</v>
      </c>
    </row>
    <row r="13" spans="1:11">
      <c r="A13" s="2">
        <v>42737</v>
      </c>
      <c r="B13" s="4">
        <v>0.19223064617096752</v>
      </c>
      <c r="C13" s="4">
        <v>2.0099290000000001</v>
      </c>
      <c r="F13" s="2">
        <v>42737</v>
      </c>
      <c r="G13" s="4">
        <v>1417</v>
      </c>
      <c r="H13" s="5">
        <v>7.7628793225123505E-2</v>
      </c>
      <c r="I13" s="16">
        <f t="shared" si="0"/>
        <v>42737</v>
      </c>
      <c r="J13" s="5">
        <f t="shared" si="1"/>
        <v>7.7628793225123505E-2</v>
      </c>
      <c r="K13" s="14">
        <v>0.46899999999999997</v>
      </c>
    </row>
    <row r="14" spans="1:11">
      <c r="A14" s="2">
        <v>42744</v>
      </c>
      <c r="B14" s="4">
        <v>0.29423076923076924</v>
      </c>
      <c r="C14" s="4">
        <v>2.6448</v>
      </c>
      <c r="F14" s="2">
        <v>42744</v>
      </c>
      <c r="G14" s="4">
        <v>1254</v>
      </c>
      <c r="H14" s="5">
        <v>8.7719298245614044E-2</v>
      </c>
      <c r="I14" s="16">
        <f t="shared" si="0"/>
        <v>42744</v>
      </c>
      <c r="J14" s="5">
        <f t="shared" si="1"/>
        <v>8.7719298245614044E-2</v>
      </c>
      <c r="K14" s="14">
        <v>0.49099999999999999</v>
      </c>
    </row>
    <row r="15" spans="1:11">
      <c r="A15" s="2">
        <v>42751</v>
      </c>
      <c r="B15" s="4">
        <v>0.29776451643459317</v>
      </c>
      <c r="C15" s="4">
        <v>2.7732920000000001</v>
      </c>
      <c r="F15" s="2">
        <v>42751</v>
      </c>
      <c r="G15" s="4">
        <v>987</v>
      </c>
      <c r="H15" s="5">
        <v>6.9908814589665663E-2</v>
      </c>
      <c r="I15" s="16">
        <f t="shared" si="0"/>
        <v>42751</v>
      </c>
      <c r="J15" s="5">
        <f t="shared" si="1"/>
        <v>6.9908814589665663E-2</v>
      </c>
      <c r="K15" s="14">
        <v>0.49</v>
      </c>
    </row>
    <row r="16" spans="1:11">
      <c r="A16" s="3" t="s">
        <v>7</v>
      </c>
      <c r="B16" s="4">
        <v>3.6610137653611572</v>
      </c>
      <c r="C16" s="4">
        <v>33.028939999999999</v>
      </c>
      <c r="F16" s="3" t="s">
        <v>7</v>
      </c>
      <c r="G16" s="4">
        <v>16754</v>
      </c>
      <c r="H16" s="5">
        <v>0.79506761105071466</v>
      </c>
      <c r="I16" s="16" t="str">
        <f t="shared" si="0"/>
        <v>总计</v>
      </c>
      <c r="J16" s="5">
        <f t="shared" si="1"/>
        <v>0.79506761105071466</v>
      </c>
      <c r="K16" s="14">
        <v>0.49099999999999999</v>
      </c>
    </row>
    <row r="17" spans="1:24">
      <c r="I17" s="16">
        <f t="shared" si="0"/>
        <v>0</v>
      </c>
      <c r="J17" s="5">
        <f t="shared" si="1"/>
        <v>0</v>
      </c>
      <c r="K17" s="14">
        <v>0.52900000000000003</v>
      </c>
    </row>
    <row r="23" spans="1:24">
      <c r="A23" s="17" t="s">
        <v>59</v>
      </c>
    </row>
    <row r="24" spans="1:24">
      <c r="B24" s="11">
        <f>B46</f>
        <v>42702</v>
      </c>
      <c r="C24" s="11">
        <f t="shared" ref="C24:X24" si="2">C46</f>
        <v>42709</v>
      </c>
      <c r="D24" s="11">
        <f t="shared" si="2"/>
        <v>42716</v>
      </c>
      <c r="E24" s="11">
        <f t="shared" si="2"/>
        <v>42723</v>
      </c>
      <c r="F24" s="11">
        <f t="shared" si="2"/>
        <v>42730</v>
      </c>
      <c r="G24" s="11">
        <f t="shared" si="2"/>
        <v>42737</v>
      </c>
      <c r="H24" s="11">
        <f t="shared" si="2"/>
        <v>42744</v>
      </c>
      <c r="I24" s="11">
        <f t="shared" si="2"/>
        <v>42751</v>
      </c>
      <c r="J24" s="11">
        <f t="shared" si="2"/>
        <v>42758</v>
      </c>
      <c r="K24" s="11">
        <f t="shared" si="2"/>
        <v>42765</v>
      </c>
      <c r="L24" s="11">
        <f t="shared" si="2"/>
        <v>42772</v>
      </c>
      <c r="M24" s="11">
        <f t="shared" si="2"/>
        <v>42779</v>
      </c>
      <c r="N24" s="11">
        <f t="shared" si="2"/>
        <v>42786</v>
      </c>
      <c r="O24" s="11">
        <f t="shared" si="2"/>
        <v>42793</v>
      </c>
      <c r="P24" s="11">
        <f t="shared" si="2"/>
        <v>42800</v>
      </c>
      <c r="Q24" s="11">
        <f t="shared" si="2"/>
        <v>42807</v>
      </c>
      <c r="R24" s="11">
        <f t="shared" si="2"/>
        <v>42814</v>
      </c>
      <c r="S24" s="11">
        <f t="shared" si="2"/>
        <v>42821</v>
      </c>
      <c r="T24" s="11">
        <f t="shared" si="2"/>
        <v>42828</v>
      </c>
      <c r="U24" s="11">
        <f t="shared" si="2"/>
        <v>42835</v>
      </c>
      <c r="V24" s="11">
        <f t="shared" si="2"/>
        <v>42842</v>
      </c>
      <c r="W24" s="11">
        <f t="shared" si="2"/>
        <v>42849</v>
      </c>
      <c r="X24" s="11">
        <f t="shared" si="2"/>
        <v>42856</v>
      </c>
    </row>
    <row r="25" spans="1:24">
      <c r="A25" t="s">
        <v>14</v>
      </c>
      <c r="B25" s="13">
        <f>B71</f>
        <v>7.7610867650552529E-2</v>
      </c>
      <c r="C25" s="13">
        <f t="shared" ref="C25:X25" si="3">C71</f>
        <v>7.6032745517732481E-2</v>
      </c>
      <c r="D25" s="13">
        <f t="shared" si="3"/>
        <v>7.6289330362414393E-2</v>
      </c>
      <c r="E25" s="13">
        <f t="shared" si="3"/>
        <v>7.4930336603864847E-2</v>
      </c>
      <c r="F25" s="13">
        <f>F71</f>
        <v>7.7291580507354227E-2</v>
      </c>
      <c r="G25" s="13">
        <f t="shared" si="3"/>
        <v>7.5253414318331172E-2</v>
      </c>
      <c r="H25" s="13">
        <f t="shared" si="3"/>
        <v>7.8250448864103914E-2</v>
      </c>
      <c r="I25" s="13">
        <f t="shared" si="3"/>
        <v>7.8991557785292654E-2</v>
      </c>
      <c r="J25" s="13">
        <f t="shared" si="3"/>
        <v>7.3249971904343555E-2</v>
      </c>
      <c r="K25" s="13">
        <f t="shared" si="3"/>
        <v>8.3933379028964958E-2</v>
      </c>
      <c r="L25" s="13">
        <f t="shared" si="3"/>
        <v>7.5107635684971003E-2</v>
      </c>
      <c r="M25" s="13">
        <f t="shared" si="3"/>
        <v>7.9718589192504852E-2</v>
      </c>
      <c r="N25" s="13">
        <f t="shared" si="3"/>
        <v>7.5992000840080037E-2</v>
      </c>
      <c r="O25" s="13">
        <f t="shared" si="3"/>
        <v>8.1498792859466221E-2</v>
      </c>
      <c r="P25" s="13">
        <f t="shared" si="3"/>
        <v>7.7067866445335489E-2</v>
      </c>
      <c r="Q25" s="13">
        <f t="shared" si="3"/>
        <v>8.1122120034714917E-2</v>
      </c>
      <c r="R25" s="13">
        <f t="shared" si="3"/>
        <v>7.934971619465564E-2</v>
      </c>
      <c r="S25" s="13">
        <f t="shared" si="3"/>
        <v>8.4363361383384197E-2</v>
      </c>
      <c r="T25" s="13">
        <f t="shared" si="3"/>
        <v>8.4383745216555672E-2</v>
      </c>
      <c r="U25" s="13">
        <f t="shared" si="3"/>
        <v>8.4970391181874341E-2</v>
      </c>
      <c r="V25" s="13">
        <f t="shared" si="3"/>
        <v>8.4566930018262848E-2</v>
      </c>
      <c r="W25" s="13">
        <f t="shared" si="3"/>
        <v>8.6162848998693545E-2</v>
      </c>
      <c r="X25" s="13">
        <f t="shared" si="3"/>
        <v>8.0002591792237621E-2</v>
      </c>
    </row>
    <row r="26" spans="1:24">
      <c r="A26" t="s">
        <v>13</v>
      </c>
      <c r="B26" s="12">
        <f>SUM(B27:B36)</f>
        <v>0.14549610923321143</v>
      </c>
      <c r="C26" s="12">
        <f>SUM(C27:C36)</f>
        <v>0.12962011460893091</v>
      </c>
      <c r="D26" s="12">
        <f t="shared" ref="D26:X26" si="4">SUM(D27:D36)</f>
        <v>0.11383839572125201</v>
      </c>
      <c r="E26" s="12">
        <f t="shared" si="4"/>
        <v>9.8838520769172558E-2</v>
      </c>
      <c r="F26" s="12">
        <f t="shared" si="4"/>
        <v>0.14337201415426273</v>
      </c>
      <c r="G26" s="12">
        <f t="shared" si="4"/>
        <v>0.12552885441718128</v>
      </c>
      <c r="H26" s="12">
        <f t="shared" si="4"/>
        <v>0.17425328861309627</v>
      </c>
      <c r="I26" s="12">
        <f t="shared" si="4"/>
        <v>0.19703857040160438</v>
      </c>
      <c r="J26" s="12">
        <f t="shared" si="4"/>
        <v>0.15635009762865254</v>
      </c>
      <c r="K26" s="12">
        <f t="shared" si="4"/>
        <v>0.32631366821835073</v>
      </c>
      <c r="L26" s="12">
        <f t="shared" si="4"/>
        <v>0.16071070122040904</v>
      </c>
      <c r="M26" s="12">
        <f t="shared" si="4"/>
        <v>0.17619597696086436</v>
      </c>
      <c r="N26" s="12">
        <f t="shared" si="4"/>
        <v>0.13907138902996827</v>
      </c>
      <c r="O26" s="12">
        <f t="shared" si="4"/>
        <v>0.21629141456209078</v>
      </c>
      <c r="P26" s="12">
        <f t="shared" si="4"/>
        <v>0.15571774885384734</v>
      </c>
      <c r="Q26" s="12">
        <f t="shared" si="4"/>
        <v>0.23024536492270758</v>
      </c>
      <c r="R26" s="12">
        <f t="shared" si="4"/>
        <v>0.19403484735584597</v>
      </c>
      <c r="S26" s="12">
        <f t="shared" si="4"/>
        <v>0.26952488769386002</v>
      </c>
      <c r="T26" s="12">
        <f t="shared" si="4"/>
        <v>0.23677655237198728</v>
      </c>
      <c r="U26" s="12">
        <f t="shared" si="4"/>
        <v>0.23981920875141355</v>
      </c>
      <c r="V26" s="12">
        <f t="shared" si="4"/>
        <v>0.25469156086669165</v>
      </c>
      <c r="W26" s="12">
        <f t="shared" si="4"/>
        <v>0.25834394750243217</v>
      </c>
      <c r="X26" s="12">
        <f t="shared" si="4"/>
        <v>0.21829647102388186</v>
      </c>
    </row>
    <row r="27" spans="1:24">
      <c r="A27" s="18">
        <v>0.10038503850385039</v>
      </c>
      <c r="B27">
        <f>(B47-$A$27)*LN(B47/$A$27)</f>
        <v>3.3028722530834033E-2</v>
      </c>
      <c r="C27">
        <f t="shared" ref="C27:X27" si="5">(C47-$A$27)*LN(C47/$A$27)</f>
        <v>1.9294444662557024E-2</v>
      </c>
      <c r="D27">
        <f t="shared" si="5"/>
        <v>1.6307090611653863E-2</v>
      </c>
      <c r="E27">
        <f t="shared" si="5"/>
        <v>1.9653849785264729E-2</v>
      </c>
      <c r="F27">
        <f t="shared" si="5"/>
        <v>1.3931658714359165E-2</v>
      </c>
      <c r="G27">
        <f t="shared" si="5"/>
        <v>2.4972248569472246E-2</v>
      </c>
      <c r="H27">
        <f t="shared" si="5"/>
        <v>4.5895933578446402E-2</v>
      </c>
      <c r="I27">
        <f t="shared" si="5"/>
        <v>7.0913691611543428E-2</v>
      </c>
      <c r="J27">
        <f t="shared" si="5"/>
        <v>1.8555455339696363E-2</v>
      </c>
      <c r="K27">
        <f t="shared" si="5"/>
        <v>6.6575440677035594E-2</v>
      </c>
      <c r="L27">
        <f t="shared" si="5"/>
        <v>6.8039335583644389E-2</v>
      </c>
      <c r="M27">
        <f t="shared" si="5"/>
        <v>4.1630076920895001E-2</v>
      </c>
      <c r="N27">
        <f t="shared" si="5"/>
        <v>3.3224490787784847E-2</v>
      </c>
      <c r="O27">
        <f t="shared" si="5"/>
        <v>6.3754944268399685E-2</v>
      </c>
      <c r="P27">
        <f t="shared" si="5"/>
        <v>4.0220182596319549E-2</v>
      </c>
      <c r="Q27">
        <f t="shared" si="5"/>
        <v>5.2215129550741209E-2</v>
      </c>
      <c r="R27">
        <f t="shared" si="5"/>
        <v>5.2814002006231403E-2</v>
      </c>
      <c r="S27">
        <f t="shared" si="5"/>
        <v>6.3495220771685248E-2</v>
      </c>
      <c r="T27">
        <f t="shared" si="5"/>
        <v>5.1439403469682746E-2</v>
      </c>
      <c r="U27">
        <f t="shared" si="5"/>
        <v>6.9021709307454993E-2</v>
      </c>
      <c r="V27">
        <f t="shared" si="5"/>
        <v>5.7411705480713573E-2</v>
      </c>
      <c r="W27">
        <f t="shared" si="5"/>
        <v>6.138281697742675E-2</v>
      </c>
      <c r="X27">
        <f t="shared" si="5"/>
        <v>7.2448006769398943E-2</v>
      </c>
    </row>
    <row r="28" spans="1:24">
      <c r="A28" s="18">
        <v>0.10927759442610928</v>
      </c>
      <c r="B28">
        <f>(B48-$A$28)*LN(B48/$A$28)</f>
        <v>5.1970820454026359E-2</v>
      </c>
      <c r="C28">
        <f t="shared" ref="C28:X28" si="6">(C48-$A$28)*LN(C48/$A$28)</f>
        <v>3.9292136483440217E-2</v>
      </c>
      <c r="D28">
        <f t="shared" si="6"/>
        <v>4.4902523083917921E-2</v>
      </c>
      <c r="E28">
        <f t="shared" si="6"/>
        <v>2.8188274360521497E-2</v>
      </c>
      <c r="F28">
        <f t="shared" si="6"/>
        <v>4.7405114156294559E-2</v>
      </c>
      <c r="G28">
        <f t="shared" si="6"/>
        <v>4.201576214897005E-2</v>
      </c>
      <c r="H28">
        <f t="shared" si="6"/>
        <v>5.4385663449842553E-2</v>
      </c>
      <c r="I28">
        <f t="shared" si="6"/>
        <v>5.4106592970411482E-2</v>
      </c>
      <c r="J28">
        <f t="shared" si="6"/>
        <v>7.0110690096952061E-2</v>
      </c>
      <c r="K28">
        <f t="shared" si="6"/>
        <v>0.13435974203523804</v>
      </c>
      <c r="L28">
        <f t="shared" si="6"/>
        <v>4.8878562488801333E-2</v>
      </c>
      <c r="M28">
        <f t="shared" si="6"/>
        <v>4.419018689176038E-2</v>
      </c>
      <c r="N28">
        <f t="shared" si="6"/>
        <v>4.1995313787409387E-2</v>
      </c>
      <c r="O28">
        <f t="shared" si="6"/>
        <v>5.6205896528640921E-2</v>
      </c>
      <c r="P28">
        <f t="shared" si="6"/>
        <v>5.1052830628782846E-2</v>
      </c>
      <c r="Q28">
        <f t="shared" si="6"/>
        <v>9.1731864913601219E-2</v>
      </c>
      <c r="R28">
        <f t="shared" si="6"/>
        <v>5.7399728946408317E-2</v>
      </c>
      <c r="S28">
        <f t="shared" si="6"/>
        <v>8.4772690779096049E-2</v>
      </c>
      <c r="T28">
        <f t="shared" si="6"/>
        <v>6.1575353589196968E-2</v>
      </c>
      <c r="U28">
        <f t="shared" si="6"/>
        <v>5.1597378904071463E-2</v>
      </c>
      <c r="V28">
        <f t="shared" si="6"/>
        <v>7.4964634934250901E-2</v>
      </c>
      <c r="W28">
        <f t="shared" si="6"/>
        <v>6.2006202107289139E-2</v>
      </c>
      <c r="X28">
        <f t="shared" si="6"/>
        <v>7.2498414603402478E-2</v>
      </c>
    </row>
    <row r="29" spans="1:24">
      <c r="A29" s="18">
        <v>8.9475614228089473E-2</v>
      </c>
      <c r="B29">
        <f>(B49-$A$29)*LN(B49/$A$29)</f>
        <v>8.7113985415346177E-4</v>
      </c>
      <c r="C29">
        <f t="shared" ref="C29:X29" si="7">(C49-$A$29)*LN(C49/$A$29)</f>
        <v>1.2029199449566331E-3</v>
      </c>
      <c r="D29">
        <f t="shared" si="7"/>
        <v>5.6259143999333287E-4</v>
      </c>
      <c r="E29">
        <f t="shared" si="7"/>
        <v>1.4656072096693649E-5</v>
      </c>
      <c r="F29">
        <f t="shared" si="7"/>
        <v>6.9822760465549917E-5</v>
      </c>
      <c r="G29">
        <f t="shared" si="7"/>
        <v>9.7924136578629597E-5</v>
      </c>
      <c r="H29">
        <f t="shared" si="7"/>
        <v>2.4651044940849921E-4</v>
      </c>
      <c r="I29">
        <f t="shared" si="7"/>
        <v>3.7208958450431483E-4</v>
      </c>
      <c r="J29">
        <f t="shared" si="7"/>
        <v>1.5828707863733897E-3</v>
      </c>
      <c r="K29">
        <f t="shared" si="7"/>
        <v>2.965306508202604E-4</v>
      </c>
      <c r="L29">
        <f t="shared" si="7"/>
        <v>4.4782472135716112E-3</v>
      </c>
      <c r="M29">
        <f t="shared" si="7"/>
        <v>7.1939935508955448E-5</v>
      </c>
      <c r="N29">
        <f t="shared" si="7"/>
        <v>6.649355944221948E-4</v>
      </c>
      <c r="O29">
        <f t="shared" si="7"/>
        <v>2.6643298752632946E-3</v>
      </c>
      <c r="P29">
        <f t="shared" si="7"/>
        <v>6.8058252794891234E-4</v>
      </c>
      <c r="Q29">
        <f t="shared" si="7"/>
        <v>1.419425182139929E-3</v>
      </c>
      <c r="R29">
        <f t="shared" si="7"/>
        <v>1.3809332122966279E-4</v>
      </c>
      <c r="S29">
        <f t="shared" si="7"/>
        <v>2.7472186632869671E-3</v>
      </c>
      <c r="T29">
        <f t="shared" si="7"/>
        <v>5.1315097307770574E-4</v>
      </c>
      <c r="U29">
        <f t="shared" si="7"/>
        <v>3.0770833191092061E-3</v>
      </c>
      <c r="V29">
        <f t="shared" si="7"/>
        <v>2.1244385190381291E-3</v>
      </c>
      <c r="W29">
        <f t="shared" si="7"/>
        <v>1.5023380520134898E-4</v>
      </c>
      <c r="X29">
        <f t="shared" si="7"/>
        <v>6.6867880493427822E-8</v>
      </c>
    </row>
    <row r="30" spans="1:24">
      <c r="A30" s="18">
        <v>0.10066006600660066</v>
      </c>
      <c r="B30">
        <f>(B50-$A$30)*LN(B50/$A$30)</f>
        <v>6.3496608567210021E-4</v>
      </c>
      <c r="C30">
        <f t="shared" ref="C30:X30" si="8">(C50-$A$30)*LN(C50/$A$30)</f>
        <v>3.7346621174531749E-3</v>
      </c>
      <c r="D30">
        <f t="shared" si="8"/>
        <v>1.9515978704281716E-3</v>
      </c>
      <c r="E30">
        <f t="shared" si="8"/>
        <v>2.173997112870002E-3</v>
      </c>
      <c r="F30">
        <f t="shared" si="8"/>
        <v>3.3439560580852184E-3</v>
      </c>
      <c r="G30">
        <f t="shared" si="8"/>
        <v>4.3170756121955521E-3</v>
      </c>
      <c r="H30">
        <f t="shared" si="8"/>
        <v>4.227210428098053E-3</v>
      </c>
      <c r="I30">
        <f t="shared" si="8"/>
        <v>1.5424006064408188E-3</v>
      </c>
      <c r="J30">
        <f t="shared" si="8"/>
        <v>9.3963927377388608E-4</v>
      </c>
      <c r="K30">
        <f t="shared" si="8"/>
        <v>1.4164521308861474E-2</v>
      </c>
      <c r="L30">
        <f t="shared" si="8"/>
        <v>8.551758990266511E-4</v>
      </c>
      <c r="M30">
        <f t="shared" si="8"/>
        <v>4.5086764913644375E-3</v>
      </c>
      <c r="N30">
        <f t="shared" si="8"/>
        <v>6.1127632324286672E-4</v>
      </c>
      <c r="O30">
        <f t="shared" si="8"/>
        <v>1.034539484297585E-3</v>
      </c>
      <c r="P30">
        <f t="shared" si="8"/>
        <v>3.4530823826320448E-4</v>
      </c>
      <c r="Q30">
        <f t="shared" si="8"/>
        <v>4.5580245980512465E-3</v>
      </c>
      <c r="R30">
        <f t="shared" si="8"/>
        <v>1.7471157074253102E-3</v>
      </c>
      <c r="S30">
        <f t="shared" si="8"/>
        <v>1.1230318158844473E-3</v>
      </c>
      <c r="T30">
        <f t="shared" si="8"/>
        <v>1.0064123838430286E-2</v>
      </c>
      <c r="U30">
        <f t="shared" si="8"/>
        <v>9.7616992810237706E-3</v>
      </c>
      <c r="V30">
        <f t="shared" si="8"/>
        <v>1.0713917965341442E-2</v>
      </c>
      <c r="W30">
        <f t="shared" si="8"/>
        <v>8.826905232106939E-3</v>
      </c>
      <c r="X30">
        <f t="shared" si="8"/>
        <v>4.6349666404578889E-3</v>
      </c>
    </row>
    <row r="31" spans="1:24">
      <c r="A31" s="18">
        <v>8.0766409974330766E-2</v>
      </c>
      <c r="B31">
        <f>(B51-$A$31)*LN(B51/$A$31)</f>
        <v>4.9211015207977485E-3</v>
      </c>
      <c r="C31">
        <f t="shared" ref="C31:X31" si="9">(C51-$A$31)*LN(C51/$A$31)</f>
        <v>1.1403248708670001E-2</v>
      </c>
      <c r="D31">
        <f t="shared" si="9"/>
        <v>4.6658516177367501E-3</v>
      </c>
      <c r="E31">
        <f t="shared" si="9"/>
        <v>7.8243193289415508E-3</v>
      </c>
      <c r="F31">
        <f t="shared" si="9"/>
        <v>1.8397343998833887E-2</v>
      </c>
      <c r="G31">
        <f t="shared" si="9"/>
        <v>5.1688768334716946E-3</v>
      </c>
      <c r="H31">
        <f t="shared" si="9"/>
        <v>3.1975148360140586E-3</v>
      </c>
      <c r="I31">
        <f t="shared" si="9"/>
        <v>2.5571913157595703E-3</v>
      </c>
      <c r="J31">
        <f t="shared" si="9"/>
        <v>1.7037587884133302E-3</v>
      </c>
      <c r="K31">
        <f t="shared" si="9"/>
        <v>6.956315012745763E-3</v>
      </c>
      <c r="L31">
        <f t="shared" si="9"/>
        <v>3.4519474454507595E-3</v>
      </c>
      <c r="M31">
        <f t="shared" si="9"/>
        <v>4.4843990853915775E-3</v>
      </c>
      <c r="N31">
        <f t="shared" si="9"/>
        <v>4.2378377160313995E-3</v>
      </c>
      <c r="O31">
        <f t="shared" si="9"/>
        <v>1.086974444354208E-2</v>
      </c>
      <c r="P31">
        <f t="shared" si="9"/>
        <v>5.0830495996615471E-3</v>
      </c>
      <c r="Q31">
        <f t="shared" si="9"/>
        <v>6.0962135536452751E-5</v>
      </c>
      <c r="R31">
        <f t="shared" si="9"/>
        <v>4.9400756918184562E-3</v>
      </c>
      <c r="S31">
        <f t="shared" si="9"/>
        <v>6.1806066609016918E-3</v>
      </c>
      <c r="T31">
        <f t="shared" si="9"/>
        <v>9.1570548073255653E-3</v>
      </c>
      <c r="U31">
        <f t="shared" si="9"/>
        <v>1.9646007477077026E-3</v>
      </c>
      <c r="V31">
        <f t="shared" si="9"/>
        <v>4.339775703284446E-3</v>
      </c>
      <c r="W31">
        <f t="shared" si="9"/>
        <v>4.6042324566579196E-3</v>
      </c>
      <c r="X31">
        <f t="shared" si="9"/>
        <v>1.0959987355703821E-3</v>
      </c>
    </row>
    <row r="32" spans="1:24">
      <c r="A32" s="18">
        <v>0.1211954528786212</v>
      </c>
      <c r="B32">
        <f>(B52-$A$32)*LN(B52/$A$32)</f>
        <v>6.998010144067879E-3</v>
      </c>
      <c r="C32">
        <f t="shared" ref="C32:X32" si="10">(C52-$A$32)*LN(C52/$A$32)</f>
        <v>1.3758104642727911E-2</v>
      </c>
      <c r="D32">
        <f t="shared" si="10"/>
        <v>9.694440521070791E-3</v>
      </c>
      <c r="E32">
        <f t="shared" si="10"/>
        <v>5.3039344211651216E-3</v>
      </c>
      <c r="F32">
        <f t="shared" si="10"/>
        <v>8.2228392732534884E-3</v>
      </c>
      <c r="G32">
        <f t="shared" si="10"/>
        <v>1.2336616786329363E-2</v>
      </c>
      <c r="H32">
        <f t="shared" si="10"/>
        <v>1.030303021925013E-2</v>
      </c>
      <c r="I32">
        <f t="shared" si="10"/>
        <v>1.141793050627604E-2</v>
      </c>
      <c r="J32">
        <f t="shared" si="10"/>
        <v>1.0413116534455175E-2</v>
      </c>
      <c r="K32">
        <f t="shared" si="10"/>
        <v>1.1371143217810143E-2</v>
      </c>
      <c r="L32">
        <f t="shared" si="10"/>
        <v>4.6967594362412211E-3</v>
      </c>
      <c r="M32">
        <f t="shared" si="10"/>
        <v>8.9232788030540033E-3</v>
      </c>
      <c r="N32">
        <f t="shared" si="10"/>
        <v>4.1607077534864803E-3</v>
      </c>
      <c r="O32">
        <f t="shared" si="10"/>
        <v>9.471851446653818E-3</v>
      </c>
      <c r="P32">
        <f t="shared" si="10"/>
        <v>4.8673196836361538E-4</v>
      </c>
      <c r="Q32">
        <f t="shared" si="10"/>
        <v>5.1224159539375045E-3</v>
      </c>
      <c r="R32">
        <f t="shared" si="10"/>
        <v>4.4692909990553635E-3</v>
      </c>
      <c r="S32">
        <f t="shared" si="10"/>
        <v>5.9852073451232136E-4</v>
      </c>
      <c r="T32">
        <f t="shared" si="10"/>
        <v>2.7311159621827741E-3</v>
      </c>
      <c r="U32">
        <f t="shared" si="10"/>
        <v>1.5863069887963267E-3</v>
      </c>
      <c r="V32">
        <f t="shared" si="10"/>
        <v>2.5375736248546177E-3</v>
      </c>
      <c r="W32">
        <f t="shared" si="10"/>
        <v>1.9113990089833605E-3</v>
      </c>
      <c r="X32">
        <f t="shared" si="10"/>
        <v>3.878792630737548E-3</v>
      </c>
    </row>
    <row r="33" spans="1:24">
      <c r="A33" s="18">
        <v>8.9750641730839756E-2</v>
      </c>
      <c r="B33">
        <f>(B53-$A$33)*LN(B53/$A$33)</f>
        <v>9.3223215026861508E-6</v>
      </c>
      <c r="C33">
        <f t="shared" ref="C33:X33" si="11">(C53-$A$33)*LN(C53/$A$33)</f>
        <v>9.5823607029283634E-4</v>
      </c>
      <c r="D33">
        <f t="shared" si="11"/>
        <v>2.2598526867146238E-4</v>
      </c>
      <c r="E33">
        <f t="shared" si="11"/>
        <v>2.0142702487528259E-3</v>
      </c>
      <c r="F33">
        <f t="shared" si="11"/>
        <v>6.4521187603808997E-4</v>
      </c>
      <c r="G33">
        <f t="shared" si="11"/>
        <v>6.9939620209916978E-4</v>
      </c>
      <c r="H33">
        <f t="shared" si="11"/>
        <v>8.7719000334121242E-4</v>
      </c>
      <c r="I33">
        <f t="shared" si="11"/>
        <v>1.1672685178530588E-3</v>
      </c>
      <c r="J33">
        <f t="shared" si="11"/>
        <v>1.9239617702538764E-2</v>
      </c>
      <c r="K33">
        <f t="shared" si="11"/>
        <v>8.8369448382117954E-5</v>
      </c>
      <c r="L33">
        <f t="shared" si="11"/>
        <v>1.4888923980625869E-3</v>
      </c>
      <c r="M33">
        <f t="shared" si="11"/>
        <v>7.4313185673891913E-3</v>
      </c>
      <c r="N33">
        <f t="shared" si="11"/>
        <v>4.4498276668125643E-3</v>
      </c>
      <c r="O33">
        <f t="shared" si="11"/>
        <v>1.240910182434291E-3</v>
      </c>
      <c r="P33">
        <f t="shared" si="11"/>
        <v>1.4505088646898931E-4</v>
      </c>
      <c r="Q33">
        <f t="shared" si="11"/>
        <v>6.6053189477831081E-4</v>
      </c>
      <c r="R33">
        <f t="shared" si="11"/>
        <v>2.9093556340464479E-3</v>
      </c>
      <c r="S33">
        <f t="shared" si="11"/>
        <v>2.8444732373412813E-3</v>
      </c>
      <c r="T33">
        <f t="shared" si="11"/>
        <v>6.7168470246607086E-4</v>
      </c>
      <c r="U33">
        <f t="shared" si="11"/>
        <v>3.3894213141738116E-5</v>
      </c>
      <c r="V33">
        <f t="shared" si="11"/>
        <v>8.2709302620513723E-4</v>
      </c>
      <c r="W33">
        <f t="shared" si="11"/>
        <v>7.2171646114587385E-3</v>
      </c>
      <c r="X33">
        <f t="shared" si="11"/>
        <v>1.0487424461740249E-3</v>
      </c>
    </row>
    <row r="34" spans="1:24">
      <c r="A34" s="18">
        <v>0.10817748441510817</v>
      </c>
      <c r="B34">
        <f>(B54-$A$34)*LN(B54/$A$34)</f>
        <v>9.3208065921055491E-4</v>
      </c>
      <c r="C34">
        <f t="shared" ref="C34:X34" si="12">(C54-$A$34)*LN(C54/$A$34)</f>
        <v>1.4025125097489417E-4</v>
      </c>
      <c r="D34">
        <f t="shared" si="12"/>
        <v>1.9034194482332639E-4</v>
      </c>
      <c r="E34">
        <f t="shared" si="12"/>
        <v>4.0402886207040745E-5</v>
      </c>
      <c r="F34">
        <f t="shared" si="12"/>
        <v>1.027564468279063E-3</v>
      </c>
      <c r="G34">
        <f t="shared" si="12"/>
        <v>2.8917477535244113E-3</v>
      </c>
      <c r="H34">
        <f t="shared" si="12"/>
        <v>6.9168578830541179E-3</v>
      </c>
      <c r="I34">
        <f t="shared" si="12"/>
        <v>7.6643717326282546E-3</v>
      </c>
      <c r="J34">
        <f t="shared" si="12"/>
        <v>3.9123843627111946E-4</v>
      </c>
      <c r="K34">
        <f t="shared" si="12"/>
        <v>8.5314601045709971E-3</v>
      </c>
      <c r="L34">
        <f t="shared" si="12"/>
        <v>8.3698434998671738E-3</v>
      </c>
      <c r="M34">
        <f t="shared" si="12"/>
        <v>3.1745944047124235E-3</v>
      </c>
      <c r="N34">
        <f t="shared" si="12"/>
        <v>1.1254211754976854E-2</v>
      </c>
      <c r="O34">
        <f t="shared" si="12"/>
        <v>1.0866464032441707E-2</v>
      </c>
      <c r="P34">
        <f t="shared" si="12"/>
        <v>1.0928744041580708E-2</v>
      </c>
      <c r="Q34">
        <f t="shared" si="12"/>
        <v>2.5605796609522724E-3</v>
      </c>
      <c r="R34">
        <f t="shared" si="12"/>
        <v>6.2598467664561567E-3</v>
      </c>
      <c r="S34">
        <f t="shared" si="12"/>
        <v>4.4348054247247918E-3</v>
      </c>
      <c r="T34">
        <f t="shared" si="12"/>
        <v>2.1350728530125976E-3</v>
      </c>
      <c r="U34">
        <f t="shared" si="12"/>
        <v>3.1254236455607745E-3</v>
      </c>
      <c r="V34">
        <f t="shared" si="12"/>
        <v>6.847270619571179E-3</v>
      </c>
      <c r="W34">
        <f t="shared" si="12"/>
        <v>4.8368916563245679E-3</v>
      </c>
      <c r="X34">
        <f t="shared" si="12"/>
        <v>4.6676822965500651E-3</v>
      </c>
    </row>
    <row r="35" spans="1:24">
      <c r="A35" s="18">
        <v>0.10029336266960029</v>
      </c>
      <c r="B35">
        <f>(B55-$A$35)*LN(B55/$A$35)</f>
        <v>1.5483409040756608E-2</v>
      </c>
      <c r="C35">
        <f t="shared" ref="C35:X35" si="13">(C55-$A$35)*LN(C55/$A$35)</f>
        <v>4.6610356244313434E-3</v>
      </c>
      <c r="D35">
        <f t="shared" si="13"/>
        <v>6.3562180265161038E-3</v>
      </c>
      <c r="E35">
        <f t="shared" si="13"/>
        <v>8.7207690071337655E-3</v>
      </c>
      <c r="F35">
        <f t="shared" si="13"/>
        <v>1.5056750468421309E-2</v>
      </c>
      <c r="G35">
        <f t="shared" si="13"/>
        <v>5.6436510804649259E-3</v>
      </c>
      <c r="H35">
        <f t="shared" si="13"/>
        <v>5.3433933868203224E-3</v>
      </c>
      <c r="I35">
        <f t="shared" si="13"/>
        <v>5.5664579005880246E-3</v>
      </c>
      <c r="J35">
        <f t="shared" si="13"/>
        <v>2.024076624561368E-3</v>
      </c>
      <c r="K35">
        <f t="shared" si="13"/>
        <v>1.5295649261159229E-2</v>
      </c>
      <c r="L35">
        <f t="shared" si="13"/>
        <v>5.1802617712866199E-3</v>
      </c>
      <c r="M35">
        <f t="shared" si="13"/>
        <v>1.5002092761593975E-2</v>
      </c>
      <c r="N35">
        <f t="shared" si="13"/>
        <v>1.4733655812971034E-2</v>
      </c>
      <c r="O35">
        <f t="shared" si="13"/>
        <v>8.8842963973941695E-3</v>
      </c>
      <c r="P35">
        <f t="shared" si="13"/>
        <v>1.3478901913294419E-2</v>
      </c>
      <c r="Q35">
        <f t="shared" si="13"/>
        <v>1.6857355456040168E-2</v>
      </c>
      <c r="R35">
        <f t="shared" si="13"/>
        <v>1.2524570746030885E-2</v>
      </c>
      <c r="S35">
        <f t="shared" si="13"/>
        <v>3.7472765687133314E-2</v>
      </c>
      <c r="T35">
        <f t="shared" si="13"/>
        <v>2.2672108245480414E-2</v>
      </c>
      <c r="U35">
        <f t="shared" si="13"/>
        <v>1.2006141089064533E-2</v>
      </c>
      <c r="V35">
        <f t="shared" si="13"/>
        <v>2.0554446154263932E-2</v>
      </c>
      <c r="W35">
        <f t="shared" si="13"/>
        <v>1.6882953757671772E-2</v>
      </c>
      <c r="X35">
        <f t="shared" si="13"/>
        <v>5.6520943707200153E-3</v>
      </c>
    </row>
    <row r="36" spans="1:24">
      <c r="A36" s="18">
        <v>0.10001833516685002</v>
      </c>
      <c r="B36">
        <f>(B56-$A$36)*LN(B56/$A$36)</f>
        <v>3.0646536622189986E-2</v>
      </c>
      <c r="C36">
        <f t="shared" ref="C36:X36" si="14">(C56-$A$36)*LN(C56/$A$36)</f>
        <v>3.5175075103426878E-2</v>
      </c>
      <c r="D36">
        <f t="shared" si="14"/>
        <v>2.8981755336440294E-2</v>
      </c>
      <c r="E36">
        <f t="shared" si="14"/>
        <v>2.4904047546219318E-2</v>
      </c>
      <c r="F36">
        <f t="shared" si="14"/>
        <v>3.5271752380232398E-2</v>
      </c>
      <c r="G36">
        <f t="shared" si="14"/>
        <v>2.7385555294075249E-2</v>
      </c>
      <c r="H36">
        <f t="shared" si="14"/>
        <v>4.2859984378820916E-2</v>
      </c>
      <c r="I36">
        <f t="shared" si="14"/>
        <v>4.1730575655599379E-2</v>
      </c>
      <c r="J36">
        <f t="shared" si="14"/>
        <v>3.1389634045617086E-2</v>
      </c>
      <c r="K36">
        <f t="shared" si="14"/>
        <v>6.8674496501727106E-2</v>
      </c>
      <c r="L36">
        <f t="shared" si="14"/>
        <v>1.527167548445672E-2</v>
      </c>
      <c r="M36">
        <f t="shared" si="14"/>
        <v>4.6779413099194436E-2</v>
      </c>
      <c r="N36">
        <f t="shared" si="14"/>
        <v>2.3739131832830641E-2</v>
      </c>
      <c r="O36">
        <f t="shared" si="14"/>
        <v>5.1298437903023179E-2</v>
      </c>
      <c r="P36">
        <f t="shared" si="14"/>
        <v>3.3296366453163563E-2</v>
      </c>
      <c r="Q36">
        <f t="shared" si="14"/>
        <v>5.5059075576929309E-2</v>
      </c>
      <c r="R36">
        <f t="shared" si="14"/>
        <v>5.0832767537143976E-2</v>
      </c>
      <c r="S36">
        <f t="shared" si="14"/>
        <v>6.5855553919293916E-2</v>
      </c>
      <c r="T36">
        <f t="shared" si="14"/>
        <v>7.5817483931132135E-2</v>
      </c>
      <c r="U36">
        <f t="shared" si="14"/>
        <v>8.7644971255483053E-2</v>
      </c>
      <c r="V36">
        <f t="shared" si="14"/>
        <v>7.4370704839168272E-2</v>
      </c>
      <c r="W36">
        <f t="shared" si="14"/>
        <v>9.0525147889311666E-2</v>
      </c>
      <c r="X36">
        <f t="shared" si="14"/>
        <v>5.2371705662990042E-2</v>
      </c>
    </row>
    <row r="44" spans="1:24">
      <c r="A44" t="s">
        <v>25</v>
      </c>
      <c r="B44" t="s">
        <v>28</v>
      </c>
    </row>
    <row r="45" spans="1:24">
      <c r="A45" s="1" t="s">
        <v>2</v>
      </c>
      <c r="B45" s="1" t="s">
        <v>1</v>
      </c>
    </row>
    <row r="46" spans="1:24">
      <c r="A46" s="1" t="s">
        <v>0</v>
      </c>
      <c r="B46" s="11">
        <v>42702</v>
      </c>
      <c r="C46" s="11">
        <v>42709</v>
      </c>
      <c r="D46" s="11">
        <v>42716</v>
      </c>
      <c r="E46" s="11">
        <v>42723</v>
      </c>
      <c r="F46" s="11">
        <v>42730</v>
      </c>
      <c r="G46" s="11">
        <v>42737</v>
      </c>
      <c r="H46" s="11">
        <v>42744</v>
      </c>
      <c r="I46" s="11">
        <v>42751</v>
      </c>
      <c r="J46" s="11">
        <v>42758</v>
      </c>
      <c r="K46" s="11">
        <v>42765</v>
      </c>
      <c r="L46" s="11">
        <v>42772</v>
      </c>
      <c r="M46" s="11">
        <v>42779</v>
      </c>
      <c r="N46" s="11">
        <v>42786</v>
      </c>
      <c r="O46" s="11">
        <v>42793</v>
      </c>
      <c r="P46" s="11">
        <v>42800</v>
      </c>
      <c r="Q46" s="11">
        <v>42807</v>
      </c>
      <c r="R46" s="11">
        <v>42814</v>
      </c>
      <c r="S46" s="11">
        <v>42821</v>
      </c>
      <c r="T46" s="11">
        <v>42828</v>
      </c>
      <c r="U46" s="11">
        <v>42835</v>
      </c>
      <c r="V46" s="11">
        <v>42842</v>
      </c>
      <c r="W46" s="11">
        <v>42849</v>
      </c>
      <c r="X46" s="11">
        <v>42856</v>
      </c>
    </row>
    <row r="47" spans="1:24">
      <c r="A47" s="3">
        <v>1</v>
      </c>
      <c r="B47" s="5">
        <v>5.125284738041002E-2</v>
      </c>
      <c r="C47" s="5">
        <v>6.1285500747384154E-2</v>
      </c>
      <c r="D47" s="5">
        <v>6.4069707842132242E-2</v>
      </c>
      <c r="E47" s="5">
        <v>6.0969755160825735E-2</v>
      </c>
      <c r="F47" s="5">
        <v>6.6524520255863542E-2</v>
      </c>
      <c r="G47" s="5">
        <v>5.6686846450192625E-2</v>
      </c>
      <c r="H47" s="5">
        <v>4.4291952588895823E-2</v>
      </c>
      <c r="I47" s="5">
        <v>3.4317637669592976E-2</v>
      </c>
      <c r="J47" s="5">
        <v>6.1946902654867256E-2</v>
      </c>
      <c r="K47" s="5">
        <v>3.5805626598465472E-2</v>
      </c>
      <c r="L47" s="5">
        <v>3.5294117647058823E-2</v>
      </c>
      <c r="M47" s="5">
        <v>4.6415981198589897E-2</v>
      </c>
      <c r="N47" s="5">
        <v>5.1133062173155143E-2</v>
      </c>
      <c r="O47" s="5">
        <v>3.6819637139807897E-2</v>
      </c>
      <c r="P47" s="5">
        <v>4.715447154471545E-2</v>
      </c>
      <c r="Q47" s="5">
        <v>4.1412911084043852E-2</v>
      </c>
      <c r="R47" s="5">
        <v>4.1154791154791155E-2</v>
      </c>
      <c r="S47" s="5">
        <v>3.6914963744232039E-2</v>
      </c>
      <c r="T47" s="5">
        <v>4.1750841750841754E-2</v>
      </c>
      <c r="U47" s="5">
        <v>3.495630461922597E-2</v>
      </c>
      <c r="V47" s="5">
        <v>3.9249146757679182E-2</v>
      </c>
      <c r="W47" s="5">
        <v>3.7703016241299306E-2</v>
      </c>
      <c r="X47" s="5">
        <v>3.3810888252149E-2</v>
      </c>
    </row>
    <row r="48" spans="1:24">
      <c r="A48" s="3">
        <v>2</v>
      </c>
      <c r="B48" s="5">
        <v>4.7266514806378133E-2</v>
      </c>
      <c r="C48" s="5">
        <v>5.3811659192825115E-2</v>
      </c>
      <c r="D48" s="5">
        <v>5.0743208610968732E-2</v>
      </c>
      <c r="E48" s="5">
        <v>6.0969755160825735E-2</v>
      </c>
      <c r="F48" s="5">
        <v>4.9466950959488276E-2</v>
      </c>
      <c r="G48" s="5">
        <v>5.2283984589983491E-2</v>
      </c>
      <c r="H48" s="5">
        <v>4.6163443543356206E-2</v>
      </c>
      <c r="I48" s="5">
        <v>4.6288906624102157E-2</v>
      </c>
      <c r="J48" s="5">
        <v>3.9823008849557522E-2</v>
      </c>
      <c r="K48" s="5">
        <v>2.3017902813299233E-2</v>
      </c>
      <c r="L48" s="5">
        <v>4.8739495798319328E-2</v>
      </c>
      <c r="M48" s="5">
        <v>5.1116333725029377E-2</v>
      </c>
      <c r="N48" s="5">
        <v>5.2295177222545029E-2</v>
      </c>
      <c r="O48" s="5">
        <v>4.5357524012806828E-2</v>
      </c>
      <c r="P48" s="5">
        <v>4.7696476964769648E-2</v>
      </c>
      <c r="Q48" s="5">
        <v>3.2886723507917173E-2</v>
      </c>
      <c r="R48" s="5">
        <v>4.4840294840294843E-2</v>
      </c>
      <c r="S48" s="5">
        <v>3.4937376400791038E-2</v>
      </c>
      <c r="T48" s="5">
        <v>4.30976430976431E-2</v>
      </c>
      <c r="U48" s="5">
        <v>4.7440699126092382E-2</v>
      </c>
      <c r="V48" s="5">
        <v>3.8111490329920367E-2</v>
      </c>
      <c r="W48" s="5">
        <v>4.2923433874709975E-2</v>
      </c>
      <c r="X48" s="5">
        <v>3.8968481375358167E-2</v>
      </c>
    </row>
    <row r="49" spans="1:24">
      <c r="A49" s="3">
        <v>3</v>
      </c>
      <c r="B49" s="5">
        <v>8.0865603644646927E-2</v>
      </c>
      <c r="C49" s="5">
        <v>0.10014947683109118</v>
      </c>
      <c r="D49" s="5">
        <v>8.2521783700666332E-2</v>
      </c>
      <c r="E49" s="5">
        <v>8.8334133461353812E-2</v>
      </c>
      <c r="F49" s="5">
        <v>8.6993603411513853E-2</v>
      </c>
      <c r="G49" s="5">
        <v>9.2460099064391857E-2</v>
      </c>
      <c r="H49" s="5">
        <v>8.4840923268870869E-2</v>
      </c>
      <c r="I49" s="5">
        <v>8.3798882681564241E-2</v>
      </c>
      <c r="J49" s="5">
        <v>0.10176991150442478</v>
      </c>
      <c r="K49" s="5">
        <v>8.4398976982097182E-2</v>
      </c>
      <c r="L49" s="5">
        <v>7.0588235294117646E-2</v>
      </c>
      <c r="M49" s="5">
        <v>8.6956521739130432E-2</v>
      </c>
      <c r="N49" s="5">
        <v>8.1929110981987213E-2</v>
      </c>
      <c r="O49" s="5">
        <v>7.4706510138740662E-2</v>
      </c>
      <c r="P49" s="5">
        <v>8.1842818428184277E-2</v>
      </c>
      <c r="Q49" s="5">
        <v>7.8562728380024358E-2</v>
      </c>
      <c r="R49" s="5">
        <v>8.5995085995085999E-2</v>
      </c>
      <c r="S49" s="5">
        <v>7.4489123269611074E-2</v>
      </c>
      <c r="T49" s="5">
        <v>8.2828282828282834E-2</v>
      </c>
      <c r="U49" s="5">
        <v>7.365792759051186E-2</v>
      </c>
      <c r="V49" s="5">
        <v>7.6222980659840733E-2</v>
      </c>
      <c r="W49" s="5">
        <v>8.584686774941995E-2</v>
      </c>
      <c r="X49" s="5">
        <v>8.9398280802292257E-2</v>
      </c>
    </row>
    <row r="50" spans="1:24">
      <c r="A50" s="3">
        <v>4</v>
      </c>
      <c r="B50" s="5">
        <v>9.2824601366742601E-2</v>
      </c>
      <c r="C50" s="5">
        <v>8.2212257100149483E-2</v>
      </c>
      <c r="D50" s="5">
        <v>8.713480266529984E-2</v>
      </c>
      <c r="E50" s="5">
        <v>8.6413826212193956E-2</v>
      </c>
      <c r="F50" s="5">
        <v>8.3155650319829424E-2</v>
      </c>
      <c r="G50" s="5">
        <v>8.090258668134287E-2</v>
      </c>
      <c r="H50" s="5">
        <v>8.109794135995009E-2</v>
      </c>
      <c r="I50" s="5">
        <v>8.8587390263367913E-2</v>
      </c>
      <c r="J50" s="5">
        <v>0.11061946902654868</v>
      </c>
      <c r="K50" s="5">
        <v>6.6496163682864456E-2</v>
      </c>
      <c r="L50" s="5">
        <v>9.1596638655462179E-2</v>
      </c>
      <c r="M50" s="5">
        <v>8.0493537015276145E-2</v>
      </c>
      <c r="N50" s="5">
        <v>9.2969203951191168E-2</v>
      </c>
      <c r="O50" s="5">
        <v>9.0715048025613657E-2</v>
      </c>
      <c r="P50" s="5">
        <v>9.4850948509485097E-2</v>
      </c>
      <c r="Q50" s="5">
        <v>8.0389768574908649E-2</v>
      </c>
      <c r="R50" s="5">
        <v>8.7837837837837843E-2</v>
      </c>
      <c r="S50" s="5">
        <v>9.0309822017139094E-2</v>
      </c>
      <c r="T50" s="5">
        <v>7.1380471380471378E-2</v>
      </c>
      <c r="U50" s="5">
        <v>7.1785268414481893E-2</v>
      </c>
      <c r="V50" s="5">
        <v>7.0534698521046643E-2</v>
      </c>
      <c r="W50" s="5">
        <v>7.3085846867749424E-2</v>
      </c>
      <c r="X50" s="5">
        <v>8.0229226361031525E-2</v>
      </c>
    </row>
    <row r="51" spans="1:24">
      <c r="A51" s="3">
        <v>5</v>
      </c>
      <c r="B51" s="5">
        <v>6.2072892938496584E-2</v>
      </c>
      <c r="C51" s="5">
        <v>5.331340308918784E-2</v>
      </c>
      <c r="D51" s="5">
        <v>6.2532034853921073E-2</v>
      </c>
      <c r="E51" s="5">
        <v>5.7609217474795971E-2</v>
      </c>
      <c r="F51" s="5">
        <v>4.6908315565031986E-2</v>
      </c>
      <c r="G51" s="5">
        <v>6.1640066042927905E-2</v>
      </c>
      <c r="H51" s="5">
        <v>6.5502183406113537E-2</v>
      </c>
      <c r="I51" s="5">
        <v>6.7039106145251395E-2</v>
      </c>
      <c r="J51" s="5">
        <v>9.2920353982300891E-2</v>
      </c>
      <c r="K51" s="5">
        <v>5.8823529411764705E-2</v>
      </c>
      <c r="L51" s="5">
        <v>9.8319327731092435E-2</v>
      </c>
      <c r="M51" s="5">
        <v>6.2867215041128091E-2</v>
      </c>
      <c r="N51" s="5">
        <v>6.3335270191748977E-2</v>
      </c>
      <c r="O51" s="5">
        <v>5.389541088580576E-2</v>
      </c>
      <c r="P51" s="5">
        <v>6.1788617886178863E-2</v>
      </c>
      <c r="Q51" s="5">
        <v>7.8562728380024358E-2</v>
      </c>
      <c r="R51" s="5">
        <v>6.2039312039312039E-2</v>
      </c>
      <c r="S51" s="5">
        <v>5.9986816084377059E-2</v>
      </c>
      <c r="T51" s="5">
        <v>5.5892255892255889E-2</v>
      </c>
      <c r="U51" s="5">
        <v>6.8664169787765295E-2</v>
      </c>
      <c r="V51" s="5">
        <v>6.313993174061433E-2</v>
      </c>
      <c r="W51" s="5">
        <v>6.2645011600928072E-2</v>
      </c>
      <c r="X51" s="5">
        <v>7.1633237822349566E-2</v>
      </c>
    </row>
    <row r="52" spans="1:24">
      <c r="A52" s="3">
        <v>6</v>
      </c>
      <c r="B52" s="5">
        <v>0.15205011389521639</v>
      </c>
      <c r="C52" s="5">
        <v>0.1654210264075735</v>
      </c>
      <c r="D52" s="5">
        <v>0.15786776012301384</v>
      </c>
      <c r="E52" s="5">
        <v>0.14786365818530964</v>
      </c>
      <c r="F52" s="5">
        <v>0.15479744136460555</v>
      </c>
      <c r="G52" s="5">
        <v>0.16290588882773804</v>
      </c>
      <c r="H52" s="5">
        <v>0.15907673112913287</v>
      </c>
      <c r="I52" s="5">
        <v>0.16121308858739025</v>
      </c>
      <c r="J52" s="5">
        <v>0.15929203539823009</v>
      </c>
      <c r="K52" s="5">
        <v>0.16112531969309463</v>
      </c>
      <c r="L52" s="5">
        <v>0.14621848739495799</v>
      </c>
      <c r="M52" s="5">
        <v>0.1562867215041128</v>
      </c>
      <c r="N52" s="5">
        <v>0.14468332364904127</v>
      </c>
      <c r="O52" s="5">
        <v>0.15741728922091783</v>
      </c>
      <c r="P52" s="5">
        <v>0.12899728997289972</v>
      </c>
      <c r="Q52" s="5">
        <v>0.14738124238733252</v>
      </c>
      <c r="R52" s="5">
        <v>0.14557739557739557</v>
      </c>
      <c r="S52" s="5">
        <v>0.12986156888595912</v>
      </c>
      <c r="T52" s="5">
        <v>0.14006734006734006</v>
      </c>
      <c r="U52" s="5">
        <v>0.13545568039950062</v>
      </c>
      <c r="V52" s="5">
        <v>0.13936291240045506</v>
      </c>
      <c r="W52" s="5">
        <v>0.1368909512761021</v>
      </c>
      <c r="X52" s="5">
        <v>0.14383954154727793</v>
      </c>
    </row>
    <row r="53" spans="1:24">
      <c r="A53" s="3">
        <v>7</v>
      </c>
      <c r="B53" s="5">
        <v>8.8838268792710701E-2</v>
      </c>
      <c r="C53" s="5">
        <v>8.0717488789237665E-2</v>
      </c>
      <c r="D53" s="5">
        <v>9.4310609943618659E-2</v>
      </c>
      <c r="E53" s="5">
        <v>0.10369659145463274</v>
      </c>
      <c r="F53" s="5">
        <v>8.2302771855010656E-2</v>
      </c>
      <c r="G53" s="5">
        <v>8.200330214639516E-2</v>
      </c>
      <c r="H53" s="5">
        <v>8.109794135995009E-2</v>
      </c>
      <c r="I53" s="5">
        <v>7.9808459696727854E-2</v>
      </c>
      <c r="J53" s="5">
        <v>5.3097345132743362E-2</v>
      </c>
      <c r="K53" s="5">
        <v>8.6956521739130432E-2</v>
      </c>
      <c r="L53" s="5">
        <v>0.10168067226890756</v>
      </c>
      <c r="M53" s="5">
        <v>6.5804935370152765E-2</v>
      </c>
      <c r="N53" s="5">
        <v>7.0889018012783259E-2</v>
      </c>
      <c r="O53" s="5">
        <v>7.9509071504802561E-2</v>
      </c>
      <c r="P53" s="5">
        <v>8.6178861788617889E-2</v>
      </c>
      <c r="Q53" s="5">
        <v>8.221680876979294E-2</v>
      </c>
      <c r="R53" s="5">
        <v>7.4324324324324328E-2</v>
      </c>
      <c r="S53" s="5">
        <v>7.4489123269611074E-2</v>
      </c>
      <c r="T53" s="5">
        <v>8.2154882154882161E-2</v>
      </c>
      <c r="U53" s="5">
        <v>8.8014981273408247E-2</v>
      </c>
      <c r="V53" s="5">
        <v>8.1342434584755402E-2</v>
      </c>
      <c r="W53" s="5">
        <v>6.612529002320186E-2</v>
      </c>
      <c r="X53" s="5">
        <v>9.9713467048710605E-2</v>
      </c>
    </row>
    <row r="54" spans="1:24">
      <c r="A54" s="3">
        <v>8</v>
      </c>
      <c r="B54" s="5">
        <v>0.11845102505694761</v>
      </c>
      <c r="C54" s="5">
        <v>0.11210762331838565</v>
      </c>
      <c r="D54" s="5">
        <v>0.11276268580215275</v>
      </c>
      <c r="E54" s="5">
        <v>0.10609697551608258</v>
      </c>
      <c r="F54" s="5">
        <v>0.11897654584221748</v>
      </c>
      <c r="G54" s="5">
        <v>0.12658227848101267</v>
      </c>
      <c r="H54" s="5">
        <v>0.1372426699937617</v>
      </c>
      <c r="I54" s="5">
        <v>0.13886671987230648</v>
      </c>
      <c r="J54" s="5">
        <v>0.10176991150442478</v>
      </c>
      <c r="K54" s="5">
        <v>0.14066496163682865</v>
      </c>
      <c r="L54" s="5">
        <v>0.14033613445378151</v>
      </c>
      <c r="M54" s="5">
        <v>0.12749706227967098</v>
      </c>
      <c r="N54" s="5">
        <v>0.14584543869843114</v>
      </c>
      <c r="O54" s="5">
        <v>0.14514407684098185</v>
      </c>
      <c r="P54" s="5">
        <v>0.14525745257452574</v>
      </c>
      <c r="Q54" s="5">
        <v>0.12545676004872108</v>
      </c>
      <c r="R54" s="5">
        <v>0.13574938574938575</v>
      </c>
      <c r="S54" s="5">
        <v>0.13117996044825314</v>
      </c>
      <c r="T54" s="5">
        <v>0.12390572390572391</v>
      </c>
      <c r="U54" s="5">
        <v>0.12734082397003746</v>
      </c>
      <c r="V54" s="5">
        <v>0.13708759954493743</v>
      </c>
      <c r="W54" s="5">
        <v>0.13225058004640372</v>
      </c>
      <c r="X54" s="5">
        <v>0.1318051575931232</v>
      </c>
    </row>
    <row r="55" spans="1:24">
      <c r="A55" s="3">
        <v>9</v>
      </c>
      <c r="B55" s="5">
        <v>0.14350797266514806</v>
      </c>
      <c r="C55" s="5">
        <v>0.12306925759840558</v>
      </c>
      <c r="D55" s="5">
        <v>0.12711430035879037</v>
      </c>
      <c r="E55" s="5">
        <v>0.13202112337974076</v>
      </c>
      <c r="F55" s="5">
        <v>0.14285714285714285</v>
      </c>
      <c r="G55" s="5">
        <v>0.12548156301596036</v>
      </c>
      <c r="H55" s="5">
        <v>0.12476606363069245</v>
      </c>
      <c r="I55" s="5">
        <v>0.12529928172386273</v>
      </c>
      <c r="J55" s="5">
        <v>0.11504424778761062</v>
      </c>
      <c r="K55" s="5">
        <v>0.14322250639386189</v>
      </c>
      <c r="L55" s="5">
        <v>0.12436974789915967</v>
      </c>
      <c r="M55" s="5">
        <v>0.14277320799059928</v>
      </c>
      <c r="N55" s="5">
        <v>0.14235909355026147</v>
      </c>
      <c r="O55" s="5">
        <v>0.13233724653148346</v>
      </c>
      <c r="P55" s="5">
        <v>0.14037940379403793</v>
      </c>
      <c r="Q55" s="5">
        <v>0.14555420219244825</v>
      </c>
      <c r="R55" s="5">
        <v>0.13882063882063883</v>
      </c>
      <c r="S55" s="5">
        <v>0.17073170731707318</v>
      </c>
      <c r="T55" s="5">
        <v>0.15353535353535352</v>
      </c>
      <c r="U55" s="5">
        <v>0.13795255930087391</v>
      </c>
      <c r="V55" s="5">
        <v>0.15073947667804324</v>
      </c>
      <c r="W55" s="5">
        <v>0.14559164733178653</v>
      </c>
      <c r="X55" s="5">
        <v>0.12550143266475644</v>
      </c>
    </row>
    <row r="56" spans="1:24">
      <c r="A56" s="3">
        <v>10</v>
      </c>
      <c r="B56" s="5">
        <v>0.16287015945330297</v>
      </c>
      <c r="C56" s="5">
        <v>0.16791230692575984</v>
      </c>
      <c r="D56" s="5">
        <v>0.16094310609943618</v>
      </c>
      <c r="E56" s="5">
        <v>0.15602496399423907</v>
      </c>
      <c r="F56" s="5">
        <v>0.16801705756929639</v>
      </c>
      <c r="G56" s="5">
        <v>0.15905338470005503</v>
      </c>
      <c r="H56" s="5">
        <v>0.17592014971927636</v>
      </c>
      <c r="I56" s="5">
        <v>0.174780526735834</v>
      </c>
      <c r="J56" s="5">
        <v>0.16371681415929204</v>
      </c>
      <c r="K56" s="5">
        <v>0.19948849104859334</v>
      </c>
      <c r="L56" s="5">
        <v>0.14285714285714285</v>
      </c>
      <c r="M56" s="5">
        <v>0.17978848413631021</v>
      </c>
      <c r="N56" s="5">
        <v>0.15456130156885531</v>
      </c>
      <c r="O56" s="5">
        <v>0.18409818569903949</v>
      </c>
      <c r="P56" s="5">
        <v>0.16585365853658537</v>
      </c>
      <c r="Q56" s="5">
        <v>0.18757612667478685</v>
      </c>
      <c r="R56" s="5">
        <v>0.18366093366093367</v>
      </c>
      <c r="S56" s="5">
        <v>0.1970995385629532</v>
      </c>
      <c r="T56" s="5">
        <v>0.2053872053872054</v>
      </c>
      <c r="U56" s="5">
        <v>0.21473158551810237</v>
      </c>
      <c r="V56" s="5">
        <v>0.20420932878270762</v>
      </c>
      <c r="W56" s="5">
        <v>0.21693735498839908</v>
      </c>
      <c r="X56" s="5">
        <v>0.1851002865329513</v>
      </c>
    </row>
    <row r="68" spans="1:24">
      <c r="A68" t="s">
        <v>26</v>
      </c>
    </row>
    <row r="69" spans="1:24">
      <c r="B69" s="1" t="s">
        <v>1</v>
      </c>
    </row>
    <row r="70" spans="1:24">
      <c r="B70" s="11">
        <v>42702</v>
      </c>
      <c r="C70" s="11">
        <v>42709</v>
      </c>
      <c r="D70" s="11">
        <v>42716</v>
      </c>
      <c r="E70" s="11">
        <v>42723</v>
      </c>
      <c r="F70" s="11">
        <v>42730</v>
      </c>
      <c r="G70" s="11">
        <v>42737</v>
      </c>
      <c r="H70" s="11">
        <v>42744</v>
      </c>
      <c r="I70" s="11">
        <v>42751</v>
      </c>
      <c r="J70" s="11">
        <v>42758</v>
      </c>
      <c r="K70" s="11">
        <v>42765</v>
      </c>
      <c r="L70" s="11">
        <v>42772</v>
      </c>
      <c r="M70" s="11">
        <v>42779</v>
      </c>
      <c r="N70" s="11">
        <v>42786</v>
      </c>
      <c r="O70" s="11">
        <v>42793</v>
      </c>
      <c r="P70" s="11">
        <v>42800</v>
      </c>
      <c r="Q70" s="11">
        <v>42807</v>
      </c>
      <c r="R70" s="11">
        <v>42814</v>
      </c>
      <c r="S70" s="11">
        <v>42821</v>
      </c>
      <c r="T70" s="11">
        <v>42828</v>
      </c>
      <c r="U70" s="11">
        <v>42835</v>
      </c>
      <c r="V70" s="11">
        <v>42842</v>
      </c>
      <c r="W70" s="11">
        <v>42849</v>
      </c>
      <c r="X70" s="11">
        <v>42856</v>
      </c>
    </row>
    <row r="71" spans="1:24">
      <c r="A71" t="s">
        <v>35</v>
      </c>
      <c r="B71" s="4">
        <v>7.7610867650552529E-2</v>
      </c>
      <c r="C71" s="4">
        <v>7.6032745517732481E-2</v>
      </c>
      <c r="D71" s="4">
        <v>7.6289330362414393E-2</v>
      </c>
      <c r="E71" s="4">
        <v>7.4930336603864847E-2</v>
      </c>
      <c r="F71" s="4">
        <v>7.7291580507354227E-2</v>
      </c>
      <c r="G71" s="4">
        <v>7.5253414318331172E-2</v>
      </c>
      <c r="H71" s="4">
        <v>7.8250448864103914E-2</v>
      </c>
      <c r="I71" s="4">
        <v>7.8991557785292654E-2</v>
      </c>
      <c r="J71" s="4">
        <v>7.3249971904343555E-2</v>
      </c>
      <c r="K71" s="4">
        <v>8.3933379028964958E-2</v>
      </c>
      <c r="L71" s="4">
        <v>7.5107635684971003E-2</v>
      </c>
      <c r="M71" s="4">
        <v>7.9718589192504852E-2</v>
      </c>
      <c r="N71" s="4">
        <v>7.5992000840080037E-2</v>
      </c>
      <c r="O71" s="4">
        <v>8.1498792859466221E-2</v>
      </c>
      <c r="P71" s="4">
        <v>7.7067866445335489E-2</v>
      </c>
      <c r="Q71" s="4">
        <v>8.1122120034714917E-2</v>
      </c>
      <c r="R71" s="4">
        <v>7.934971619465564E-2</v>
      </c>
      <c r="S71" s="4">
        <v>8.4363361383384197E-2</v>
      </c>
      <c r="T71" s="4">
        <v>8.4383745216555672E-2</v>
      </c>
      <c r="U71" s="4">
        <v>8.4970391181874341E-2</v>
      </c>
      <c r="V71" s="4">
        <v>8.4566930018262848E-2</v>
      </c>
      <c r="W71" s="4">
        <v>8.6162848998693545E-2</v>
      </c>
      <c r="X71" s="4">
        <v>8.0002591792237621E-2</v>
      </c>
    </row>
  </sheetData>
  <phoneticPr fontId="1" type="noConversion"/>
  <pageMargins left="0.7" right="0.7" top="0.75" bottom="0.75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2:BY45"/>
  <sheetViews>
    <sheetView workbookViewId="0">
      <selection activeCell="R39" sqref="R39"/>
    </sheetView>
  </sheetViews>
  <sheetFormatPr baseColWidth="10" defaultColWidth="8.83203125" defaultRowHeight="14"/>
  <cols>
    <col min="1" max="1" width="11.6640625" customWidth="1"/>
    <col min="2" max="3" width="20" customWidth="1"/>
    <col min="4" max="4" width="15" customWidth="1"/>
    <col min="5" max="5" width="16.1640625" customWidth="1"/>
    <col min="6" max="7" width="20" customWidth="1"/>
    <col min="8" max="8" width="15" customWidth="1"/>
    <col min="9" max="9" width="16.1640625" customWidth="1"/>
    <col min="10" max="10" width="19.5" customWidth="1"/>
    <col min="11" max="11" width="11.6640625" customWidth="1"/>
    <col min="12" max="12" width="26.6640625" customWidth="1"/>
    <col min="13" max="13" width="17.83203125" customWidth="1"/>
    <col min="14" max="14" width="26.6640625" customWidth="1"/>
    <col min="15" max="15" width="17.83203125" customWidth="1"/>
    <col min="17" max="17" width="11.6640625" customWidth="1"/>
    <col min="18" max="18" width="35.33203125" customWidth="1"/>
    <col min="19" max="19" width="22.83203125" customWidth="1"/>
    <col min="20" max="20" width="35.33203125" customWidth="1"/>
    <col min="21" max="21" width="22.83203125" customWidth="1"/>
    <col min="22" max="22" width="12.1640625" customWidth="1"/>
    <col min="23" max="23" width="11.6640625" customWidth="1"/>
    <col min="24" max="24" width="18.83203125" customWidth="1"/>
    <col min="25" max="25" width="20.1640625" customWidth="1"/>
    <col min="26" max="26" width="22.6640625" customWidth="1"/>
    <col min="27" max="27" width="18.83203125" customWidth="1"/>
    <col min="28" max="28" width="20.1640625" customWidth="1"/>
    <col min="29" max="29" width="22.6640625" bestFit="1" customWidth="1"/>
    <col min="30" max="30" width="22.5" customWidth="1"/>
    <col min="31" max="31" width="11.6640625" customWidth="1"/>
    <col min="32" max="32" width="14" customWidth="1"/>
    <col min="33" max="33" width="22.6640625" customWidth="1"/>
    <col min="34" max="34" width="14" customWidth="1"/>
    <col min="35" max="35" width="22.6640625" customWidth="1"/>
    <col min="37" max="37" width="11.6640625" customWidth="1"/>
    <col min="38" max="38" width="9.6640625" customWidth="1"/>
    <col min="39" max="39" width="5.5" customWidth="1"/>
    <col min="40" max="40" width="13.1640625" customWidth="1"/>
    <col min="41" max="41" width="12.6640625" customWidth="1"/>
    <col min="42" max="42" width="9.1640625" customWidth="1"/>
    <col min="43" max="43" width="11.6640625" customWidth="1"/>
    <col min="44" max="44" width="14" customWidth="1"/>
    <col min="45" max="45" width="22.6640625" customWidth="1"/>
    <col min="46" max="46" width="14" customWidth="1"/>
    <col min="47" max="47" width="22.6640625" customWidth="1"/>
    <col min="49" max="49" width="11.6640625" customWidth="1"/>
    <col min="50" max="51" width="9.6640625" customWidth="1"/>
    <col min="52" max="52" width="14.1640625" customWidth="1"/>
    <col min="53" max="54" width="9.6640625" customWidth="1"/>
    <col min="55" max="55" width="14.1640625" customWidth="1"/>
    <col min="57" max="57" width="11.6640625" customWidth="1"/>
    <col min="58" max="58" width="9.6640625" customWidth="1"/>
    <col min="59" max="67" width="4.5" customWidth="1"/>
    <col min="68" max="68" width="8.83203125" customWidth="1"/>
    <col min="69" max="77" width="7.5" customWidth="1"/>
  </cols>
  <sheetData>
    <row r="2" spans="1:77">
      <c r="A2">
        <v>1</v>
      </c>
      <c r="K2">
        <v>2</v>
      </c>
      <c r="Q2">
        <v>3</v>
      </c>
      <c r="W2">
        <v>5</v>
      </c>
      <c r="AE2">
        <v>6</v>
      </c>
      <c r="AK2">
        <v>7</v>
      </c>
    </row>
    <row r="3" spans="1:77">
      <c r="B3" s="1" t="s">
        <v>1</v>
      </c>
      <c r="L3" s="1" t="s">
        <v>1</v>
      </c>
      <c r="R3" s="1" t="s">
        <v>1</v>
      </c>
      <c r="X3" s="1" t="s">
        <v>1</v>
      </c>
      <c r="AF3" s="1" t="s">
        <v>1</v>
      </c>
      <c r="AL3" s="1" t="s">
        <v>1</v>
      </c>
      <c r="AR3" s="1" t="s">
        <v>1</v>
      </c>
      <c r="AX3" s="1" t="s">
        <v>1</v>
      </c>
      <c r="BF3" s="1" t="s">
        <v>1</v>
      </c>
    </row>
    <row r="4" spans="1:77">
      <c r="B4" t="s">
        <v>2</v>
      </c>
      <c r="F4" t="s">
        <v>3</v>
      </c>
      <c r="L4" t="s">
        <v>2</v>
      </c>
      <c r="N4" t="s">
        <v>3</v>
      </c>
      <c r="R4" t="s">
        <v>2</v>
      </c>
      <c r="T4" t="s">
        <v>3</v>
      </c>
      <c r="X4" t="s">
        <v>2</v>
      </c>
      <c r="AA4" t="s">
        <v>3</v>
      </c>
      <c r="AF4" t="s">
        <v>2</v>
      </c>
      <c r="AH4" t="s">
        <v>3</v>
      </c>
      <c r="AL4" t="s">
        <v>2</v>
      </c>
      <c r="AN4" t="s">
        <v>3</v>
      </c>
      <c r="AR4" t="s">
        <v>2</v>
      </c>
      <c r="AT4" t="s">
        <v>3</v>
      </c>
      <c r="AX4" t="s">
        <v>2</v>
      </c>
      <c r="BA4" t="s">
        <v>3</v>
      </c>
      <c r="BF4" t="s">
        <v>2</v>
      </c>
      <c r="BP4" t="s">
        <v>3</v>
      </c>
    </row>
    <row r="5" spans="1:77">
      <c r="A5" s="1" t="s">
        <v>0</v>
      </c>
      <c r="B5" t="s">
        <v>39</v>
      </c>
      <c r="C5" t="s">
        <v>51</v>
      </c>
      <c r="D5" t="s">
        <v>49</v>
      </c>
      <c r="E5" t="s">
        <v>52</v>
      </c>
      <c r="F5" t="s">
        <v>39</v>
      </c>
      <c r="G5" t="s">
        <v>51</v>
      </c>
      <c r="H5" t="s">
        <v>49</v>
      </c>
      <c r="I5" t="s">
        <v>52</v>
      </c>
      <c r="K5" s="1" t="s">
        <v>0</v>
      </c>
      <c r="L5" t="s">
        <v>46</v>
      </c>
      <c r="M5" t="s">
        <v>41</v>
      </c>
      <c r="N5" t="s">
        <v>46</v>
      </c>
      <c r="O5" t="s">
        <v>41</v>
      </c>
      <c r="Q5" s="1" t="s">
        <v>0</v>
      </c>
      <c r="R5" t="s">
        <v>55</v>
      </c>
      <c r="S5" t="s">
        <v>56</v>
      </c>
      <c r="T5" t="s">
        <v>55</v>
      </c>
      <c r="U5" t="s">
        <v>56</v>
      </c>
      <c r="W5" s="1" t="s">
        <v>0</v>
      </c>
      <c r="X5" t="s">
        <v>42</v>
      </c>
      <c r="Y5" t="s">
        <v>47</v>
      </c>
      <c r="Z5" t="s">
        <v>50</v>
      </c>
      <c r="AA5" t="s">
        <v>42</v>
      </c>
      <c r="AB5" t="s">
        <v>47</v>
      </c>
      <c r="AC5" t="s">
        <v>50</v>
      </c>
      <c r="AE5" s="1" t="s">
        <v>0</v>
      </c>
      <c r="AF5" t="s">
        <v>36</v>
      </c>
      <c r="AG5" t="s">
        <v>53</v>
      </c>
      <c r="AH5" t="s">
        <v>36</v>
      </c>
      <c r="AI5" t="s">
        <v>53</v>
      </c>
      <c r="AK5" s="1" t="s">
        <v>0</v>
      </c>
      <c r="AL5" t="s">
        <v>40</v>
      </c>
      <c r="AM5" t="s">
        <v>45</v>
      </c>
      <c r="AN5" t="s">
        <v>40</v>
      </c>
      <c r="AO5" t="s">
        <v>45</v>
      </c>
      <c r="AQ5" s="1" t="s">
        <v>0</v>
      </c>
      <c r="AR5" t="s">
        <v>43</v>
      </c>
      <c r="AS5" t="s">
        <v>37</v>
      </c>
      <c r="AT5" t="s">
        <v>43</v>
      </c>
      <c r="AU5" t="s">
        <v>37</v>
      </c>
      <c r="AW5" s="1" t="s">
        <v>0</v>
      </c>
      <c r="AX5" t="s">
        <v>48</v>
      </c>
      <c r="AY5" t="s">
        <v>44</v>
      </c>
      <c r="AZ5" t="s">
        <v>38</v>
      </c>
      <c r="BA5" t="s">
        <v>48</v>
      </c>
      <c r="BB5" t="s">
        <v>44</v>
      </c>
      <c r="BC5" t="s">
        <v>38</v>
      </c>
      <c r="BE5" s="1" t="s">
        <v>0</v>
      </c>
      <c r="BF5">
        <v>1</v>
      </c>
      <c r="BG5">
        <v>2</v>
      </c>
      <c r="BH5">
        <v>3</v>
      </c>
      <c r="BI5">
        <v>4</v>
      </c>
      <c r="BJ5">
        <v>5</v>
      </c>
      <c r="BK5">
        <v>6</v>
      </c>
      <c r="BL5">
        <v>7</v>
      </c>
      <c r="BM5">
        <v>8</v>
      </c>
      <c r="BN5">
        <v>9</v>
      </c>
      <c r="BO5">
        <v>10</v>
      </c>
      <c r="BP5">
        <v>1</v>
      </c>
      <c r="BQ5">
        <v>2</v>
      </c>
      <c r="BR5">
        <v>3</v>
      </c>
      <c r="BS5">
        <v>4</v>
      </c>
      <c r="BT5">
        <v>5</v>
      </c>
      <c r="BU5">
        <v>6</v>
      </c>
      <c r="BV5">
        <v>7</v>
      </c>
      <c r="BW5">
        <v>8</v>
      </c>
      <c r="BX5">
        <v>9</v>
      </c>
      <c r="BY5">
        <v>10</v>
      </c>
    </row>
    <row r="6" spans="1:77">
      <c r="A6" s="2">
        <v>42702</v>
      </c>
      <c r="B6" s="4">
        <v>272</v>
      </c>
      <c r="C6" s="4">
        <v>809</v>
      </c>
      <c r="D6" s="4">
        <v>62</v>
      </c>
      <c r="E6" s="4">
        <v>613</v>
      </c>
      <c r="F6" s="5">
        <v>0.83088235294117652</v>
      </c>
      <c r="G6" s="5">
        <v>0.83807169344870214</v>
      </c>
      <c r="H6" s="5">
        <v>0.82258064516129037</v>
      </c>
      <c r="I6" s="5">
        <v>0.8923327895595432</v>
      </c>
      <c r="K6" s="2">
        <v>42702</v>
      </c>
      <c r="L6" s="4">
        <v>1531</v>
      </c>
      <c r="M6" s="4">
        <v>225</v>
      </c>
      <c r="N6" s="5">
        <v>0.84781188765512738</v>
      </c>
      <c r="O6" s="5">
        <v>0.90666666666666662</v>
      </c>
      <c r="Q6" s="2">
        <v>42702</v>
      </c>
      <c r="R6" s="4">
        <v>1364</v>
      </c>
      <c r="S6" s="4">
        <v>392</v>
      </c>
      <c r="T6" s="5">
        <v>0.84530791788856308</v>
      </c>
      <c r="U6" s="5">
        <v>0.89030612244897955</v>
      </c>
      <c r="W6" s="2">
        <v>42702</v>
      </c>
      <c r="X6" s="4">
        <v>352</v>
      </c>
      <c r="Y6" s="4">
        <v>321</v>
      </c>
      <c r="Z6" s="4">
        <v>1083</v>
      </c>
      <c r="AA6" s="5">
        <v>0.85511363636363635</v>
      </c>
      <c r="AB6" s="5">
        <v>0.76635514018691586</v>
      </c>
      <c r="AC6" s="5">
        <v>0.88180978762696216</v>
      </c>
      <c r="AD6" s="5"/>
      <c r="AE6" s="2">
        <v>42702</v>
      </c>
      <c r="AF6" s="4">
        <v>897</v>
      </c>
      <c r="AG6" s="4">
        <v>859</v>
      </c>
      <c r="AH6" s="5">
        <v>0.87290969899665549</v>
      </c>
      <c r="AI6" s="5">
        <v>0.83701979045401631</v>
      </c>
      <c r="AK6" s="2">
        <v>42702</v>
      </c>
      <c r="AL6" s="4">
        <v>419</v>
      </c>
      <c r="AM6" s="4">
        <v>1337</v>
      </c>
      <c r="AN6" s="5">
        <v>0.8353221957040573</v>
      </c>
      <c r="AO6" s="5">
        <v>0.8616305160807779</v>
      </c>
      <c r="AQ6" s="2">
        <v>42702</v>
      </c>
      <c r="AR6" s="4">
        <v>1295</v>
      </c>
      <c r="AS6" s="4">
        <v>461</v>
      </c>
      <c r="AT6" s="5">
        <v>0.84710424710424714</v>
      </c>
      <c r="AU6" s="5">
        <v>0.87852494577006512</v>
      </c>
      <c r="AW6" s="2">
        <v>42702</v>
      </c>
      <c r="AX6" s="4">
        <v>148</v>
      </c>
      <c r="AY6" s="4">
        <v>367</v>
      </c>
      <c r="AZ6" s="4">
        <v>1241</v>
      </c>
      <c r="BA6" s="5">
        <v>0.86486486486486491</v>
      </c>
      <c r="BB6" s="5">
        <v>0.85558583106267028</v>
      </c>
      <c r="BC6" s="5">
        <v>0.85414987912973406</v>
      </c>
      <c r="BE6" s="2">
        <v>42702</v>
      </c>
      <c r="BF6" s="4">
        <v>90</v>
      </c>
      <c r="BG6" s="4">
        <v>83</v>
      </c>
      <c r="BH6" s="4">
        <v>142</v>
      </c>
      <c r="BI6" s="4">
        <v>163</v>
      </c>
      <c r="BJ6" s="4">
        <v>109</v>
      </c>
      <c r="BK6" s="4">
        <v>267</v>
      </c>
      <c r="BL6" s="4">
        <v>156</v>
      </c>
      <c r="BM6" s="4">
        <v>208</v>
      </c>
      <c r="BN6" s="4">
        <v>252</v>
      </c>
      <c r="BO6" s="4">
        <v>286</v>
      </c>
      <c r="BP6" s="5">
        <v>0.91111111111111109</v>
      </c>
      <c r="BQ6" s="5">
        <v>0.89156626506024095</v>
      </c>
      <c r="BR6" s="5">
        <v>0.90140845070422537</v>
      </c>
      <c r="BS6" s="5">
        <v>0.89570552147239269</v>
      </c>
      <c r="BT6" s="5">
        <v>0.86238532110091748</v>
      </c>
      <c r="BU6" s="5">
        <v>0.90636704119850187</v>
      </c>
      <c r="BV6" s="5">
        <v>0.8141025641025641</v>
      </c>
      <c r="BW6" s="5">
        <v>0.86057692307692313</v>
      </c>
      <c r="BX6" s="5">
        <v>0.86507936507936511</v>
      </c>
      <c r="BY6" s="5">
        <v>0.74125874125874125</v>
      </c>
    </row>
    <row r="7" spans="1:77">
      <c r="A7" s="2">
        <v>42709</v>
      </c>
      <c r="B7" s="4">
        <v>322</v>
      </c>
      <c r="C7" s="4">
        <v>833</v>
      </c>
      <c r="D7" s="4">
        <v>106</v>
      </c>
      <c r="E7" s="4">
        <v>746</v>
      </c>
      <c r="F7" s="5">
        <v>0.85403726708074534</v>
      </c>
      <c r="G7" s="5">
        <v>0.86194477791116442</v>
      </c>
      <c r="H7" s="5">
        <v>0.76415094339622647</v>
      </c>
      <c r="I7" s="5">
        <v>0.87801608579088475</v>
      </c>
      <c r="K7" s="2">
        <v>42709</v>
      </c>
      <c r="L7" s="4">
        <v>1712</v>
      </c>
      <c r="M7" s="4">
        <v>295</v>
      </c>
      <c r="N7" s="5">
        <v>0.86098130841121501</v>
      </c>
      <c r="O7" s="5">
        <v>0.86440677966101698</v>
      </c>
      <c r="Q7" s="2">
        <v>42709</v>
      </c>
      <c r="R7" s="4">
        <v>1501</v>
      </c>
      <c r="S7" s="4">
        <v>506</v>
      </c>
      <c r="T7" s="5">
        <v>0.85609593604263823</v>
      </c>
      <c r="U7" s="5">
        <v>0.87747035573122534</v>
      </c>
      <c r="W7" s="2">
        <v>42709</v>
      </c>
      <c r="X7" s="4">
        <v>370</v>
      </c>
      <c r="Y7" s="4">
        <v>367</v>
      </c>
      <c r="Z7" s="4">
        <v>1270</v>
      </c>
      <c r="AA7" s="5">
        <v>0.88378378378378375</v>
      </c>
      <c r="AB7" s="5">
        <v>0.75204359673024523</v>
      </c>
      <c r="AC7" s="5">
        <v>0.88661417322834646</v>
      </c>
      <c r="AD7" s="5"/>
      <c r="AE7" s="2">
        <v>42709</v>
      </c>
      <c r="AF7" s="4">
        <v>1101</v>
      </c>
      <c r="AG7" s="4">
        <v>906</v>
      </c>
      <c r="AH7" s="5">
        <v>0.86466848319709355</v>
      </c>
      <c r="AI7" s="5">
        <v>0.85761589403973515</v>
      </c>
      <c r="AK7" s="2">
        <v>42709</v>
      </c>
      <c r="AL7" s="4">
        <v>496</v>
      </c>
      <c r="AM7" s="4">
        <v>1511</v>
      </c>
      <c r="AN7" s="5">
        <v>0.83064516129032262</v>
      </c>
      <c r="AO7" s="5">
        <v>0.87160820648577098</v>
      </c>
      <c r="AQ7" s="2">
        <v>42709</v>
      </c>
      <c r="AR7" s="4">
        <v>1504</v>
      </c>
      <c r="AS7" s="4">
        <v>503</v>
      </c>
      <c r="AT7" s="5">
        <v>0.86369680851063835</v>
      </c>
      <c r="AU7" s="5">
        <v>0.85487077534791256</v>
      </c>
      <c r="AW7" s="2">
        <v>42709</v>
      </c>
      <c r="AX7" s="4">
        <v>184</v>
      </c>
      <c r="AY7" s="4">
        <v>388</v>
      </c>
      <c r="AZ7" s="4">
        <v>1435</v>
      </c>
      <c r="BA7" s="5">
        <v>0.91304347826086951</v>
      </c>
      <c r="BB7" s="5">
        <v>0.82216494845360821</v>
      </c>
      <c r="BC7" s="5">
        <v>0.86550522648083628</v>
      </c>
      <c r="BE7" s="2">
        <v>42709</v>
      </c>
      <c r="BF7" s="4">
        <v>123</v>
      </c>
      <c r="BG7" s="4">
        <v>108</v>
      </c>
      <c r="BH7" s="4">
        <v>201</v>
      </c>
      <c r="BI7" s="4">
        <v>165</v>
      </c>
      <c r="BJ7" s="4">
        <v>107</v>
      </c>
      <c r="BK7" s="4">
        <v>332</v>
      </c>
      <c r="BL7" s="4">
        <v>162</v>
      </c>
      <c r="BM7" s="4">
        <v>225</v>
      </c>
      <c r="BN7" s="4">
        <v>247</v>
      </c>
      <c r="BO7" s="4">
        <v>337</v>
      </c>
      <c r="BP7" s="5">
        <v>0.92682926829268297</v>
      </c>
      <c r="BQ7" s="5">
        <v>0.85185185185185186</v>
      </c>
      <c r="BR7" s="5">
        <v>0.89552238805970152</v>
      </c>
      <c r="BS7" s="5">
        <v>0.89090909090909087</v>
      </c>
      <c r="BT7" s="5">
        <v>0.87850467289719625</v>
      </c>
      <c r="BU7" s="5">
        <v>0.87349397590361444</v>
      </c>
      <c r="BV7" s="5">
        <v>0.90740740740740744</v>
      </c>
      <c r="BW7" s="5">
        <v>0.87555555555555553</v>
      </c>
      <c r="BX7" s="5">
        <v>0.8582995951417004</v>
      </c>
      <c r="BY7" s="5">
        <v>0.75964391691394662</v>
      </c>
    </row>
    <row r="8" spans="1:77">
      <c r="A8" s="2">
        <v>42716</v>
      </c>
      <c r="B8" s="4">
        <v>307</v>
      </c>
      <c r="C8" s="4">
        <v>849</v>
      </c>
      <c r="D8" s="4">
        <v>99</v>
      </c>
      <c r="E8" s="4">
        <v>696</v>
      </c>
      <c r="F8" s="5">
        <v>0.87622149837133545</v>
      </c>
      <c r="G8" s="5">
        <v>0.83274440518256776</v>
      </c>
      <c r="H8" s="5">
        <v>0.90909090909090906</v>
      </c>
      <c r="I8" s="5">
        <v>0.89367816091954022</v>
      </c>
      <c r="K8" s="2">
        <v>42716</v>
      </c>
      <c r="L8" s="4">
        <v>1677</v>
      </c>
      <c r="M8" s="4">
        <v>274</v>
      </c>
      <c r="N8" s="5">
        <v>0.85867620751341678</v>
      </c>
      <c r="O8" s="5">
        <v>0.9051094890510949</v>
      </c>
      <c r="Q8" s="2">
        <v>42716</v>
      </c>
      <c r="R8" s="4">
        <v>1478</v>
      </c>
      <c r="S8" s="4">
        <v>473</v>
      </c>
      <c r="T8" s="5">
        <v>0.85385656292286871</v>
      </c>
      <c r="U8" s="5">
        <v>0.90063424947145876</v>
      </c>
      <c r="W8" s="2">
        <v>42716</v>
      </c>
      <c r="X8" s="4">
        <v>382</v>
      </c>
      <c r="Y8" s="4">
        <v>350</v>
      </c>
      <c r="Z8" s="4">
        <v>1219</v>
      </c>
      <c r="AA8" s="5">
        <v>0.86649214659685869</v>
      </c>
      <c r="AB8" s="5">
        <v>0.77142857142857146</v>
      </c>
      <c r="AC8" s="5">
        <v>0.89171452009844132</v>
      </c>
      <c r="AD8" s="5"/>
      <c r="AE8" s="2">
        <v>42716</v>
      </c>
      <c r="AF8" s="4">
        <v>1002</v>
      </c>
      <c r="AG8" s="4">
        <v>949</v>
      </c>
      <c r="AH8" s="5">
        <v>0.86926147704590817</v>
      </c>
      <c r="AI8" s="5">
        <v>0.86090621707060067</v>
      </c>
      <c r="AK8" s="2">
        <v>42716</v>
      </c>
      <c r="AL8" s="4">
        <v>466</v>
      </c>
      <c r="AM8" s="4">
        <v>1485</v>
      </c>
      <c r="AN8" s="5">
        <v>0.86480686695278974</v>
      </c>
      <c r="AO8" s="5">
        <v>0.86531986531986527</v>
      </c>
      <c r="AQ8" s="2">
        <v>42716</v>
      </c>
      <c r="AR8" s="4">
        <v>1439</v>
      </c>
      <c r="AS8" s="4">
        <v>512</v>
      </c>
      <c r="AT8" s="5">
        <v>0.85892981236970123</v>
      </c>
      <c r="AU8" s="5">
        <v>0.8828125</v>
      </c>
      <c r="AW8" s="2">
        <v>42716</v>
      </c>
      <c r="AX8" s="4">
        <v>202</v>
      </c>
      <c r="AY8" s="4">
        <v>359</v>
      </c>
      <c r="AZ8" s="4">
        <v>1390</v>
      </c>
      <c r="BA8" s="5">
        <v>0.88118811881188119</v>
      </c>
      <c r="BB8" s="5">
        <v>0.8607242339832869</v>
      </c>
      <c r="BC8" s="5">
        <v>0.86402877697841729</v>
      </c>
      <c r="BE8" s="2">
        <v>42716</v>
      </c>
      <c r="BF8" s="4">
        <v>125</v>
      </c>
      <c r="BG8" s="4">
        <v>99</v>
      </c>
      <c r="BH8" s="4">
        <v>161</v>
      </c>
      <c r="BI8" s="4">
        <v>170</v>
      </c>
      <c r="BJ8" s="4">
        <v>122</v>
      </c>
      <c r="BK8" s="4">
        <v>308</v>
      </c>
      <c r="BL8" s="4">
        <v>184</v>
      </c>
      <c r="BM8" s="4">
        <v>220</v>
      </c>
      <c r="BN8" s="4">
        <v>248</v>
      </c>
      <c r="BO8" s="4">
        <v>314</v>
      </c>
      <c r="BP8" s="5">
        <v>0.93600000000000005</v>
      </c>
      <c r="BQ8" s="5">
        <v>0.90909090909090906</v>
      </c>
      <c r="BR8" s="5">
        <v>0.89440993788819878</v>
      </c>
      <c r="BS8" s="5">
        <v>0.87647058823529411</v>
      </c>
      <c r="BT8" s="5">
        <v>0.87704918032786883</v>
      </c>
      <c r="BU8" s="5">
        <v>0.88636363636363635</v>
      </c>
      <c r="BV8" s="5">
        <v>0.86413043478260865</v>
      </c>
      <c r="BW8" s="5">
        <v>0.88636363636363635</v>
      </c>
      <c r="BX8" s="5">
        <v>0.85080645161290325</v>
      </c>
      <c r="BY8" s="5">
        <v>0.77388535031847139</v>
      </c>
    </row>
    <row r="9" spans="1:77">
      <c r="A9" s="2">
        <v>42723</v>
      </c>
      <c r="B9" s="4">
        <v>366</v>
      </c>
      <c r="C9" s="4">
        <v>867</v>
      </c>
      <c r="D9" s="4">
        <v>90</v>
      </c>
      <c r="E9" s="4">
        <v>760</v>
      </c>
      <c r="F9" s="5">
        <v>0.86065573770491799</v>
      </c>
      <c r="G9" s="5">
        <v>0.83506343713956166</v>
      </c>
      <c r="H9" s="5">
        <v>0.85555555555555551</v>
      </c>
      <c r="I9" s="5">
        <v>0.88026315789473686</v>
      </c>
      <c r="K9" s="2">
        <v>42723</v>
      </c>
      <c r="L9" s="4">
        <v>1809</v>
      </c>
      <c r="M9" s="4">
        <v>274</v>
      </c>
      <c r="N9" s="5">
        <v>0.84853510226644557</v>
      </c>
      <c r="O9" s="5">
        <v>0.91240875912408759</v>
      </c>
      <c r="Q9" s="2">
        <v>42723</v>
      </c>
      <c r="R9" s="4">
        <v>1527</v>
      </c>
      <c r="S9" s="4">
        <v>556</v>
      </c>
      <c r="T9" s="5">
        <v>0.85330713817943682</v>
      </c>
      <c r="U9" s="5">
        <v>0.86690647482014394</v>
      </c>
      <c r="W9" s="2">
        <v>42723</v>
      </c>
      <c r="X9" s="4">
        <v>418</v>
      </c>
      <c r="Y9" s="4">
        <v>390</v>
      </c>
      <c r="Z9" s="4">
        <v>1275</v>
      </c>
      <c r="AA9" s="5">
        <v>0.88038277511961727</v>
      </c>
      <c r="AB9" s="5">
        <v>0.79230769230769227</v>
      </c>
      <c r="AC9" s="5">
        <v>0.86901960784313725</v>
      </c>
      <c r="AD9" s="5"/>
      <c r="AE9" s="2">
        <v>42723</v>
      </c>
      <c r="AF9" s="4">
        <v>1117</v>
      </c>
      <c r="AG9" s="4">
        <v>966</v>
      </c>
      <c r="AH9" s="5">
        <v>0.87108325872873771</v>
      </c>
      <c r="AI9" s="5">
        <v>0.84057971014492749</v>
      </c>
      <c r="AK9" s="2">
        <v>42723</v>
      </c>
      <c r="AL9" s="4">
        <v>454</v>
      </c>
      <c r="AM9" s="4">
        <v>1629</v>
      </c>
      <c r="AN9" s="5">
        <v>0.83480176211453749</v>
      </c>
      <c r="AO9" s="5">
        <v>0.86310620012277472</v>
      </c>
      <c r="AQ9" s="2">
        <v>42723</v>
      </c>
      <c r="AR9" s="4">
        <v>1534</v>
      </c>
      <c r="AS9" s="4">
        <v>549</v>
      </c>
      <c r="AT9" s="5">
        <v>0.85006518904823991</v>
      </c>
      <c r="AU9" s="5">
        <v>0.87613843351548271</v>
      </c>
      <c r="AW9" s="2">
        <v>42723</v>
      </c>
      <c r="AX9" s="4">
        <v>216</v>
      </c>
      <c r="AY9" s="4">
        <v>351</v>
      </c>
      <c r="AZ9" s="4">
        <v>1516</v>
      </c>
      <c r="BA9" s="5">
        <v>0.8842592592592593</v>
      </c>
      <c r="BB9" s="5">
        <v>0.85754985754985757</v>
      </c>
      <c r="BC9" s="5">
        <v>0.8529023746701847</v>
      </c>
      <c r="BE9" s="2">
        <v>42723</v>
      </c>
      <c r="BF9" s="4">
        <v>127</v>
      </c>
      <c r="BG9" s="4">
        <v>127</v>
      </c>
      <c r="BH9" s="4">
        <v>184</v>
      </c>
      <c r="BI9" s="4">
        <v>180</v>
      </c>
      <c r="BJ9" s="4">
        <v>120</v>
      </c>
      <c r="BK9" s="4">
        <v>308</v>
      </c>
      <c r="BL9" s="4">
        <v>216</v>
      </c>
      <c r="BM9" s="4">
        <v>221</v>
      </c>
      <c r="BN9" s="4">
        <v>275</v>
      </c>
      <c r="BO9" s="4">
        <v>325</v>
      </c>
      <c r="BP9" s="5">
        <v>0.90551181102362199</v>
      </c>
      <c r="BQ9" s="5">
        <v>0.90551181102362199</v>
      </c>
      <c r="BR9" s="5">
        <v>0.92391304347826086</v>
      </c>
      <c r="BS9" s="5">
        <v>0.88888888888888884</v>
      </c>
      <c r="BT9" s="5">
        <v>0.89166666666666672</v>
      </c>
      <c r="BU9" s="5">
        <v>0.8441558441558441</v>
      </c>
      <c r="BV9" s="5">
        <v>0.86111111111111116</v>
      </c>
      <c r="BW9" s="5">
        <v>0.86425339366515841</v>
      </c>
      <c r="BX9" s="5">
        <v>0.81818181818181823</v>
      </c>
      <c r="BY9" s="5">
        <v>0.78769230769230769</v>
      </c>
    </row>
    <row r="10" spans="1:77">
      <c r="A10" s="2">
        <v>42730</v>
      </c>
      <c r="B10" s="4">
        <v>351</v>
      </c>
      <c r="C10" s="4">
        <v>981</v>
      </c>
      <c r="D10" s="4">
        <v>116</v>
      </c>
      <c r="E10" s="4">
        <v>897</v>
      </c>
      <c r="F10" s="5">
        <v>0.81766381766381768</v>
      </c>
      <c r="G10" s="5">
        <v>0.83282364933741082</v>
      </c>
      <c r="H10" s="5">
        <v>0.87068965517241381</v>
      </c>
      <c r="I10" s="5">
        <v>0.850613154960981</v>
      </c>
      <c r="K10" s="2">
        <v>42730</v>
      </c>
      <c r="L10" s="4">
        <v>1992</v>
      </c>
      <c r="M10" s="4">
        <v>353</v>
      </c>
      <c r="N10" s="5">
        <v>0.83785140562248994</v>
      </c>
      <c r="O10" s="5">
        <v>0.84702549575070818</v>
      </c>
      <c r="Q10" s="2">
        <v>42730</v>
      </c>
      <c r="R10" s="4">
        <v>1727</v>
      </c>
      <c r="S10" s="4">
        <v>618</v>
      </c>
      <c r="T10" s="5">
        <v>0.82918355529820498</v>
      </c>
      <c r="U10" s="5">
        <v>0.8673139158576052</v>
      </c>
      <c r="W10" s="2">
        <v>42730</v>
      </c>
      <c r="X10" s="4">
        <v>502</v>
      </c>
      <c r="Y10" s="4">
        <v>433</v>
      </c>
      <c r="Z10" s="4">
        <v>1410</v>
      </c>
      <c r="AA10" s="5">
        <v>0.83266932270916338</v>
      </c>
      <c r="AB10" s="5">
        <v>0.78521939953810627</v>
      </c>
      <c r="AC10" s="5">
        <v>0.85815602836879434</v>
      </c>
      <c r="AD10" s="5"/>
      <c r="AE10" s="2">
        <v>42730</v>
      </c>
      <c r="AF10" s="4">
        <v>1129</v>
      </c>
      <c r="AG10" s="4">
        <v>1216</v>
      </c>
      <c r="AH10" s="5">
        <v>0.83879539415411863</v>
      </c>
      <c r="AI10" s="5">
        <v>0.83963815789473684</v>
      </c>
      <c r="AK10" s="2">
        <v>42730</v>
      </c>
      <c r="AL10" s="4">
        <v>529</v>
      </c>
      <c r="AM10" s="4">
        <v>1816</v>
      </c>
      <c r="AN10" s="5">
        <v>0.82419659735349715</v>
      </c>
      <c r="AO10" s="5">
        <v>0.84361233480176212</v>
      </c>
      <c r="AQ10" s="2">
        <v>42730</v>
      </c>
      <c r="AR10" s="4">
        <v>1743</v>
      </c>
      <c r="AS10" s="4">
        <v>602</v>
      </c>
      <c r="AT10" s="5">
        <v>0.83132530120481929</v>
      </c>
      <c r="AU10" s="5">
        <v>0.86212624584717612</v>
      </c>
      <c r="AW10" s="2">
        <v>42730</v>
      </c>
      <c r="AX10" s="4">
        <v>234</v>
      </c>
      <c r="AY10" s="4">
        <v>501</v>
      </c>
      <c r="AZ10" s="4">
        <v>1610</v>
      </c>
      <c r="BA10" s="5">
        <v>0.8504273504273504</v>
      </c>
      <c r="BB10" s="5">
        <v>0.81636726546906191</v>
      </c>
      <c r="BC10" s="5">
        <v>0.84472049689440998</v>
      </c>
      <c r="BE10" s="2">
        <v>42730</v>
      </c>
      <c r="BF10" s="4">
        <v>156</v>
      </c>
      <c r="BG10" s="4">
        <v>116</v>
      </c>
      <c r="BH10" s="4">
        <v>204</v>
      </c>
      <c r="BI10" s="4">
        <v>195</v>
      </c>
      <c r="BJ10" s="4">
        <v>110</v>
      </c>
      <c r="BK10" s="4">
        <v>363</v>
      </c>
      <c r="BL10" s="4">
        <v>193</v>
      </c>
      <c r="BM10" s="4">
        <v>279</v>
      </c>
      <c r="BN10" s="4">
        <v>335</v>
      </c>
      <c r="BO10" s="4">
        <v>394</v>
      </c>
      <c r="BP10" s="5">
        <v>0.85256410256410253</v>
      </c>
      <c r="BQ10" s="5">
        <v>0.87931034482758619</v>
      </c>
      <c r="BR10" s="5">
        <v>0.85784313725490191</v>
      </c>
      <c r="BS10" s="5">
        <v>0.84102564102564104</v>
      </c>
      <c r="BT10" s="5">
        <v>0.81818181818181823</v>
      </c>
      <c r="BU10" s="5">
        <v>0.87052341597796146</v>
      </c>
      <c r="BV10" s="5">
        <v>0.84974093264248707</v>
      </c>
      <c r="BW10" s="5">
        <v>0.84587813620071683</v>
      </c>
      <c r="BX10" s="5">
        <v>0.86865671641791042</v>
      </c>
      <c r="BY10" s="5">
        <v>0.75380710659898476</v>
      </c>
    </row>
    <row r="11" spans="1:77">
      <c r="A11" s="2">
        <v>42737</v>
      </c>
      <c r="B11" s="4">
        <v>291</v>
      </c>
      <c r="C11" s="4">
        <v>736</v>
      </c>
      <c r="D11" s="4">
        <v>79</v>
      </c>
      <c r="E11" s="4">
        <v>711</v>
      </c>
      <c r="F11" s="5">
        <v>0.79725085910652926</v>
      </c>
      <c r="G11" s="5">
        <v>0.82744565217391308</v>
      </c>
      <c r="H11" s="5">
        <v>0.79746835443037978</v>
      </c>
      <c r="I11" s="5">
        <v>0.85654008438818563</v>
      </c>
      <c r="K11" s="2">
        <v>42737</v>
      </c>
      <c r="L11" s="4">
        <v>1523</v>
      </c>
      <c r="M11" s="4">
        <v>294</v>
      </c>
      <c r="N11" s="5">
        <v>0.82994090610636906</v>
      </c>
      <c r="O11" s="5">
        <v>0.84693877551020413</v>
      </c>
      <c r="Q11" s="2">
        <v>42737</v>
      </c>
      <c r="R11" s="4">
        <v>1336</v>
      </c>
      <c r="S11" s="4">
        <v>481</v>
      </c>
      <c r="T11" s="5">
        <v>0.82335329341317365</v>
      </c>
      <c r="U11" s="5">
        <v>0.85862785862785862</v>
      </c>
      <c r="W11" s="2">
        <v>42737</v>
      </c>
      <c r="X11" s="4">
        <v>373</v>
      </c>
      <c r="Y11" s="4">
        <v>352</v>
      </c>
      <c r="Z11" s="4">
        <v>1092</v>
      </c>
      <c r="AA11" s="5">
        <v>0.83378016085790885</v>
      </c>
      <c r="AB11" s="5">
        <v>0.72727272727272729</v>
      </c>
      <c r="AC11" s="5">
        <v>0.86630036630036633</v>
      </c>
      <c r="AD11" s="5"/>
      <c r="AE11" s="2">
        <v>42737</v>
      </c>
      <c r="AF11" s="4">
        <v>926</v>
      </c>
      <c r="AG11" s="4">
        <v>891</v>
      </c>
      <c r="AH11" s="5">
        <v>0.84125269978401729</v>
      </c>
      <c r="AI11" s="5">
        <v>0.82379349046015715</v>
      </c>
      <c r="AK11" s="2">
        <v>42737</v>
      </c>
      <c r="AL11" s="4">
        <v>364</v>
      </c>
      <c r="AM11" s="4">
        <v>1453</v>
      </c>
      <c r="AN11" s="5">
        <v>0.80494505494505497</v>
      </c>
      <c r="AO11" s="5">
        <v>0.83964211975223679</v>
      </c>
      <c r="AQ11" s="2">
        <v>42737</v>
      </c>
      <c r="AR11" s="4">
        <v>1395</v>
      </c>
      <c r="AS11" s="4">
        <v>422</v>
      </c>
      <c r="AT11" s="5">
        <v>0.83082437275985666</v>
      </c>
      <c r="AU11" s="5">
        <v>0.83886255924170616</v>
      </c>
      <c r="AW11" s="2">
        <v>42737</v>
      </c>
      <c r="AX11" s="4">
        <v>157</v>
      </c>
      <c r="AY11" s="4">
        <v>373</v>
      </c>
      <c r="AZ11" s="4">
        <v>1287</v>
      </c>
      <c r="BA11" s="5">
        <v>0.87261146496815289</v>
      </c>
      <c r="BB11" s="5">
        <v>0.83109919571045576</v>
      </c>
      <c r="BC11" s="5">
        <v>0.82828282828282829</v>
      </c>
      <c r="BE11" s="2">
        <v>42737</v>
      </c>
      <c r="BF11" s="4">
        <v>103</v>
      </c>
      <c r="BG11" s="4">
        <v>95</v>
      </c>
      <c r="BH11" s="4">
        <v>168</v>
      </c>
      <c r="BI11" s="4">
        <v>147</v>
      </c>
      <c r="BJ11" s="4">
        <v>112</v>
      </c>
      <c r="BK11" s="4">
        <v>296</v>
      </c>
      <c r="BL11" s="4">
        <v>149</v>
      </c>
      <c r="BM11" s="4">
        <v>230</v>
      </c>
      <c r="BN11" s="4">
        <v>228</v>
      </c>
      <c r="BO11" s="4">
        <v>289</v>
      </c>
      <c r="BP11" s="5">
        <v>0.88349514563106801</v>
      </c>
      <c r="BQ11" s="5">
        <v>0.88421052631578945</v>
      </c>
      <c r="BR11" s="5">
        <v>0.86904761904761907</v>
      </c>
      <c r="BS11" s="5">
        <v>0.86394557823129248</v>
      </c>
      <c r="BT11" s="5">
        <v>0.8571428571428571</v>
      </c>
      <c r="BU11" s="5">
        <v>0.875</v>
      </c>
      <c r="BV11" s="5">
        <v>0.87919463087248317</v>
      </c>
      <c r="BW11" s="5">
        <v>0.81739130434782614</v>
      </c>
      <c r="BX11" s="5">
        <v>0.78508771929824561</v>
      </c>
      <c r="BY11" s="5">
        <v>0.73356401384083048</v>
      </c>
    </row>
    <row r="12" spans="1:77">
      <c r="A12" s="2">
        <v>42744</v>
      </c>
      <c r="B12" s="4">
        <v>231</v>
      </c>
      <c r="C12" s="4">
        <v>696</v>
      </c>
      <c r="D12" s="4">
        <v>70</v>
      </c>
      <c r="E12" s="4">
        <v>606</v>
      </c>
      <c r="F12" s="5">
        <v>0.83116883116883122</v>
      </c>
      <c r="G12" s="5">
        <v>0.79166666666666663</v>
      </c>
      <c r="H12" s="5">
        <v>0.81428571428571428</v>
      </c>
      <c r="I12" s="5">
        <v>0.85643564356435642</v>
      </c>
      <c r="K12" s="2">
        <v>42744</v>
      </c>
      <c r="L12" s="4">
        <v>1384</v>
      </c>
      <c r="M12" s="4">
        <v>219</v>
      </c>
      <c r="N12" s="5">
        <v>0.8222543352601156</v>
      </c>
      <c r="O12" s="5">
        <v>0.82648401826484019</v>
      </c>
      <c r="Q12" s="2">
        <v>42744</v>
      </c>
      <c r="R12" s="4">
        <v>1165</v>
      </c>
      <c r="S12" s="4">
        <v>438</v>
      </c>
      <c r="T12" s="5">
        <v>0.81802575107296138</v>
      </c>
      <c r="U12" s="5">
        <v>0.83561643835616439</v>
      </c>
      <c r="W12" s="2">
        <v>42744</v>
      </c>
      <c r="X12" s="4">
        <v>348</v>
      </c>
      <c r="Y12" s="4">
        <v>347</v>
      </c>
      <c r="Z12" s="4">
        <v>908</v>
      </c>
      <c r="AA12" s="5">
        <v>0.81034482758620685</v>
      </c>
      <c r="AB12" s="5">
        <v>0.75504322766570608</v>
      </c>
      <c r="AC12" s="5">
        <v>0.8535242290748899</v>
      </c>
      <c r="AD12" s="5"/>
      <c r="AE12" s="2">
        <v>42744</v>
      </c>
      <c r="AF12" s="4">
        <v>806</v>
      </c>
      <c r="AG12" s="4">
        <v>797</v>
      </c>
      <c r="AH12" s="5">
        <v>0.83374689826302728</v>
      </c>
      <c r="AI12" s="5">
        <v>0.8117942283563363</v>
      </c>
      <c r="AK12" s="2">
        <v>42744</v>
      </c>
      <c r="AL12" s="4">
        <v>294</v>
      </c>
      <c r="AM12" s="4">
        <v>1309</v>
      </c>
      <c r="AN12" s="5">
        <v>0.82993197278911568</v>
      </c>
      <c r="AO12" s="5">
        <v>0.8212375859434683</v>
      </c>
      <c r="AQ12" s="2">
        <v>42744</v>
      </c>
      <c r="AR12" s="4">
        <v>1255</v>
      </c>
      <c r="AS12" s="4">
        <v>348</v>
      </c>
      <c r="AT12" s="5">
        <v>0.81513944223107571</v>
      </c>
      <c r="AU12" s="5">
        <v>0.85057471264367812</v>
      </c>
      <c r="AW12" s="2">
        <v>42744</v>
      </c>
      <c r="AX12" s="4">
        <v>136</v>
      </c>
      <c r="AY12" s="4">
        <v>327</v>
      </c>
      <c r="AZ12" s="4">
        <v>1140</v>
      </c>
      <c r="BA12" s="5">
        <v>0.86764705882352944</v>
      </c>
      <c r="BB12" s="5">
        <v>0.76452599388379205</v>
      </c>
      <c r="BC12" s="5">
        <v>0.83421052631578951</v>
      </c>
      <c r="BE12" s="2">
        <v>42744</v>
      </c>
      <c r="BF12" s="4">
        <v>71</v>
      </c>
      <c r="BG12" s="4">
        <v>74</v>
      </c>
      <c r="BH12" s="4">
        <v>136</v>
      </c>
      <c r="BI12" s="4">
        <v>130</v>
      </c>
      <c r="BJ12" s="4">
        <v>105</v>
      </c>
      <c r="BK12" s="4">
        <v>255</v>
      </c>
      <c r="BL12" s="4">
        <v>130</v>
      </c>
      <c r="BM12" s="4">
        <v>220</v>
      </c>
      <c r="BN12" s="4">
        <v>200</v>
      </c>
      <c r="BO12" s="4">
        <v>282</v>
      </c>
      <c r="BP12" s="5">
        <v>0.91549295774647887</v>
      </c>
      <c r="BQ12" s="5">
        <v>0.91891891891891897</v>
      </c>
      <c r="BR12" s="5">
        <v>0.83823529411764708</v>
      </c>
      <c r="BS12" s="5">
        <v>0.91538461538461535</v>
      </c>
      <c r="BT12" s="5">
        <v>0.78095238095238095</v>
      </c>
      <c r="BU12" s="5">
        <v>0.85490196078431369</v>
      </c>
      <c r="BV12" s="5">
        <v>0.83846153846153848</v>
      </c>
      <c r="BW12" s="5">
        <v>0.77272727272727271</v>
      </c>
      <c r="BX12" s="5">
        <v>0.77</v>
      </c>
      <c r="BY12" s="5">
        <v>0.78014184397163122</v>
      </c>
    </row>
    <row r="13" spans="1:77">
      <c r="A13" s="2">
        <v>42751</v>
      </c>
      <c r="B13" s="4">
        <v>196</v>
      </c>
      <c r="C13" s="4">
        <v>526</v>
      </c>
      <c r="D13" s="4">
        <v>65</v>
      </c>
      <c r="E13" s="4">
        <v>466</v>
      </c>
      <c r="F13" s="5">
        <v>0.8214285714285714</v>
      </c>
      <c r="G13" s="5">
        <v>0.78707224334600756</v>
      </c>
      <c r="H13" s="5">
        <v>0.69230769230769229</v>
      </c>
      <c r="I13" s="5">
        <v>0.86266094420600858</v>
      </c>
      <c r="K13" s="2">
        <v>42751</v>
      </c>
      <c r="L13" s="4">
        <v>1075</v>
      </c>
      <c r="M13" s="4">
        <v>178</v>
      </c>
      <c r="N13" s="5">
        <v>0.80930232558139537</v>
      </c>
      <c r="O13" s="5">
        <v>0.8539325842696629</v>
      </c>
      <c r="Q13" s="2">
        <v>42751</v>
      </c>
      <c r="R13" s="4">
        <v>923</v>
      </c>
      <c r="S13" s="4">
        <v>330</v>
      </c>
      <c r="T13" s="5">
        <v>0.80065005417118096</v>
      </c>
      <c r="U13" s="5">
        <v>0.85757575757575755</v>
      </c>
      <c r="W13" s="2">
        <v>42751</v>
      </c>
      <c r="X13" s="4">
        <v>268</v>
      </c>
      <c r="Y13" s="4">
        <v>268</v>
      </c>
      <c r="Z13" s="4">
        <v>717</v>
      </c>
      <c r="AA13" s="5">
        <v>0.82462686567164178</v>
      </c>
      <c r="AB13" s="5">
        <v>0.69029850746268662</v>
      </c>
      <c r="AC13" s="5">
        <v>0.85913528591352861</v>
      </c>
      <c r="AD13" s="5"/>
      <c r="AE13" s="2">
        <v>42751</v>
      </c>
      <c r="AF13" s="4">
        <v>629</v>
      </c>
      <c r="AG13" s="4">
        <v>624</v>
      </c>
      <c r="AH13" s="5">
        <v>0.80604133545310019</v>
      </c>
      <c r="AI13" s="5">
        <v>0.82532051282051277</v>
      </c>
      <c r="AK13" s="2">
        <v>42751</v>
      </c>
      <c r="AL13" s="4">
        <v>244</v>
      </c>
      <c r="AM13" s="4">
        <v>1009</v>
      </c>
      <c r="AN13" s="5">
        <v>0.79098360655737709</v>
      </c>
      <c r="AO13" s="5">
        <v>0.82160555004955405</v>
      </c>
      <c r="AQ13" s="2">
        <v>42751</v>
      </c>
      <c r="AR13" s="4">
        <v>987</v>
      </c>
      <c r="AS13" s="4">
        <v>266</v>
      </c>
      <c r="AT13" s="5">
        <v>0.81053698074974667</v>
      </c>
      <c r="AU13" s="5">
        <v>0.83458646616541354</v>
      </c>
      <c r="AW13" s="2">
        <v>42751</v>
      </c>
      <c r="AX13" s="4">
        <v>97</v>
      </c>
      <c r="AY13" s="4">
        <v>286</v>
      </c>
      <c r="AZ13" s="4">
        <v>870</v>
      </c>
      <c r="BA13" s="5">
        <v>0.87628865979381443</v>
      </c>
      <c r="BB13" s="5">
        <v>0.80069930069930073</v>
      </c>
      <c r="BC13" s="5">
        <v>0.81379310344827582</v>
      </c>
      <c r="BE13" s="2">
        <v>42751</v>
      </c>
      <c r="BF13" s="4">
        <v>43</v>
      </c>
      <c r="BG13" s="4">
        <v>58</v>
      </c>
      <c r="BH13" s="4">
        <v>105</v>
      </c>
      <c r="BI13" s="4">
        <v>111</v>
      </c>
      <c r="BJ13" s="4">
        <v>84</v>
      </c>
      <c r="BK13" s="4">
        <v>202</v>
      </c>
      <c r="BL13" s="4">
        <v>100</v>
      </c>
      <c r="BM13" s="4">
        <v>174</v>
      </c>
      <c r="BN13" s="4">
        <v>157</v>
      </c>
      <c r="BO13" s="4">
        <v>219</v>
      </c>
      <c r="BP13" s="5">
        <v>0.95348837209302328</v>
      </c>
      <c r="BQ13" s="5">
        <v>0.86206896551724133</v>
      </c>
      <c r="BR13" s="5">
        <v>0.84761904761904761</v>
      </c>
      <c r="BS13" s="5">
        <v>0.87387387387387383</v>
      </c>
      <c r="BT13" s="5">
        <v>0.84523809523809523</v>
      </c>
      <c r="BU13" s="5">
        <v>0.86138613861386137</v>
      </c>
      <c r="BV13" s="5">
        <v>0.84</v>
      </c>
      <c r="BW13" s="5">
        <v>0.83908045977011492</v>
      </c>
      <c r="BX13" s="5">
        <v>0.75159235668789814</v>
      </c>
      <c r="BY13" s="5">
        <v>0.69406392694063923</v>
      </c>
    </row>
    <row r="14" spans="1:77">
      <c r="A14" s="2">
        <v>42758</v>
      </c>
      <c r="B14" s="4">
        <v>38</v>
      </c>
      <c r="C14" s="4">
        <v>98</v>
      </c>
      <c r="D14" s="4">
        <v>8</v>
      </c>
      <c r="E14" s="4">
        <v>82</v>
      </c>
      <c r="F14" s="5">
        <v>0.78947368421052633</v>
      </c>
      <c r="G14" s="5">
        <v>0.77551020408163263</v>
      </c>
      <c r="H14" s="5">
        <v>0.875</v>
      </c>
      <c r="I14" s="5">
        <v>0.87804878048780488</v>
      </c>
      <c r="K14" s="2">
        <v>42758</v>
      </c>
      <c r="L14" s="4">
        <v>181</v>
      </c>
      <c r="M14" s="4">
        <v>45</v>
      </c>
      <c r="N14" s="5">
        <v>0.79558011049723754</v>
      </c>
      <c r="O14" s="5">
        <v>0.91111111111111109</v>
      </c>
      <c r="Q14" s="2">
        <v>42758</v>
      </c>
      <c r="R14" s="4">
        <v>168</v>
      </c>
      <c r="S14" s="4">
        <v>58</v>
      </c>
      <c r="T14" s="5">
        <v>0.81547619047619047</v>
      </c>
      <c r="U14" s="5">
        <v>0.82758620689655171</v>
      </c>
      <c r="W14" s="2">
        <v>42758</v>
      </c>
      <c r="X14" s="4">
        <v>57</v>
      </c>
      <c r="Y14" s="4">
        <v>43</v>
      </c>
      <c r="Z14" s="4">
        <v>126</v>
      </c>
      <c r="AA14" s="5">
        <v>0.82456140350877194</v>
      </c>
      <c r="AB14" s="5">
        <v>0.76744186046511631</v>
      </c>
      <c r="AC14" s="5">
        <v>0.83333333333333337</v>
      </c>
      <c r="AD14" s="5"/>
      <c r="AE14" s="2">
        <v>42758</v>
      </c>
      <c r="AF14" s="4">
        <v>121</v>
      </c>
      <c r="AG14" s="4">
        <v>105</v>
      </c>
      <c r="AH14" s="5">
        <v>0.80991735537190079</v>
      </c>
      <c r="AI14" s="5">
        <v>0.82857142857142863</v>
      </c>
      <c r="AK14" s="2">
        <v>42758</v>
      </c>
      <c r="AL14" s="4">
        <v>40</v>
      </c>
      <c r="AM14" s="4">
        <v>186</v>
      </c>
      <c r="AN14" s="5">
        <v>0.8</v>
      </c>
      <c r="AO14" s="5">
        <v>0.82258064516129037</v>
      </c>
      <c r="AQ14" s="2">
        <v>42758</v>
      </c>
      <c r="AR14" s="4">
        <v>195</v>
      </c>
      <c r="AS14" s="4">
        <v>31</v>
      </c>
      <c r="AT14" s="5">
        <v>0.81025641025641026</v>
      </c>
      <c r="AU14" s="5">
        <v>0.87096774193548387</v>
      </c>
      <c r="AW14" s="2">
        <v>42758</v>
      </c>
      <c r="AX14" s="4">
        <v>35</v>
      </c>
      <c r="AY14" s="4">
        <v>48</v>
      </c>
      <c r="AZ14" s="4">
        <v>143</v>
      </c>
      <c r="BA14" s="5">
        <v>0.8571428571428571</v>
      </c>
      <c r="BB14" s="5">
        <v>0.77083333333333337</v>
      </c>
      <c r="BC14" s="5">
        <v>0.82517482517482521</v>
      </c>
      <c r="BE14" s="2">
        <v>42758</v>
      </c>
      <c r="BF14" s="4">
        <v>14</v>
      </c>
      <c r="BG14" s="4">
        <v>9</v>
      </c>
      <c r="BH14" s="4">
        <v>23</v>
      </c>
      <c r="BI14" s="4">
        <v>25</v>
      </c>
      <c r="BJ14" s="4">
        <v>21</v>
      </c>
      <c r="BK14" s="4">
        <v>36</v>
      </c>
      <c r="BL14" s="4">
        <v>12</v>
      </c>
      <c r="BM14" s="4">
        <v>23</v>
      </c>
      <c r="BN14" s="4">
        <v>26</v>
      </c>
      <c r="BO14" s="4">
        <v>37</v>
      </c>
      <c r="BP14" s="5">
        <v>0.8571428571428571</v>
      </c>
      <c r="BQ14" s="5">
        <v>0.88888888888888884</v>
      </c>
      <c r="BR14" s="5">
        <v>0.82608695652173914</v>
      </c>
      <c r="BS14" s="5">
        <v>0.88</v>
      </c>
      <c r="BT14" s="5">
        <v>0.8571428571428571</v>
      </c>
      <c r="BU14" s="5">
        <v>0.83333333333333337</v>
      </c>
      <c r="BV14" s="5">
        <v>0.91666666666666663</v>
      </c>
      <c r="BW14" s="5">
        <v>0.78260869565217395</v>
      </c>
      <c r="BX14" s="5">
        <v>0.76923076923076927</v>
      </c>
      <c r="BY14" s="5">
        <v>0.72972972972972971</v>
      </c>
    </row>
    <row r="15" spans="1:77">
      <c r="A15" s="2">
        <v>42765</v>
      </c>
      <c r="B15" s="4">
        <v>66</v>
      </c>
      <c r="C15" s="4">
        <v>184</v>
      </c>
      <c r="D15" s="4">
        <v>17</v>
      </c>
      <c r="E15" s="4">
        <v>124</v>
      </c>
      <c r="F15" s="5">
        <v>0.75757575757575757</v>
      </c>
      <c r="G15" s="5">
        <v>0.77717391304347827</v>
      </c>
      <c r="H15" s="5">
        <v>0.70588235294117652</v>
      </c>
      <c r="I15" s="5">
        <v>0.81451612903225812</v>
      </c>
      <c r="K15" s="2">
        <v>42765</v>
      </c>
      <c r="L15" s="4">
        <v>341</v>
      </c>
      <c r="M15" s="4">
        <v>50</v>
      </c>
      <c r="N15" s="5">
        <v>0.78005865102639294</v>
      </c>
      <c r="O15" s="5">
        <v>0.8</v>
      </c>
      <c r="Q15" s="2">
        <v>42765</v>
      </c>
      <c r="R15" s="4">
        <v>307</v>
      </c>
      <c r="S15" s="4">
        <v>84</v>
      </c>
      <c r="T15" s="5">
        <v>0.77524429967426711</v>
      </c>
      <c r="U15" s="5">
        <v>0.80952380952380953</v>
      </c>
      <c r="W15" s="2">
        <v>42765</v>
      </c>
      <c r="X15" s="4">
        <v>93</v>
      </c>
      <c r="Y15" s="4">
        <v>94</v>
      </c>
      <c r="Z15" s="4">
        <v>204</v>
      </c>
      <c r="AA15" s="5">
        <v>0.72043010752688175</v>
      </c>
      <c r="AB15" s="5">
        <v>0.77659574468085102</v>
      </c>
      <c r="AC15" s="5">
        <v>0.81372549019607843</v>
      </c>
      <c r="AD15" s="5"/>
      <c r="AE15" s="2">
        <v>42765</v>
      </c>
      <c r="AF15" s="4">
        <v>195</v>
      </c>
      <c r="AG15" s="4">
        <v>196</v>
      </c>
      <c r="AH15" s="5">
        <v>0.78974358974358971</v>
      </c>
      <c r="AI15" s="5">
        <v>0.77551020408163263</v>
      </c>
      <c r="AK15" s="2">
        <v>42765</v>
      </c>
      <c r="AL15" s="4">
        <v>77</v>
      </c>
      <c r="AM15" s="4">
        <v>314</v>
      </c>
      <c r="AN15" s="5">
        <v>0.74025974025974028</v>
      </c>
      <c r="AO15" s="5">
        <v>0.79299363057324845</v>
      </c>
      <c r="AQ15" s="2">
        <v>42765</v>
      </c>
      <c r="AR15" s="4">
        <v>324</v>
      </c>
      <c r="AS15" s="4">
        <v>67</v>
      </c>
      <c r="AT15" s="5">
        <v>0.79629629629629628</v>
      </c>
      <c r="AU15" s="5">
        <v>0.71641791044776115</v>
      </c>
      <c r="AW15" s="2">
        <v>42765</v>
      </c>
      <c r="AX15" s="4">
        <v>35</v>
      </c>
      <c r="AY15" s="4">
        <v>86</v>
      </c>
      <c r="AZ15" s="4">
        <v>270</v>
      </c>
      <c r="BA15" s="5">
        <v>0.77142857142857146</v>
      </c>
      <c r="BB15" s="5">
        <v>0.76744186046511631</v>
      </c>
      <c r="BC15" s="5">
        <v>0.78888888888888886</v>
      </c>
      <c r="BE15" s="2">
        <v>42765</v>
      </c>
      <c r="BF15" s="4">
        <v>14</v>
      </c>
      <c r="BG15" s="4">
        <v>9</v>
      </c>
      <c r="BH15" s="4">
        <v>33</v>
      </c>
      <c r="BI15" s="4">
        <v>26</v>
      </c>
      <c r="BJ15" s="4">
        <v>23</v>
      </c>
      <c r="BK15" s="4">
        <v>63</v>
      </c>
      <c r="BL15" s="4">
        <v>34</v>
      </c>
      <c r="BM15" s="4">
        <v>55</v>
      </c>
      <c r="BN15" s="4">
        <v>56</v>
      </c>
      <c r="BO15" s="4">
        <v>78</v>
      </c>
      <c r="BP15" s="5">
        <v>0.7857142857142857</v>
      </c>
      <c r="BQ15" s="5">
        <v>0.88888888888888884</v>
      </c>
      <c r="BR15" s="5">
        <v>0.81818181818181823</v>
      </c>
      <c r="BS15" s="5">
        <v>0.88461538461538458</v>
      </c>
      <c r="BT15" s="5">
        <v>0.82608695652173914</v>
      </c>
      <c r="BU15" s="5">
        <v>0.77777777777777779</v>
      </c>
      <c r="BV15" s="5">
        <v>0.88235294117647056</v>
      </c>
      <c r="BW15" s="5">
        <v>0.67272727272727273</v>
      </c>
      <c r="BX15" s="5">
        <v>0.7142857142857143</v>
      </c>
      <c r="BY15" s="5">
        <v>0.79487179487179482</v>
      </c>
    </row>
    <row r="16" spans="1:77">
      <c r="A16" s="2">
        <v>42772</v>
      </c>
      <c r="B16" s="4">
        <v>139</v>
      </c>
      <c r="C16" s="4">
        <v>675</v>
      </c>
      <c r="D16" s="4">
        <v>41</v>
      </c>
      <c r="E16" s="4">
        <v>335</v>
      </c>
      <c r="F16" s="5">
        <v>0.81294964028776984</v>
      </c>
      <c r="G16" s="5">
        <v>0.78814814814814815</v>
      </c>
      <c r="H16" s="5">
        <v>0.68292682926829273</v>
      </c>
      <c r="I16" s="5">
        <v>0.89552238805970152</v>
      </c>
      <c r="K16" s="2">
        <v>42772</v>
      </c>
      <c r="L16" s="4">
        <v>1045</v>
      </c>
      <c r="M16" s="4">
        <v>145</v>
      </c>
      <c r="N16" s="5">
        <v>0.82296650717703346</v>
      </c>
      <c r="O16" s="5">
        <v>0.77931034482758621</v>
      </c>
      <c r="Q16" s="2">
        <v>42772</v>
      </c>
      <c r="R16" s="4">
        <v>954</v>
      </c>
      <c r="S16" s="4">
        <v>236</v>
      </c>
      <c r="T16" s="5">
        <v>0.8029350104821803</v>
      </c>
      <c r="U16" s="5">
        <v>0.8771186440677966</v>
      </c>
      <c r="W16" s="2">
        <v>42772</v>
      </c>
      <c r="X16" s="4">
        <v>207</v>
      </c>
      <c r="Y16" s="4">
        <v>204</v>
      </c>
      <c r="Z16" s="4">
        <v>779</v>
      </c>
      <c r="AA16" s="5">
        <v>0.79227053140096615</v>
      </c>
      <c r="AB16" s="5">
        <v>0.67156862745098034</v>
      </c>
      <c r="AC16" s="5">
        <v>0.86264441591784335</v>
      </c>
      <c r="AD16" s="5"/>
      <c r="AE16" s="2">
        <v>42772</v>
      </c>
      <c r="AF16" s="4">
        <v>665</v>
      </c>
      <c r="AG16" s="4">
        <v>525</v>
      </c>
      <c r="AH16" s="5">
        <v>0.83609022556390977</v>
      </c>
      <c r="AI16" s="5">
        <v>0.79428571428571426</v>
      </c>
      <c r="AK16" s="2">
        <v>42772</v>
      </c>
      <c r="AL16" s="4">
        <v>258</v>
      </c>
      <c r="AM16" s="4">
        <v>932</v>
      </c>
      <c r="AN16" s="5">
        <v>0.79457364341085268</v>
      </c>
      <c r="AO16" s="5">
        <v>0.82403433476394849</v>
      </c>
      <c r="AQ16" s="2">
        <v>42772</v>
      </c>
      <c r="AR16" s="4">
        <v>936</v>
      </c>
      <c r="AS16" s="4">
        <v>254</v>
      </c>
      <c r="AT16" s="5">
        <v>0.80982905982905984</v>
      </c>
      <c r="AU16" s="5">
        <v>0.84645669291338588</v>
      </c>
      <c r="AW16" s="2">
        <v>42772</v>
      </c>
      <c r="AX16" s="4">
        <v>91</v>
      </c>
      <c r="AY16" s="4">
        <v>259</v>
      </c>
      <c r="AZ16" s="4">
        <v>840</v>
      </c>
      <c r="BA16" s="5">
        <v>0.87912087912087911</v>
      </c>
      <c r="BB16" s="5">
        <v>0.7567567567567568</v>
      </c>
      <c r="BC16" s="5">
        <v>0.82976190476190481</v>
      </c>
      <c r="BE16" s="2">
        <v>42772</v>
      </c>
      <c r="BF16" s="4">
        <v>42</v>
      </c>
      <c r="BG16" s="4">
        <v>58</v>
      </c>
      <c r="BH16" s="4">
        <v>84</v>
      </c>
      <c r="BI16" s="4">
        <v>109</v>
      </c>
      <c r="BJ16" s="4">
        <v>117</v>
      </c>
      <c r="BK16" s="4">
        <v>174</v>
      </c>
      <c r="BL16" s="4">
        <v>121</v>
      </c>
      <c r="BM16" s="4">
        <v>167</v>
      </c>
      <c r="BN16" s="4">
        <v>148</v>
      </c>
      <c r="BO16" s="4">
        <v>170</v>
      </c>
      <c r="BP16" s="5">
        <v>0.88095238095238093</v>
      </c>
      <c r="BQ16" s="5">
        <v>0.89655172413793105</v>
      </c>
      <c r="BR16" s="5">
        <v>0.91666666666666663</v>
      </c>
      <c r="BS16" s="5">
        <v>0.87155963302752293</v>
      </c>
      <c r="BT16" s="5">
        <v>0.86324786324786329</v>
      </c>
      <c r="BU16" s="5">
        <v>0.91954022988505746</v>
      </c>
      <c r="BV16" s="5">
        <v>0.75206611570247939</v>
      </c>
      <c r="BW16" s="5">
        <v>0.77844311377245512</v>
      </c>
      <c r="BX16" s="5">
        <v>0.77702702702702697</v>
      </c>
      <c r="BY16" s="5">
        <v>0.67647058823529416</v>
      </c>
    </row>
    <row r="17" spans="1:77">
      <c r="A17" s="2">
        <v>42779</v>
      </c>
      <c r="B17" s="4">
        <v>258</v>
      </c>
      <c r="C17" s="4">
        <v>738</v>
      </c>
      <c r="D17" s="4">
        <v>89</v>
      </c>
      <c r="E17" s="4">
        <v>617</v>
      </c>
      <c r="F17" s="5">
        <v>0.77906976744186052</v>
      </c>
      <c r="G17" s="5">
        <v>0.77371273712737132</v>
      </c>
      <c r="H17" s="5">
        <v>0.8089887640449438</v>
      </c>
      <c r="I17" s="5">
        <v>0.84602917341977313</v>
      </c>
      <c r="K17" s="2">
        <v>42779</v>
      </c>
      <c r="L17" s="4">
        <v>1474</v>
      </c>
      <c r="M17" s="4">
        <v>228</v>
      </c>
      <c r="N17" s="5">
        <v>0.79308005427408412</v>
      </c>
      <c r="O17" s="5">
        <v>0.86403508771929827</v>
      </c>
      <c r="Q17" s="2">
        <v>42779</v>
      </c>
      <c r="R17" s="4">
        <v>1268</v>
      </c>
      <c r="S17" s="4">
        <v>434</v>
      </c>
      <c r="T17" s="5">
        <v>0.79652996845425872</v>
      </c>
      <c r="U17" s="5">
        <v>0.82027649769585254</v>
      </c>
      <c r="W17" s="2">
        <v>42779</v>
      </c>
      <c r="X17" s="4">
        <v>393</v>
      </c>
      <c r="Y17" s="4">
        <v>328</v>
      </c>
      <c r="Z17" s="4">
        <v>981</v>
      </c>
      <c r="AA17" s="5">
        <v>0.7862595419847328</v>
      </c>
      <c r="AB17" s="5">
        <v>0.71646341463414631</v>
      </c>
      <c r="AC17" s="5">
        <v>0.8379204892966361</v>
      </c>
      <c r="AD17" s="5"/>
      <c r="AE17" s="2">
        <v>42779</v>
      </c>
      <c r="AF17" s="4">
        <v>958</v>
      </c>
      <c r="AG17" s="4">
        <v>744</v>
      </c>
      <c r="AH17" s="5">
        <v>0.80584551148225469</v>
      </c>
      <c r="AI17" s="5">
        <v>0.79838709677419351</v>
      </c>
      <c r="AK17" s="2">
        <v>42779</v>
      </c>
      <c r="AL17" s="4">
        <v>433</v>
      </c>
      <c r="AM17" s="4">
        <v>1269</v>
      </c>
      <c r="AN17" s="5">
        <v>0.79214780600461898</v>
      </c>
      <c r="AO17" s="5">
        <v>0.80614657210401897</v>
      </c>
      <c r="AQ17" s="2">
        <v>42779</v>
      </c>
      <c r="AR17" s="4">
        <v>1344</v>
      </c>
      <c r="AS17" s="4">
        <v>358</v>
      </c>
      <c r="AT17" s="5">
        <v>0.7991071428571429</v>
      </c>
      <c r="AU17" s="5">
        <v>0.81564245810055869</v>
      </c>
      <c r="AW17" s="2">
        <v>42779</v>
      </c>
      <c r="AX17" s="4">
        <v>137</v>
      </c>
      <c r="AY17" s="4">
        <v>349</v>
      </c>
      <c r="AZ17" s="4">
        <v>1216</v>
      </c>
      <c r="BA17" s="5">
        <v>0.83211678832116787</v>
      </c>
      <c r="BB17" s="5">
        <v>0.78796561604584525</v>
      </c>
      <c r="BC17" s="5">
        <v>0.80345394736842102</v>
      </c>
      <c r="BE17" s="2">
        <v>42779</v>
      </c>
      <c r="BF17" s="4">
        <v>79</v>
      </c>
      <c r="BG17" s="4">
        <v>87</v>
      </c>
      <c r="BH17" s="4">
        <v>148</v>
      </c>
      <c r="BI17" s="4">
        <v>137</v>
      </c>
      <c r="BJ17" s="4">
        <v>107</v>
      </c>
      <c r="BK17" s="4">
        <v>266</v>
      </c>
      <c r="BL17" s="4">
        <v>112</v>
      </c>
      <c r="BM17" s="4">
        <v>217</v>
      </c>
      <c r="BN17" s="4">
        <v>243</v>
      </c>
      <c r="BO17" s="4">
        <v>306</v>
      </c>
      <c r="BP17" s="5">
        <v>0.89873417721518989</v>
      </c>
      <c r="BQ17" s="5">
        <v>0.86206896551724133</v>
      </c>
      <c r="BR17" s="5">
        <v>0.8783783783783784</v>
      </c>
      <c r="BS17" s="5">
        <v>0.83941605839416056</v>
      </c>
      <c r="BT17" s="5">
        <v>0.85046728971962615</v>
      </c>
      <c r="BU17" s="5">
        <v>0.8007518796992481</v>
      </c>
      <c r="BV17" s="5">
        <v>0.7946428571428571</v>
      </c>
      <c r="BW17" s="5">
        <v>0.7695852534562212</v>
      </c>
      <c r="BX17" s="5">
        <v>0.79423868312757206</v>
      </c>
      <c r="BY17" s="5">
        <v>0.72549019607843135</v>
      </c>
    </row>
    <row r="18" spans="1:77">
      <c r="A18" s="2">
        <v>42786</v>
      </c>
      <c r="B18" s="4">
        <v>283</v>
      </c>
      <c r="C18" s="4">
        <v>761</v>
      </c>
      <c r="D18" s="4">
        <v>78</v>
      </c>
      <c r="E18" s="4">
        <v>599</v>
      </c>
      <c r="F18" s="5">
        <v>0.82685512367491165</v>
      </c>
      <c r="G18" s="5">
        <v>0.7187910643889619</v>
      </c>
      <c r="H18" s="5">
        <v>0.74358974358974361</v>
      </c>
      <c r="I18" s="5">
        <v>0.80634390651085142</v>
      </c>
      <c r="K18" s="2">
        <v>42786</v>
      </c>
      <c r="L18" s="4">
        <v>1484</v>
      </c>
      <c r="M18" s="4">
        <v>237</v>
      </c>
      <c r="N18" s="5">
        <v>0.75876010781671155</v>
      </c>
      <c r="O18" s="5">
        <v>0.8270042194092827</v>
      </c>
      <c r="Q18" s="2">
        <v>42786</v>
      </c>
      <c r="R18" s="4">
        <v>1301</v>
      </c>
      <c r="S18" s="4">
        <v>420</v>
      </c>
      <c r="T18" s="5">
        <v>0.75864719446579554</v>
      </c>
      <c r="U18" s="5">
        <v>0.79761904761904767</v>
      </c>
      <c r="W18" s="2">
        <v>42786</v>
      </c>
      <c r="X18" s="4">
        <v>371</v>
      </c>
      <c r="Y18" s="4">
        <v>329</v>
      </c>
      <c r="Z18" s="4">
        <v>1021</v>
      </c>
      <c r="AA18" s="5">
        <v>0.77897574123989222</v>
      </c>
      <c r="AB18" s="5">
        <v>0.68693009118541037</v>
      </c>
      <c r="AC18" s="5">
        <v>0.79040156709108722</v>
      </c>
      <c r="AD18" s="5"/>
      <c r="AE18" s="2">
        <v>42786</v>
      </c>
      <c r="AF18" s="4">
        <v>966</v>
      </c>
      <c r="AG18" s="4">
        <v>755</v>
      </c>
      <c r="AH18" s="5">
        <v>0.77639751552795033</v>
      </c>
      <c r="AI18" s="5">
        <v>0.75761589403973506</v>
      </c>
      <c r="AK18" s="2">
        <v>42786</v>
      </c>
      <c r="AL18" s="4">
        <v>380</v>
      </c>
      <c r="AM18" s="4">
        <v>1341</v>
      </c>
      <c r="AN18" s="5">
        <v>0.70526315789473681</v>
      </c>
      <c r="AO18" s="5">
        <v>0.78598061148396714</v>
      </c>
      <c r="AQ18" s="2">
        <v>42786</v>
      </c>
      <c r="AR18" s="4">
        <v>1328</v>
      </c>
      <c r="AS18" s="4">
        <v>393</v>
      </c>
      <c r="AT18" s="5">
        <v>0.76957831325301207</v>
      </c>
      <c r="AU18" s="5">
        <v>0.76335877862595425</v>
      </c>
      <c r="AW18" s="2">
        <v>42786</v>
      </c>
      <c r="AX18" s="4">
        <v>150</v>
      </c>
      <c r="AY18" s="4">
        <v>346</v>
      </c>
      <c r="AZ18" s="4">
        <v>1225</v>
      </c>
      <c r="BA18" s="5">
        <v>0.88</v>
      </c>
      <c r="BB18" s="5">
        <v>0.7167630057803468</v>
      </c>
      <c r="BC18" s="5">
        <v>0.7689795918367347</v>
      </c>
      <c r="BE18" s="2">
        <v>42786</v>
      </c>
      <c r="BF18" s="4">
        <v>88</v>
      </c>
      <c r="BG18" s="4">
        <v>90</v>
      </c>
      <c r="BH18" s="4">
        <v>141</v>
      </c>
      <c r="BI18" s="4">
        <v>160</v>
      </c>
      <c r="BJ18" s="4">
        <v>109</v>
      </c>
      <c r="BK18" s="4">
        <v>249</v>
      </c>
      <c r="BL18" s="4">
        <v>122</v>
      </c>
      <c r="BM18" s="4">
        <v>251</v>
      </c>
      <c r="BN18" s="4">
        <v>245</v>
      </c>
      <c r="BO18" s="4">
        <v>266</v>
      </c>
      <c r="BP18" s="5">
        <v>0.93181818181818177</v>
      </c>
      <c r="BQ18" s="5">
        <v>0.84444444444444444</v>
      </c>
      <c r="BR18" s="5">
        <v>0.87943262411347523</v>
      </c>
      <c r="BS18" s="5">
        <v>0.78125</v>
      </c>
      <c r="BT18" s="5">
        <v>0.83486238532110091</v>
      </c>
      <c r="BU18" s="5">
        <v>0.76305220883534142</v>
      </c>
      <c r="BV18" s="5">
        <v>0.80327868852459017</v>
      </c>
      <c r="BW18" s="5">
        <v>0.70119521912350602</v>
      </c>
      <c r="BX18" s="5">
        <v>0.71020408163265303</v>
      </c>
      <c r="BY18" s="5">
        <v>0.6992481203007519</v>
      </c>
    </row>
    <row r="19" spans="1:77">
      <c r="A19" s="2">
        <v>42793</v>
      </c>
      <c r="B19" s="4">
        <v>293</v>
      </c>
      <c r="C19" s="4">
        <v>843</v>
      </c>
      <c r="D19" s="4">
        <v>94</v>
      </c>
      <c r="E19" s="4">
        <v>644</v>
      </c>
      <c r="F19" s="5">
        <v>0.74744027303754268</v>
      </c>
      <c r="G19" s="5">
        <v>0.69157769869513641</v>
      </c>
      <c r="H19" s="5">
        <v>0.48936170212765956</v>
      </c>
      <c r="I19" s="5">
        <v>0.80279503105590067</v>
      </c>
      <c r="K19" s="2">
        <v>42793</v>
      </c>
      <c r="L19" s="4">
        <v>1647</v>
      </c>
      <c r="M19" s="4">
        <v>227</v>
      </c>
      <c r="N19" s="5">
        <v>0.71888281724347303</v>
      </c>
      <c r="O19" s="5">
        <v>0.79735682819383258</v>
      </c>
      <c r="Q19" s="2">
        <v>42793</v>
      </c>
      <c r="R19" s="4">
        <v>1378</v>
      </c>
      <c r="S19" s="4">
        <v>496</v>
      </c>
      <c r="T19" s="5">
        <v>0.7053701015965167</v>
      </c>
      <c r="U19" s="5">
        <v>0.79233870967741937</v>
      </c>
      <c r="W19" s="2">
        <v>42793</v>
      </c>
      <c r="X19" s="4">
        <v>414</v>
      </c>
      <c r="Y19" s="4">
        <v>399</v>
      </c>
      <c r="Z19" s="4">
        <v>1061</v>
      </c>
      <c r="AA19" s="5">
        <v>0.69565217391304346</v>
      </c>
      <c r="AB19" s="5">
        <v>0.5664160401002506</v>
      </c>
      <c r="AC19" s="5">
        <v>0.80207351555136663</v>
      </c>
      <c r="AD19" s="5"/>
      <c r="AE19" s="2">
        <v>42793</v>
      </c>
      <c r="AF19" s="4">
        <v>1004</v>
      </c>
      <c r="AG19" s="4">
        <v>870</v>
      </c>
      <c r="AH19" s="5">
        <v>0.73406374501992033</v>
      </c>
      <c r="AI19" s="5">
        <v>0.72183908045977008</v>
      </c>
      <c r="AK19" s="2">
        <v>42793</v>
      </c>
      <c r="AL19" s="4">
        <v>437</v>
      </c>
      <c r="AM19" s="4">
        <v>1437</v>
      </c>
      <c r="AN19" s="5">
        <v>0.63157894736842102</v>
      </c>
      <c r="AO19" s="5">
        <v>0.75782881002087688</v>
      </c>
      <c r="AQ19" s="2">
        <v>42793</v>
      </c>
      <c r="AR19" s="4">
        <v>1457</v>
      </c>
      <c r="AS19" s="4">
        <v>417</v>
      </c>
      <c r="AT19" s="5">
        <v>0.71859986273164034</v>
      </c>
      <c r="AU19" s="5">
        <v>0.76258992805755399</v>
      </c>
      <c r="AW19" s="2">
        <v>42793</v>
      </c>
      <c r="AX19" s="4">
        <v>152</v>
      </c>
      <c r="AY19" s="4">
        <v>395</v>
      </c>
      <c r="AZ19" s="4">
        <v>1327</v>
      </c>
      <c r="BA19" s="5">
        <v>0.84210526315789469</v>
      </c>
      <c r="BB19" s="5">
        <v>0.65822784810126578</v>
      </c>
      <c r="BC19" s="5">
        <v>0.73624717407686513</v>
      </c>
      <c r="BE19" s="2">
        <v>42793</v>
      </c>
      <c r="BF19" s="4">
        <v>69</v>
      </c>
      <c r="BG19" s="4">
        <v>85</v>
      </c>
      <c r="BH19" s="4">
        <v>140</v>
      </c>
      <c r="BI19" s="4">
        <v>170</v>
      </c>
      <c r="BJ19" s="4">
        <v>101</v>
      </c>
      <c r="BK19" s="4">
        <v>295</v>
      </c>
      <c r="BL19" s="4">
        <v>149</v>
      </c>
      <c r="BM19" s="4">
        <v>272</v>
      </c>
      <c r="BN19" s="4">
        <v>248</v>
      </c>
      <c r="BO19" s="4">
        <v>345</v>
      </c>
      <c r="BP19" s="5">
        <v>0.84057971014492749</v>
      </c>
      <c r="BQ19" s="5">
        <v>0.90588235294117647</v>
      </c>
      <c r="BR19" s="5">
        <v>0.83571428571428574</v>
      </c>
      <c r="BS19" s="5">
        <v>0.87058823529411766</v>
      </c>
      <c r="BT19" s="5">
        <v>0.85148514851485146</v>
      </c>
      <c r="BU19" s="5">
        <v>0.78983050847457625</v>
      </c>
      <c r="BV19" s="5">
        <v>0.73154362416107388</v>
      </c>
      <c r="BW19" s="5">
        <v>0.70588235294117652</v>
      </c>
      <c r="BX19" s="5">
        <v>0.62903225806451613</v>
      </c>
      <c r="BY19" s="5">
        <v>0.54782608695652169</v>
      </c>
    </row>
    <row r="20" spans="1:77">
      <c r="A20" s="2">
        <v>42800</v>
      </c>
      <c r="B20" s="4">
        <v>336</v>
      </c>
      <c r="C20" s="4">
        <v>807</v>
      </c>
      <c r="D20" s="4">
        <v>74</v>
      </c>
      <c r="E20" s="4">
        <v>628</v>
      </c>
      <c r="F20" s="5">
        <v>0.6517857142857143</v>
      </c>
      <c r="G20" s="5">
        <v>0.63444857496902107</v>
      </c>
      <c r="H20" s="5">
        <v>0.59459459459459463</v>
      </c>
      <c r="I20" s="5">
        <v>0.79458598726114649</v>
      </c>
      <c r="K20" s="2">
        <v>42800</v>
      </c>
      <c r="L20" s="4">
        <v>1593</v>
      </c>
      <c r="M20" s="4">
        <v>252</v>
      </c>
      <c r="N20" s="5">
        <v>0.67168863779033272</v>
      </c>
      <c r="O20" s="5">
        <v>0.80952380952380953</v>
      </c>
      <c r="Q20" s="2">
        <v>42800</v>
      </c>
      <c r="R20" s="4">
        <v>1350</v>
      </c>
      <c r="S20" s="4">
        <v>495</v>
      </c>
      <c r="T20" s="5">
        <v>0.66074074074074074</v>
      </c>
      <c r="U20" s="5">
        <v>0.77171717171717169</v>
      </c>
      <c r="W20" s="2">
        <v>42800</v>
      </c>
      <c r="X20" s="4">
        <v>435</v>
      </c>
      <c r="Y20" s="4">
        <v>364</v>
      </c>
      <c r="Z20" s="4">
        <v>1046</v>
      </c>
      <c r="AA20" s="5">
        <v>0.70574712643678161</v>
      </c>
      <c r="AB20" s="5">
        <v>0.52197802197802201</v>
      </c>
      <c r="AC20" s="5">
        <v>0.74282982791586993</v>
      </c>
      <c r="AD20" s="5"/>
      <c r="AE20" s="2">
        <v>42800</v>
      </c>
      <c r="AF20" s="4">
        <v>979</v>
      </c>
      <c r="AG20" s="4">
        <v>866</v>
      </c>
      <c r="AH20" s="5">
        <v>0.72931562819203266</v>
      </c>
      <c r="AI20" s="5">
        <v>0.64665127020785218</v>
      </c>
      <c r="AK20" s="2">
        <v>42800</v>
      </c>
      <c r="AL20" s="4">
        <v>359</v>
      </c>
      <c r="AM20" s="4">
        <v>1486</v>
      </c>
      <c r="AN20" s="5">
        <v>0.56545961002785516</v>
      </c>
      <c r="AO20" s="5">
        <v>0.72072678331090179</v>
      </c>
      <c r="AQ20" s="2">
        <v>42814</v>
      </c>
      <c r="AR20" s="4">
        <v>1260</v>
      </c>
      <c r="AS20" s="4">
        <v>368</v>
      </c>
      <c r="AT20" s="5">
        <v>0.65952380952380951</v>
      </c>
      <c r="AU20" s="5">
        <v>0.73369565217391308</v>
      </c>
      <c r="AW20" s="2">
        <v>42814</v>
      </c>
      <c r="AX20" s="4">
        <v>142</v>
      </c>
      <c r="AY20" s="4">
        <v>312</v>
      </c>
      <c r="AZ20" s="4">
        <v>1174</v>
      </c>
      <c r="BA20" s="5">
        <v>0.85915492957746475</v>
      </c>
      <c r="BB20" s="5">
        <v>0.63461538461538458</v>
      </c>
      <c r="BC20" s="5">
        <v>0.66524701873935266</v>
      </c>
      <c r="BE20" s="2">
        <v>42800</v>
      </c>
      <c r="BF20" s="4">
        <v>87</v>
      </c>
      <c r="BG20" s="4">
        <v>88</v>
      </c>
      <c r="BH20" s="4">
        <v>151</v>
      </c>
      <c r="BI20" s="4">
        <v>175</v>
      </c>
      <c r="BJ20" s="4">
        <v>114</v>
      </c>
      <c r="BK20" s="4">
        <v>238</v>
      </c>
      <c r="BL20" s="4">
        <v>159</v>
      </c>
      <c r="BM20" s="4">
        <v>268</v>
      </c>
      <c r="BN20" s="4">
        <v>259</v>
      </c>
      <c r="BO20" s="4">
        <v>306</v>
      </c>
      <c r="BP20" s="5">
        <v>0.91954022988505746</v>
      </c>
      <c r="BQ20" s="5">
        <v>0.85227272727272729</v>
      </c>
      <c r="BR20" s="5">
        <v>0.81456953642384111</v>
      </c>
      <c r="BS20" s="5">
        <v>0.78285714285714281</v>
      </c>
      <c r="BT20" s="5">
        <v>0.77192982456140347</v>
      </c>
      <c r="BU20" s="5">
        <v>0.77731092436974791</v>
      </c>
      <c r="BV20" s="5">
        <v>0.70440251572327039</v>
      </c>
      <c r="BW20" s="5">
        <v>0.68656716417910446</v>
      </c>
      <c r="BX20" s="5">
        <v>0.55212355212355213</v>
      </c>
      <c r="BY20" s="5">
        <v>0.48039215686274511</v>
      </c>
    </row>
    <row r="21" spans="1:77">
      <c r="A21" s="2">
        <v>42807</v>
      </c>
      <c r="B21" s="4">
        <v>269</v>
      </c>
      <c r="C21" s="4">
        <v>751</v>
      </c>
      <c r="D21" s="4">
        <v>89</v>
      </c>
      <c r="E21" s="4">
        <v>533</v>
      </c>
      <c r="F21" s="5">
        <v>0.65799256505576209</v>
      </c>
      <c r="G21" s="5">
        <v>0.62183754993342211</v>
      </c>
      <c r="H21" s="5">
        <v>0.449438202247191</v>
      </c>
      <c r="I21" s="5">
        <v>0.81050656660412757</v>
      </c>
      <c r="K21" s="2">
        <v>42807</v>
      </c>
      <c r="L21" s="4">
        <v>1462</v>
      </c>
      <c r="M21" s="4">
        <v>180</v>
      </c>
      <c r="N21" s="5">
        <v>0.66689466484268123</v>
      </c>
      <c r="O21" s="5">
        <v>0.78333333333333333</v>
      </c>
      <c r="Q21" s="2">
        <v>42807</v>
      </c>
      <c r="R21" s="4">
        <v>1220</v>
      </c>
      <c r="S21" s="4">
        <v>422</v>
      </c>
      <c r="T21" s="5">
        <v>0.64098360655737707</v>
      </c>
      <c r="U21" s="5">
        <v>0.79146919431279616</v>
      </c>
      <c r="W21" s="2">
        <v>42807</v>
      </c>
      <c r="X21" s="4">
        <v>374</v>
      </c>
      <c r="Y21" s="4">
        <v>364</v>
      </c>
      <c r="Z21" s="4">
        <v>904</v>
      </c>
      <c r="AA21" s="5">
        <v>0.68181818181818177</v>
      </c>
      <c r="AB21" s="5">
        <v>0.50274725274725274</v>
      </c>
      <c r="AC21" s="5">
        <v>0.75</v>
      </c>
      <c r="AD21" s="5"/>
      <c r="AE21" s="2">
        <v>42807</v>
      </c>
      <c r="AF21" s="4">
        <v>919</v>
      </c>
      <c r="AG21" s="4">
        <v>723</v>
      </c>
      <c r="AH21" s="5">
        <v>0.71926006528835695</v>
      </c>
      <c r="AI21" s="5">
        <v>0.62932226832641769</v>
      </c>
      <c r="AK21" s="2">
        <v>42807</v>
      </c>
      <c r="AL21" s="4">
        <v>364</v>
      </c>
      <c r="AM21" s="4">
        <v>1278</v>
      </c>
      <c r="AN21" s="5">
        <v>0.58241758241758246</v>
      </c>
      <c r="AO21" s="5">
        <v>0.70735524256651017</v>
      </c>
      <c r="AQ21" s="2">
        <v>42807</v>
      </c>
      <c r="AR21" s="4">
        <v>1259</v>
      </c>
      <c r="AS21" s="4">
        <v>383</v>
      </c>
      <c r="AT21" s="5">
        <v>0.66401906274821287</v>
      </c>
      <c r="AU21" s="5">
        <v>0.7310704960835509</v>
      </c>
      <c r="AW21" s="2">
        <v>42807</v>
      </c>
      <c r="AX21" s="4">
        <v>132</v>
      </c>
      <c r="AY21" s="4">
        <v>332</v>
      </c>
      <c r="AZ21" s="4">
        <v>1178</v>
      </c>
      <c r="BA21" s="5">
        <v>0.93939393939393945</v>
      </c>
      <c r="BB21" s="5">
        <v>0.64759036144578308</v>
      </c>
      <c r="BC21" s="5">
        <v>0.65959252971137516</v>
      </c>
      <c r="BE21" s="2">
        <v>42807</v>
      </c>
      <c r="BF21" s="4">
        <v>68</v>
      </c>
      <c r="BG21" s="4">
        <v>54</v>
      </c>
      <c r="BH21" s="4">
        <v>129</v>
      </c>
      <c r="BI21" s="4">
        <v>132</v>
      </c>
      <c r="BJ21" s="4">
        <v>129</v>
      </c>
      <c r="BK21" s="4">
        <v>242</v>
      </c>
      <c r="BL21" s="4">
        <v>135</v>
      </c>
      <c r="BM21" s="4">
        <v>206</v>
      </c>
      <c r="BN21" s="4">
        <v>239</v>
      </c>
      <c r="BO21" s="4">
        <v>308</v>
      </c>
      <c r="BP21" s="5">
        <v>0.94117647058823528</v>
      </c>
      <c r="BQ21" s="5">
        <v>0.88888888888888884</v>
      </c>
      <c r="BR21" s="5">
        <v>0.8294573643410853</v>
      </c>
      <c r="BS21" s="5">
        <v>0.8257575757575758</v>
      </c>
      <c r="BT21" s="5">
        <v>0.79069767441860461</v>
      </c>
      <c r="BU21" s="5">
        <v>0.79338842975206614</v>
      </c>
      <c r="BV21" s="5">
        <v>0.6518518518518519</v>
      </c>
      <c r="BW21" s="5">
        <v>0.64563106796116509</v>
      </c>
      <c r="BX21" s="5">
        <v>0.58577405857740583</v>
      </c>
      <c r="BY21" s="5">
        <v>0.43181818181818182</v>
      </c>
    </row>
    <row r="22" spans="1:77">
      <c r="A22" s="2">
        <v>42814</v>
      </c>
      <c r="B22" s="4">
        <v>269</v>
      </c>
      <c r="C22" s="4">
        <v>740</v>
      </c>
      <c r="D22" s="4">
        <v>70</v>
      </c>
      <c r="E22" s="4">
        <v>549</v>
      </c>
      <c r="F22" s="5">
        <v>0.66171003717472121</v>
      </c>
      <c r="G22" s="5">
        <v>0.60540540540540544</v>
      </c>
      <c r="H22" s="5">
        <v>0.5714285714285714</v>
      </c>
      <c r="I22" s="5">
        <v>0.79234972677595628</v>
      </c>
      <c r="K22" s="2">
        <v>42814</v>
      </c>
      <c r="L22" s="4">
        <v>1419</v>
      </c>
      <c r="M22" s="4">
        <v>209</v>
      </c>
      <c r="N22" s="5">
        <v>0.66455250176180414</v>
      </c>
      <c r="O22" s="5">
        <v>0.75598086124401909</v>
      </c>
      <c r="Q22" s="2">
        <v>42814</v>
      </c>
      <c r="R22" s="4">
        <v>1226</v>
      </c>
      <c r="S22" s="4">
        <v>402</v>
      </c>
      <c r="T22" s="5">
        <v>0.64763458401305052</v>
      </c>
      <c r="U22" s="5">
        <v>0.76368159203980102</v>
      </c>
      <c r="W22" s="2">
        <v>42814</v>
      </c>
      <c r="X22" s="4">
        <v>360</v>
      </c>
      <c r="Y22" s="4">
        <v>350</v>
      </c>
      <c r="Z22" s="4">
        <v>918</v>
      </c>
      <c r="AA22" s="5">
        <v>0.68055555555555558</v>
      </c>
      <c r="AB22" s="5">
        <v>0.46571428571428569</v>
      </c>
      <c r="AC22" s="5">
        <v>0.75490196078431371</v>
      </c>
      <c r="AD22" s="5"/>
      <c r="AE22" s="2">
        <v>42814</v>
      </c>
      <c r="AF22" s="4">
        <v>896</v>
      </c>
      <c r="AG22" s="4">
        <v>732</v>
      </c>
      <c r="AH22" s="5">
        <v>0.6941964285714286</v>
      </c>
      <c r="AI22" s="5">
        <v>0.65437158469945356</v>
      </c>
      <c r="AK22" s="2">
        <v>42814</v>
      </c>
      <c r="AL22" s="4">
        <v>367</v>
      </c>
      <c r="AM22" s="4">
        <v>1261</v>
      </c>
      <c r="AN22" s="5">
        <v>0.5803814713896458</v>
      </c>
      <c r="AO22" s="5">
        <v>0.70420301348136405</v>
      </c>
      <c r="AQ22" s="2">
        <v>42835</v>
      </c>
      <c r="AR22" s="4">
        <v>1257</v>
      </c>
      <c r="AS22" s="4">
        <v>345</v>
      </c>
      <c r="AT22" s="5">
        <v>0.6595067621320605</v>
      </c>
      <c r="AU22" s="5">
        <v>0.6985507246376812</v>
      </c>
      <c r="AW22" s="2">
        <v>42835</v>
      </c>
      <c r="AX22" s="4">
        <v>118</v>
      </c>
      <c r="AY22" s="4">
        <v>312</v>
      </c>
      <c r="AZ22" s="4">
        <v>1172</v>
      </c>
      <c r="BA22" s="5">
        <v>0.84745762711864403</v>
      </c>
      <c r="BB22" s="5">
        <v>0.57051282051282048</v>
      </c>
      <c r="BC22" s="5">
        <v>0.67576791808873715</v>
      </c>
      <c r="BE22" s="2">
        <v>42814</v>
      </c>
      <c r="BF22" s="4">
        <v>67</v>
      </c>
      <c r="BG22" s="4">
        <v>73</v>
      </c>
      <c r="BH22" s="4">
        <v>140</v>
      </c>
      <c r="BI22" s="4">
        <v>143</v>
      </c>
      <c r="BJ22" s="4">
        <v>101</v>
      </c>
      <c r="BK22" s="4">
        <v>237</v>
      </c>
      <c r="BL22" s="4">
        <v>121</v>
      </c>
      <c r="BM22" s="4">
        <v>221</v>
      </c>
      <c r="BN22" s="4">
        <v>226</v>
      </c>
      <c r="BO22" s="4">
        <v>299</v>
      </c>
      <c r="BP22" s="5">
        <v>0.94029850746268662</v>
      </c>
      <c r="BQ22" s="5">
        <v>0.84931506849315064</v>
      </c>
      <c r="BR22" s="5">
        <v>0.81428571428571428</v>
      </c>
      <c r="BS22" s="5">
        <v>0.86713286713286708</v>
      </c>
      <c r="BT22" s="5">
        <v>0.78217821782178221</v>
      </c>
      <c r="BU22" s="5">
        <v>0.72995780590717296</v>
      </c>
      <c r="BV22" s="5">
        <v>0.65289256198347112</v>
      </c>
      <c r="BW22" s="5">
        <v>0.6244343891402715</v>
      </c>
      <c r="BX22" s="5">
        <v>0.62389380530973448</v>
      </c>
      <c r="BY22" s="5">
        <v>0.42809364548494983</v>
      </c>
    </row>
    <row r="23" spans="1:77">
      <c r="A23" s="2">
        <v>42821</v>
      </c>
      <c r="B23" s="4">
        <v>243</v>
      </c>
      <c r="C23" s="4">
        <v>692</v>
      </c>
      <c r="D23" s="4">
        <v>103</v>
      </c>
      <c r="E23" s="4">
        <v>479</v>
      </c>
      <c r="F23" s="5">
        <v>0.65432098765432101</v>
      </c>
      <c r="G23" s="5">
        <v>0.59393063583815031</v>
      </c>
      <c r="H23" s="5">
        <v>0.60194174757281549</v>
      </c>
      <c r="I23" s="5">
        <v>0.76200417536534448</v>
      </c>
      <c r="K23" s="2">
        <v>42821</v>
      </c>
      <c r="L23" s="4">
        <v>1331</v>
      </c>
      <c r="M23" s="4">
        <v>186</v>
      </c>
      <c r="N23" s="5">
        <v>0.63561232156273484</v>
      </c>
      <c r="O23" s="5">
        <v>0.81182795698924726</v>
      </c>
      <c r="Q23" s="2">
        <v>42821</v>
      </c>
      <c r="R23" s="4">
        <v>1168</v>
      </c>
      <c r="S23" s="4">
        <v>349</v>
      </c>
      <c r="T23" s="5">
        <v>0.63184931506849318</v>
      </c>
      <c r="U23" s="5">
        <v>0.74212034383954151</v>
      </c>
      <c r="W23" s="2">
        <v>42821</v>
      </c>
      <c r="X23" s="4">
        <v>394</v>
      </c>
      <c r="Y23" s="4">
        <v>366</v>
      </c>
      <c r="Z23" s="4">
        <v>757</v>
      </c>
      <c r="AA23" s="5">
        <v>0.64467005076142136</v>
      </c>
      <c r="AB23" s="5">
        <v>0.49180327868852458</v>
      </c>
      <c r="AC23" s="5">
        <v>0.74372523117569356</v>
      </c>
      <c r="AD23" s="5"/>
      <c r="AE23" s="2">
        <v>42821</v>
      </c>
      <c r="AF23" s="4">
        <v>813</v>
      </c>
      <c r="AG23" s="4">
        <v>704</v>
      </c>
      <c r="AH23" s="5">
        <v>0.68880688806888068</v>
      </c>
      <c r="AI23" s="5">
        <v>0.62073863636363635</v>
      </c>
      <c r="AK23" s="2">
        <v>42821</v>
      </c>
      <c r="AL23" s="4">
        <v>328</v>
      </c>
      <c r="AM23" s="4">
        <v>1189</v>
      </c>
      <c r="AN23" s="5">
        <v>0.58231707317073167</v>
      </c>
      <c r="AO23" s="5">
        <v>0.6778805719091674</v>
      </c>
      <c r="AQ23" s="2">
        <v>42800</v>
      </c>
      <c r="AR23" s="4">
        <v>1420</v>
      </c>
      <c r="AS23" s="4">
        <v>425</v>
      </c>
      <c r="AT23" s="5">
        <v>0.68239436619718308</v>
      </c>
      <c r="AU23" s="5">
        <v>0.71764705882352942</v>
      </c>
      <c r="AW23" s="2">
        <v>42800</v>
      </c>
      <c r="AX23" s="4">
        <v>152</v>
      </c>
      <c r="AY23" s="4">
        <v>394</v>
      </c>
      <c r="AZ23" s="4">
        <v>1299</v>
      </c>
      <c r="BA23" s="5">
        <v>0.85526315789473684</v>
      </c>
      <c r="BB23" s="5">
        <v>0.64720812182741116</v>
      </c>
      <c r="BC23" s="5">
        <v>0.68437259430331021</v>
      </c>
      <c r="BE23" s="2">
        <v>42821</v>
      </c>
      <c r="BF23" s="4">
        <v>56</v>
      </c>
      <c r="BG23" s="4">
        <v>53</v>
      </c>
      <c r="BH23" s="4">
        <v>113</v>
      </c>
      <c r="BI23" s="4">
        <v>137</v>
      </c>
      <c r="BJ23" s="4">
        <v>91</v>
      </c>
      <c r="BK23" s="4">
        <v>197</v>
      </c>
      <c r="BL23" s="4">
        <v>113</v>
      </c>
      <c r="BM23" s="4">
        <v>199</v>
      </c>
      <c r="BN23" s="4">
        <v>259</v>
      </c>
      <c r="BO23" s="4">
        <v>299</v>
      </c>
      <c r="BP23" s="5">
        <v>0.9285714285714286</v>
      </c>
      <c r="BQ23" s="5">
        <v>0.81132075471698117</v>
      </c>
      <c r="BR23" s="5">
        <v>0.78761061946902655</v>
      </c>
      <c r="BS23" s="5">
        <v>0.81021897810218979</v>
      </c>
      <c r="BT23" s="5">
        <v>0.81318681318681318</v>
      </c>
      <c r="BU23" s="5">
        <v>0.75126903553299496</v>
      </c>
      <c r="BV23" s="5">
        <v>0.61061946902654862</v>
      </c>
      <c r="BW23" s="5">
        <v>0.66834170854271358</v>
      </c>
      <c r="BX23" s="5">
        <v>0.53281853281853286</v>
      </c>
      <c r="BY23" s="5">
        <v>0.4682274247491639</v>
      </c>
    </row>
    <row r="24" spans="1:77">
      <c r="A24" s="2">
        <v>42828</v>
      </c>
      <c r="B24" s="4">
        <v>247</v>
      </c>
      <c r="C24" s="4">
        <v>667</v>
      </c>
      <c r="D24" s="4">
        <v>73</v>
      </c>
      <c r="E24" s="4">
        <v>498</v>
      </c>
      <c r="F24" s="5">
        <v>0.65182186234817818</v>
      </c>
      <c r="G24" s="5">
        <v>0.61619190404797597</v>
      </c>
      <c r="H24" s="5">
        <v>0.63013698630136983</v>
      </c>
      <c r="I24" s="5">
        <v>0.80321285140562249</v>
      </c>
      <c r="K24" s="2">
        <v>42828</v>
      </c>
      <c r="L24" s="4">
        <v>1307</v>
      </c>
      <c r="M24" s="4">
        <v>178</v>
      </c>
      <c r="N24" s="5">
        <v>0.66488140780413163</v>
      </c>
      <c r="O24" s="5">
        <v>0.8370786516853933</v>
      </c>
      <c r="Q24" s="2">
        <v>42828</v>
      </c>
      <c r="R24" s="4">
        <v>1087</v>
      </c>
      <c r="S24" s="4">
        <v>398</v>
      </c>
      <c r="T24" s="5">
        <v>0.65685372585096591</v>
      </c>
      <c r="U24" s="5">
        <v>0.76381909547738691</v>
      </c>
      <c r="W24" s="2">
        <v>42828</v>
      </c>
      <c r="X24" s="4">
        <v>335</v>
      </c>
      <c r="Y24" s="4">
        <v>354</v>
      </c>
      <c r="Z24" s="4">
        <v>796</v>
      </c>
      <c r="AA24" s="5">
        <v>0.67462686567164176</v>
      </c>
      <c r="AB24" s="5">
        <v>0.52259887005649719</v>
      </c>
      <c r="AC24" s="5">
        <v>0.76256281407035176</v>
      </c>
      <c r="AD24" s="5"/>
      <c r="AE24" s="2">
        <v>42828</v>
      </c>
      <c r="AF24" s="4">
        <v>821</v>
      </c>
      <c r="AG24" s="4">
        <v>664</v>
      </c>
      <c r="AH24" s="5">
        <v>0.71863580998781973</v>
      </c>
      <c r="AI24" s="5">
        <v>0.64457831325301207</v>
      </c>
      <c r="AK24" s="2">
        <v>42828</v>
      </c>
      <c r="AL24" s="4">
        <v>338</v>
      </c>
      <c r="AM24" s="4">
        <v>1147</v>
      </c>
      <c r="AN24" s="5">
        <v>0.60059171597633132</v>
      </c>
      <c r="AO24" s="5">
        <v>0.71054925893635568</v>
      </c>
      <c r="AQ24" s="2">
        <v>42842</v>
      </c>
      <c r="AR24" s="4">
        <v>1384</v>
      </c>
      <c r="AS24" s="4">
        <v>374</v>
      </c>
      <c r="AT24" s="5">
        <v>0.6777456647398844</v>
      </c>
      <c r="AU24" s="5">
        <v>0.71122994652406413</v>
      </c>
      <c r="AW24" s="2">
        <v>42842</v>
      </c>
      <c r="AX24" s="4">
        <v>120</v>
      </c>
      <c r="AY24" s="4">
        <v>354</v>
      </c>
      <c r="AZ24" s="4">
        <v>1284</v>
      </c>
      <c r="BA24" s="5">
        <v>0.85833333333333328</v>
      </c>
      <c r="BB24" s="5">
        <v>0.64971751412429379</v>
      </c>
      <c r="BC24" s="5">
        <v>0.67834890965732086</v>
      </c>
      <c r="BE24" s="2">
        <v>42828</v>
      </c>
      <c r="BF24" s="4">
        <v>62</v>
      </c>
      <c r="BG24" s="4">
        <v>64</v>
      </c>
      <c r="BH24" s="4">
        <v>123</v>
      </c>
      <c r="BI24" s="4">
        <v>106</v>
      </c>
      <c r="BJ24" s="4">
        <v>83</v>
      </c>
      <c r="BK24" s="4">
        <v>208</v>
      </c>
      <c r="BL24" s="4">
        <v>122</v>
      </c>
      <c r="BM24" s="4">
        <v>184</v>
      </c>
      <c r="BN24" s="4">
        <v>228</v>
      </c>
      <c r="BO24" s="4">
        <v>305</v>
      </c>
      <c r="BP24" s="5">
        <v>0.88709677419354838</v>
      </c>
      <c r="BQ24" s="5">
        <v>0.890625</v>
      </c>
      <c r="BR24" s="5">
        <v>0.85365853658536583</v>
      </c>
      <c r="BS24" s="5">
        <v>0.81132075471698117</v>
      </c>
      <c r="BT24" s="5">
        <v>0.79518072289156627</v>
      </c>
      <c r="BU24" s="5">
        <v>0.74519230769230771</v>
      </c>
      <c r="BV24" s="5">
        <v>0.61475409836065575</v>
      </c>
      <c r="BW24" s="5">
        <v>0.67391304347826086</v>
      </c>
      <c r="BX24" s="5">
        <v>0.66666666666666663</v>
      </c>
      <c r="BY24" s="5">
        <v>0.46885245901639344</v>
      </c>
    </row>
    <row r="25" spans="1:77">
      <c r="A25" s="2">
        <v>42835</v>
      </c>
      <c r="B25" s="4">
        <v>313</v>
      </c>
      <c r="C25" s="4">
        <v>734</v>
      </c>
      <c r="D25" s="4">
        <v>70</v>
      </c>
      <c r="E25" s="4">
        <v>485</v>
      </c>
      <c r="F25" s="5">
        <v>0.63258785942492013</v>
      </c>
      <c r="G25" s="5">
        <v>0.60762942779291551</v>
      </c>
      <c r="H25" s="5">
        <v>0.52857142857142858</v>
      </c>
      <c r="I25" s="5">
        <v>0.80206185567010313</v>
      </c>
      <c r="K25" s="2">
        <v>42835</v>
      </c>
      <c r="L25" s="4">
        <v>1410</v>
      </c>
      <c r="M25" s="4">
        <v>192</v>
      </c>
      <c r="N25" s="5">
        <v>0.65035460992907801</v>
      </c>
      <c r="O25" s="5">
        <v>0.796875</v>
      </c>
      <c r="Q25" s="2">
        <v>42835</v>
      </c>
      <c r="R25" s="4">
        <v>1201</v>
      </c>
      <c r="S25" s="4">
        <v>401</v>
      </c>
      <c r="T25" s="5">
        <v>0.63696919233971694</v>
      </c>
      <c r="U25" s="5">
        <v>0.76059850374064841</v>
      </c>
      <c r="W25" s="2">
        <v>42835</v>
      </c>
      <c r="X25" s="4">
        <v>354</v>
      </c>
      <c r="Y25" s="4">
        <v>401</v>
      </c>
      <c r="Z25" s="4">
        <v>847</v>
      </c>
      <c r="AA25" s="5">
        <v>0.66384180790960456</v>
      </c>
      <c r="AB25" s="5">
        <v>0.47132169576059851</v>
      </c>
      <c r="AC25" s="5">
        <v>0.76269185360094449</v>
      </c>
      <c r="AD25" s="5"/>
      <c r="AE25" s="2">
        <v>42835</v>
      </c>
      <c r="AF25" s="4">
        <v>909</v>
      </c>
      <c r="AG25" s="4">
        <v>693</v>
      </c>
      <c r="AH25" s="5">
        <v>0.69856985698569862</v>
      </c>
      <c r="AI25" s="5">
        <v>0.62770562770562766</v>
      </c>
      <c r="AK25" s="2">
        <v>42835</v>
      </c>
      <c r="AL25" s="4">
        <v>356</v>
      </c>
      <c r="AM25" s="4">
        <v>1246</v>
      </c>
      <c r="AN25" s="5">
        <v>0.5786516853932584</v>
      </c>
      <c r="AO25" s="5">
        <v>0.69341894060995179</v>
      </c>
      <c r="AQ25" s="2">
        <v>42821</v>
      </c>
      <c r="AR25" s="4">
        <v>1132</v>
      </c>
      <c r="AS25" s="4">
        <v>385</v>
      </c>
      <c r="AT25" s="5">
        <v>0.64840989399293292</v>
      </c>
      <c r="AU25" s="5">
        <v>0.68311688311688312</v>
      </c>
      <c r="AW25" s="2">
        <v>42821</v>
      </c>
      <c r="AX25" s="4">
        <v>117</v>
      </c>
      <c r="AY25" s="4">
        <v>333</v>
      </c>
      <c r="AZ25" s="4">
        <v>1067</v>
      </c>
      <c r="BA25" s="5">
        <v>0.77777777777777779</v>
      </c>
      <c r="BB25" s="5">
        <v>0.60060060060060061</v>
      </c>
      <c r="BC25" s="5">
        <v>0.66166822867853792</v>
      </c>
      <c r="BE25" s="2">
        <v>42835</v>
      </c>
      <c r="BF25" s="4">
        <v>56</v>
      </c>
      <c r="BG25" s="4">
        <v>76</v>
      </c>
      <c r="BH25" s="4">
        <v>118</v>
      </c>
      <c r="BI25" s="4">
        <v>115</v>
      </c>
      <c r="BJ25" s="4">
        <v>110</v>
      </c>
      <c r="BK25" s="4">
        <v>217</v>
      </c>
      <c r="BL25" s="4">
        <v>141</v>
      </c>
      <c r="BM25" s="4">
        <v>204</v>
      </c>
      <c r="BN25" s="4">
        <v>221</v>
      </c>
      <c r="BO25" s="4">
        <v>344</v>
      </c>
      <c r="BP25" s="5">
        <v>0.9107142857142857</v>
      </c>
      <c r="BQ25" s="5">
        <v>0.84210526315789469</v>
      </c>
      <c r="BR25" s="5">
        <v>0.88135593220338981</v>
      </c>
      <c r="BS25" s="5">
        <v>0.85217391304347823</v>
      </c>
      <c r="BT25" s="5">
        <v>0.8</v>
      </c>
      <c r="BU25" s="5">
        <v>0.76497695852534564</v>
      </c>
      <c r="BV25" s="5">
        <v>0.63120567375886527</v>
      </c>
      <c r="BW25" s="5">
        <v>0.67156862745098034</v>
      </c>
      <c r="BX25" s="5">
        <v>0.54298642533936647</v>
      </c>
      <c r="BY25" s="5">
        <v>0.44476744186046513</v>
      </c>
    </row>
    <row r="26" spans="1:77">
      <c r="A26" s="2">
        <v>42842</v>
      </c>
      <c r="B26" s="4">
        <v>249</v>
      </c>
      <c r="C26" s="4">
        <v>842</v>
      </c>
      <c r="D26" s="4">
        <v>85</v>
      </c>
      <c r="E26" s="4">
        <v>582</v>
      </c>
      <c r="F26" s="5">
        <v>0.73895582329317266</v>
      </c>
      <c r="G26" s="5">
        <v>0.61282660332541572</v>
      </c>
      <c r="H26" s="5">
        <v>0.55294117647058827</v>
      </c>
      <c r="I26" s="5">
        <v>0.78522336769759449</v>
      </c>
      <c r="K26" s="2">
        <v>42842</v>
      </c>
      <c r="L26" s="4">
        <v>1561</v>
      </c>
      <c r="M26" s="4">
        <v>197</v>
      </c>
      <c r="N26" s="5">
        <v>0.67072389493914153</v>
      </c>
      <c r="O26" s="5">
        <v>0.79695431472081213</v>
      </c>
      <c r="Q26" s="2">
        <v>42842</v>
      </c>
      <c r="R26" s="4">
        <v>1329</v>
      </c>
      <c r="S26" s="4">
        <v>429</v>
      </c>
      <c r="T26" s="5">
        <v>0.65237020316027083</v>
      </c>
      <c r="U26" s="5">
        <v>0.78554778554778559</v>
      </c>
      <c r="W26" s="2">
        <v>42842</v>
      </c>
      <c r="X26" s="4">
        <v>426</v>
      </c>
      <c r="Y26" s="4">
        <v>431</v>
      </c>
      <c r="Z26" s="4">
        <v>901</v>
      </c>
      <c r="AA26" s="5">
        <v>0.68075117370892024</v>
      </c>
      <c r="AB26" s="5">
        <v>0.51740139211136893</v>
      </c>
      <c r="AC26" s="5">
        <v>0.7669256381798002</v>
      </c>
      <c r="AD26" s="5"/>
      <c r="AE26" s="2">
        <v>42842</v>
      </c>
      <c r="AF26" s="4">
        <v>959</v>
      </c>
      <c r="AG26" s="4">
        <v>799</v>
      </c>
      <c r="AH26" s="5">
        <v>0.73305526590198122</v>
      </c>
      <c r="AI26" s="5">
        <v>0.62703379224030042</v>
      </c>
      <c r="AK26" s="2">
        <v>42842</v>
      </c>
      <c r="AL26" s="4">
        <v>352</v>
      </c>
      <c r="AM26" s="4">
        <v>1406</v>
      </c>
      <c r="AN26" s="5">
        <v>0.60795454545454541</v>
      </c>
      <c r="AO26" s="5">
        <v>0.70412517780938833</v>
      </c>
      <c r="AQ26" s="2">
        <v>42828</v>
      </c>
      <c r="AR26" s="4">
        <v>1168</v>
      </c>
      <c r="AS26" s="4">
        <v>317</v>
      </c>
      <c r="AT26" s="5">
        <v>0.67808219178082196</v>
      </c>
      <c r="AU26" s="5">
        <v>0.71293375394321767</v>
      </c>
      <c r="AW26" s="2">
        <v>42828</v>
      </c>
      <c r="AX26" s="4">
        <v>110</v>
      </c>
      <c r="AY26" s="4">
        <v>304</v>
      </c>
      <c r="AZ26" s="4">
        <v>1071</v>
      </c>
      <c r="BA26" s="5">
        <v>0.84545454545454546</v>
      </c>
      <c r="BB26" s="5">
        <v>0.61184210526315785</v>
      </c>
      <c r="BC26" s="5">
        <v>0.69000933706816059</v>
      </c>
      <c r="BE26" s="2">
        <v>42842</v>
      </c>
      <c r="BF26" s="4">
        <v>69</v>
      </c>
      <c r="BG26" s="4">
        <v>67</v>
      </c>
      <c r="BH26" s="4">
        <v>134</v>
      </c>
      <c r="BI26" s="4">
        <v>124</v>
      </c>
      <c r="BJ26" s="4">
        <v>111</v>
      </c>
      <c r="BK26" s="4">
        <v>245</v>
      </c>
      <c r="BL26" s="4">
        <v>143</v>
      </c>
      <c r="BM26" s="4">
        <v>241</v>
      </c>
      <c r="BN26" s="4">
        <v>265</v>
      </c>
      <c r="BO26" s="4">
        <v>359</v>
      </c>
      <c r="BP26" s="5">
        <v>0.89855072463768115</v>
      </c>
      <c r="BQ26" s="5">
        <v>0.91044776119402981</v>
      </c>
      <c r="BR26" s="5">
        <v>0.80597014925373134</v>
      </c>
      <c r="BS26" s="5">
        <v>0.83064516129032262</v>
      </c>
      <c r="BT26" s="5">
        <v>0.8288288288288288</v>
      </c>
      <c r="BU26" s="5">
        <v>0.74693877551020404</v>
      </c>
      <c r="BV26" s="5">
        <v>0.66433566433566438</v>
      </c>
      <c r="BW26" s="5">
        <v>0.70539419087136934</v>
      </c>
      <c r="BX26" s="5">
        <v>0.61509433962264148</v>
      </c>
      <c r="BY26" s="5">
        <v>0.46518105849582175</v>
      </c>
    </row>
    <row r="27" spans="1:77">
      <c r="A27" s="2">
        <v>42849</v>
      </c>
      <c r="B27" s="4">
        <v>295</v>
      </c>
      <c r="C27" s="4">
        <v>789</v>
      </c>
      <c r="D27" s="4">
        <v>80</v>
      </c>
      <c r="E27" s="4">
        <v>560</v>
      </c>
      <c r="F27" s="5">
        <v>0.735593220338983</v>
      </c>
      <c r="G27" s="5">
        <v>0.66286438529784542</v>
      </c>
      <c r="H27" s="5">
        <v>0.65</v>
      </c>
      <c r="I27" s="5">
        <v>0.81964285714285712</v>
      </c>
      <c r="K27" s="2">
        <v>42849</v>
      </c>
      <c r="L27" s="4">
        <v>1525</v>
      </c>
      <c r="M27" s="4">
        <v>199</v>
      </c>
      <c r="N27" s="5">
        <v>0.71344262295081973</v>
      </c>
      <c r="O27" s="5">
        <v>0.81909547738693467</v>
      </c>
      <c r="Q27" s="2">
        <v>42849</v>
      </c>
      <c r="R27" s="4">
        <v>1286</v>
      </c>
      <c r="S27" s="4">
        <v>438</v>
      </c>
      <c r="T27" s="5">
        <v>0.69906687402799383</v>
      </c>
      <c r="U27" s="5">
        <v>0.80365296803652964</v>
      </c>
      <c r="W27" s="2">
        <v>42849</v>
      </c>
      <c r="X27" s="4">
        <v>397</v>
      </c>
      <c r="Y27" s="4">
        <v>448</v>
      </c>
      <c r="Z27" s="4">
        <v>879</v>
      </c>
      <c r="AA27" s="5">
        <v>0.72544080604534</v>
      </c>
      <c r="AB27" s="5">
        <v>0.5892857142857143</v>
      </c>
      <c r="AC27" s="5">
        <v>0.79522184300341292</v>
      </c>
      <c r="AD27" s="5"/>
      <c r="AE27" s="2">
        <v>42849</v>
      </c>
      <c r="AF27" s="4">
        <v>955</v>
      </c>
      <c r="AG27" s="4">
        <v>769</v>
      </c>
      <c r="AH27" s="5">
        <v>0.76544502617801047</v>
      </c>
      <c r="AI27" s="5">
        <v>0.67620286085825743</v>
      </c>
      <c r="AK27" s="2">
        <v>42849</v>
      </c>
      <c r="AL27" s="4">
        <v>372</v>
      </c>
      <c r="AM27" s="4">
        <v>1352</v>
      </c>
      <c r="AN27" s="5">
        <v>0.66397849462365588</v>
      </c>
      <c r="AO27" s="5">
        <v>0.74260355029585801</v>
      </c>
      <c r="AQ27" s="2">
        <v>42849</v>
      </c>
      <c r="AR27" s="4">
        <v>1315</v>
      </c>
      <c r="AS27" s="4">
        <v>409</v>
      </c>
      <c r="AT27" s="5">
        <v>0.71634980988593155</v>
      </c>
      <c r="AU27" s="5">
        <v>0.75550122249388751</v>
      </c>
      <c r="AW27" s="2">
        <v>42849</v>
      </c>
      <c r="AX27" s="4">
        <v>135</v>
      </c>
      <c r="AY27" s="4">
        <v>360</v>
      </c>
      <c r="AZ27" s="4">
        <v>1229</v>
      </c>
      <c r="BA27" s="5">
        <v>0.85185185185185186</v>
      </c>
      <c r="BB27" s="5">
        <v>0.65277777777777779</v>
      </c>
      <c r="BC27" s="5">
        <v>0.7331163547599675</v>
      </c>
      <c r="BE27" s="2">
        <v>42849</v>
      </c>
      <c r="BF27" s="4">
        <v>65</v>
      </c>
      <c r="BG27" s="4">
        <v>74</v>
      </c>
      <c r="BH27" s="4">
        <v>148</v>
      </c>
      <c r="BI27" s="4">
        <v>126</v>
      </c>
      <c r="BJ27" s="4">
        <v>108</v>
      </c>
      <c r="BK27" s="4">
        <v>236</v>
      </c>
      <c r="BL27" s="4">
        <v>114</v>
      </c>
      <c r="BM27" s="4">
        <v>228</v>
      </c>
      <c r="BN27" s="4">
        <v>251</v>
      </c>
      <c r="BO27" s="4">
        <v>374</v>
      </c>
      <c r="BP27" s="5">
        <v>0.90769230769230769</v>
      </c>
      <c r="BQ27" s="5">
        <v>0.89189189189189189</v>
      </c>
      <c r="BR27" s="5">
        <v>0.8783783783783784</v>
      </c>
      <c r="BS27" s="5">
        <v>0.79365079365079361</v>
      </c>
      <c r="BT27" s="5">
        <v>0.85185185185185186</v>
      </c>
      <c r="BU27" s="5">
        <v>0.78813559322033899</v>
      </c>
      <c r="BV27" s="5">
        <v>0.7192982456140351</v>
      </c>
      <c r="BW27" s="5">
        <v>0.70175438596491224</v>
      </c>
      <c r="BX27" s="5">
        <v>0.65338645418326691</v>
      </c>
      <c r="BY27" s="5">
        <v>0.5668449197860963</v>
      </c>
    </row>
    <row r="28" spans="1:77">
      <c r="A28" s="2">
        <v>42856</v>
      </c>
      <c r="B28" s="4">
        <v>268</v>
      </c>
      <c r="C28" s="4">
        <v>838</v>
      </c>
      <c r="D28" s="4">
        <v>65</v>
      </c>
      <c r="E28" s="4">
        <v>574</v>
      </c>
      <c r="F28" s="5">
        <v>0.69776119402985071</v>
      </c>
      <c r="G28" s="5">
        <v>0.65990453460620524</v>
      </c>
      <c r="H28" s="5">
        <v>0.6</v>
      </c>
      <c r="I28" s="5">
        <v>0.80836236933797911</v>
      </c>
      <c r="K28" s="2">
        <v>42856</v>
      </c>
      <c r="L28" s="4">
        <v>1558</v>
      </c>
      <c r="M28" s="4">
        <v>187</v>
      </c>
      <c r="N28" s="5">
        <v>0.70474967907573816</v>
      </c>
      <c r="O28" s="5">
        <v>0.77540106951871657</v>
      </c>
      <c r="Q28" s="2">
        <v>42856</v>
      </c>
      <c r="R28" s="4">
        <v>1306</v>
      </c>
      <c r="S28" s="4">
        <v>439</v>
      </c>
      <c r="T28" s="5">
        <v>0.69218989280245025</v>
      </c>
      <c r="U28" s="5">
        <v>0.77220956719817768</v>
      </c>
      <c r="W28" s="2">
        <v>42856</v>
      </c>
      <c r="X28" s="4">
        <v>389</v>
      </c>
      <c r="Y28" s="4">
        <v>379</v>
      </c>
      <c r="Z28" s="4">
        <v>977</v>
      </c>
      <c r="AA28" s="5">
        <v>0.73264781491002573</v>
      </c>
      <c r="AB28" s="5">
        <v>0.55936675461741425</v>
      </c>
      <c r="AC28" s="5">
        <v>0.76356192425793246</v>
      </c>
      <c r="AD28" s="5"/>
      <c r="AE28" s="2">
        <v>42856</v>
      </c>
      <c r="AF28" s="4">
        <v>962</v>
      </c>
      <c r="AG28" s="4">
        <v>783</v>
      </c>
      <c r="AH28" s="5">
        <v>0.74532224532224534</v>
      </c>
      <c r="AI28" s="5">
        <v>0.67177522349936147</v>
      </c>
      <c r="AK28" s="2">
        <v>42856</v>
      </c>
      <c r="AL28" s="4">
        <v>329</v>
      </c>
      <c r="AM28" s="4">
        <v>1416</v>
      </c>
      <c r="AN28" s="5">
        <v>0.58054711246200608</v>
      </c>
      <c r="AO28" s="5">
        <v>0.74293785310734461</v>
      </c>
      <c r="AQ28" s="2">
        <v>42856</v>
      </c>
      <c r="AR28" s="4">
        <v>1374</v>
      </c>
      <c r="AS28" s="4">
        <v>371</v>
      </c>
      <c r="AT28" s="5">
        <v>0.71033478893740898</v>
      </c>
      <c r="AU28" s="5">
        <v>0.71967654986522911</v>
      </c>
      <c r="AW28" s="2">
        <v>42856</v>
      </c>
      <c r="AX28" s="4">
        <v>117</v>
      </c>
      <c r="AY28" s="4">
        <v>337</v>
      </c>
      <c r="AZ28" s="4">
        <v>1291</v>
      </c>
      <c r="BA28" s="5">
        <v>0.81196581196581197</v>
      </c>
      <c r="BB28" s="5">
        <v>0.69732937685459939</v>
      </c>
      <c r="BC28" s="5">
        <v>0.70720371804802473</v>
      </c>
      <c r="BE28" s="2">
        <v>42856</v>
      </c>
      <c r="BF28" s="4">
        <v>59</v>
      </c>
      <c r="BG28" s="4">
        <v>68</v>
      </c>
      <c r="BH28" s="4">
        <v>156</v>
      </c>
      <c r="BI28" s="4">
        <v>140</v>
      </c>
      <c r="BJ28" s="4">
        <v>125</v>
      </c>
      <c r="BK28" s="4">
        <v>251</v>
      </c>
      <c r="BL28" s="4">
        <v>174</v>
      </c>
      <c r="BM28" s="4">
        <v>230</v>
      </c>
      <c r="BN28" s="4">
        <v>219</v>
      </c>
      <c r="BO28" s="4">
        <v>323</v>
      </c>
      <c r="BP28" s="5">
        <v>0.93220338983050843</v>
      </c>
      <c r="BQ28" s="5">
        <v>0.83823529411764708</v>
      </c>
      <c r="BR28" s="5">
        <v>0.8141025641025641</v>
      </c>
      <c r="BS28" s="5">
        <v>0.80714285714285716</v>
      </c>
      <c r="BT28" s="5">
        <v>0.81599999999999995</v>
      </c>
      <c r="BU28" s="5">
        <v>0.78486055776892427</v>
      </c>
      <c r="BV28" s="5">
        <v>0.65517241379310343</v>
      </c>
      <c r="BW28" s="5">
        <v>0.73478260869565215</v>
      </c>
      <c r="BX28" s="5">
        <v>0.62100456621004563</v>
      </c>
      <c r="BY28" s="5">
        <v>0.5356037151702786</v>
      </c>
    </row>
    <row r="32" spans="1:77">
      <c r="A32">
        <v>11</v>
      </c>
      <c r="K32">
        <v>12</v>
      </c>
      <c r="Q32">
        <v>13</v>
      </c>
      <c r="W32">
        <v>15</v>
      </c>
      <c r="AE32">
        <v>16</v>
      </c>
      <c r="AK32">
        <v>17</v>
      </c>
    </row>
    <row r="33" spans="1:77">
      <c r="A33" s="1" t="s">
        <v>5</v>
      </c>
      <c r="B33" s="3">
        <v>1</v>
      </c>
      <c r="K33" s="1" t="s">
        <v>5</v>
      </c>
      <c r="L33" s="3">
        <v>1</v>
      </c>
      <c r="Q33" s="1" t="s">
        <v>5</v>
      </c>
      <c r="R33" s="3">
        <v>1</v>
      </c>
      <c r="W33" s="1" t="s">
        <v>5</v>
      </c>
      <c r="X33" s="3">
        <v>1</v>
      </c>
      <c r="AE33" s="1" t="s">
        <v>5</v>
      </c>
      <c r="AF33" s="3">
        <v>1</v>
      </c>
      <c r="AK33" s="1" t="s">
        <v>5</v>
      </c>
      <c r="AL33" s="3">
        <v>1</v>
      </c>
      <c r="AQ33" s="1" t="s">
        <v>5</v>
      </c>
      <c r="AR33" s="3">
        <v>1</v>
      </c>
      <c r="AW33" s="1" t="s">
        <v>5</v>
      </c>
      <c r="AX33" s="3">
        <v>1</v>
      </c>
      <c r="BE33" s="1" t="s">
        <v>5</v>
      </c>
      <c r="BF33" s="3">
        <v>1</v>
      </c>
    </row>
    <row r="35" spans="1:77">
      <c r="B35" s="1" t="s">
        <v>1</v>
      </c>
      <c r="L35" s="1" t="s">
        <v>1</v>
      </c>
      <c r="R35" s="1" t="s">
        <v>1</v>
      </c>
      <c r="X35" s="1" t="s">
        <v>1</v>
      </c>
      <c r="AF35" s="1" t="s">
        <v>1</v>
      </c>
      <c r="AL35" s="1" t="s">
        <v>1</v>
      </c>
      <c r="AR35" s="1" t="s">
        <v>1</v>
      </c>
      <c r="AX35" s="1" t="s">
        <v>1</v>
      </c>
      <c r="BF35" s="1" t="s">
        <v>1</v>
      </c>
    </row>
    <row r="36" spans="1:77">
      <c r="B36" t="s">
        <v>4</v>
      </c>
      <c r="F36" t="s">
        <v>54</v>
      </c>
      <c r="L36" t="s">
        <v>4</v>
      </c>
      <c r="N36" t="s">
        <v>54</v>
      </c>
      <c r="R36" t="s">
        <v>4</v>
      </c>
      <c r="T36" t="s">
        <v>54</v>
      </c>
      <c r="X36" t="s">
        <v>4</v>
      </c>
      <c r="AA36" t="s">
        <v>54</v>
      </c>
      <c r="AF36" t="s">
        <v>4</v>
      </c>
      <c r="AH36" t="s">
        <v>54</v>
      </c>
      <c r="AL36" t="s">
        <v>4</v>
      </c>
      <c r="AN36" t="s">
        <v>54</v>
      </c>
      <c r="AR36" t="s">
        <v>4</v>
      </c>
      <c r="AT36" t="s">
        <v>54</v>
      </c>
      <c r="AX36" t="s">
        <v>4</v>
      </c>
      <c r="BA36" t="s">
        <v>54</v>
      </c>
      <c r="BF36" t="s">
        <v>4</v>
      </c>
      <c r="BP36" t="s">
        <v>54</v>
      </c>
    </row>
    <row r="37" spans="1:77">
      <c r="A37" s="1" t="s">
        <v>0</v>
      </c>
      <c r="B37" t="s">
        <v>39</v>
      </c>
      <c r="C37" t="s">
        <v>51</v>
      </c>
      <c r="D37" t="s">
        <v>49</v>
      </c>
      <c r="E37" t="s">
        <v>52</v>
      </c>
      <c r="F37" t="s">
        <v>39</v>
      </c>
      <c r="G37" t="s">
        <v>51</v>
      </c>
      <c r="H37" t="s">
        <v>49</v>
      </c>
      <c r="I37" t="s">
        <v>52</v>
      </c>
      <c r="K37" s="1" t="s">
        <v>0</v>
      </c>
      <c r="L37" t="s">
        <v>46</v>
      </c>
      <c r="M37" t="s">
        <v>41</v>
      </c>
      <c r="N37" t="s">
        <v>46</v>
      </c>
      <c r="O37" t="s">
        <v>41</v>
      </c>
      <c r="Q37" s="1" t="s">
        <v>0</v>
      </c>
      <c r="R37" t="s">
        <v>55</v>
      </c>
      <c r="S37" t="s">
        <v>56</v>
      </c>
      <c r="T37" t="s">
        <v>55</v>
      </c>
      <c r="U37" t="s">
        <v>56</v>
      </c>
      <c r="W37" s="1" t="s">
        <v>0</v>
      </c>
      <c r="X37" t="s">
        <v>42</v>
      </c>
      <c r="Y37" t="s">
        <v>47</v>
      </c>
      <c r="Z37" t="s">
        <v>50</v>
      </c>
      <c r="AA37" t="s">
        <v>42</v>
      </c>
      <c r="AB37" t="s">
        <v>47</v>
      </c>
      <c r="AC37" t="s">
        <v>50</v>
      </c>
      <c r="AE37" s="1" t="s">
        <v>0</v>
      </c>
      <c r="AF37" t="s">
        <v>36</v>
      </c>
      <c r="AG37" t="s">
        <v>53</v>
      </c>
      <c r="AH37" t="s">
        <v>36</v>
      </c>
      <c r="AI37" t="s">
        <v>53</v>
      </c>
      <c r="AK37" s="1" t="s">
        <v>0</v>
      </c>
      <c r="AL37" t="s">
        <v>40</v>
      </c>
      <c r="AM37" t="s">
        <v>45</v>
      </c>
      <c r="AN37" t="s">
        <v>40</v>
      </c>
      <c r="AO37" t="s">
        <v>45</v>
      </c>
      <c r="AQ37" s="1" t="s">
        <v>0</v>
      </c>
      <c r="AR37" t="s">
        <v>43</v>
      </c>
      <c r="AS37" t="s">
        <v>37</v>
      </c>
      <c r="AT37" t="s">
        <v>43</v>
      </c>
      <c r="AU37" t="s">
        <v>37</v>
      </c>
      <c r="AW37" s="1" t="s">
        <v>0</v>
      </c>
      <c r="AX37" t="s">
        <v>48</v>
      </c>
      <c r="AY37" t="s">
        <v>44</v>
      </c>
      <c r="AZ37" t="s">
        <v>38</v>
      </c>
      <c r="BA37" t="s">
        <v>48</v>
      </c>
      <c r="BB37" t="s">
        <v>44</v>
      </c>
      <c r="BC37" t="s">
        <v>38</v>
      </c>
      <c r="BE37" s="1" t="s">
        <v>0</v>
      </c>
      <c r="BF37">
        <v>1</v>
      </c>
      <c r="BG37">
        <v>2</v>
      </c>
      <c r="BH37">
        <v>3</v>
      </c>
      <c r="BI37">
        <v>4</v>
      </c>
      <c r="BJ37">
        <v>5</v>
      </c>
      <c r="BK37">
        <v>6</v>
      </c>
      <c r="BL37">
        <v>7</v>
      </c>
      <c r="BM37">
        <v>8</v>
      </c>
      <c r="BN37">
        <v>9</v>
      </c>
      <c r="BO37">
        <v>10</v>
      </c>
      <c r="BP37">
        <v>1</v>
      </c>
      <c r="BQ37">
        <v>2</v>
      </c>
      <c r="BR37">
        <v>3</v>
      </c>
      <c r="BS37">
        <v>4</v>
      </c>
      <c r="BT37">
        <v>5</v>
      </c>
      <c r="BU37">
        <v>6</v>
      </c>
      <c r="BV37">
        <v>7</v>
      </c>
      <c r="BW37">
        <v>8</v>
      </c>
      <c r="BX37">
        <v>9</v>
      </c>
      <c r="BY37">
        <v>10</v>
      </c>
    </row>
    <row r="38" spans="1:77">
      <c r="A38" s="2">
        <v>42702</v>
      </c>
      <c r="B38" s="4">
        <v>226</v>
      </c>
      <c r="C38" s="4">
        <v>660</v>
      </c>
      <c r="D38" s="4">
        <v>49</v>
      </c>
      <c r="E38" s="4">
        <v>521</v>
      </c>
      <c r="F38" s="4">
        <v>8.4070796460176997E-2</v>
      </c>
      <c r="G38" s="4">
        <v>8.7878787878787876E-2</v>
      </c>
      <c r="H38" s="4">
        <v>0.12244897959183673</v>
      </c>
      <c r="I38" s="4">
        <v>3.4548944337811902E-2</v>
      </c>
      <c r="K38" s="2">
        <v>42702</v>
      </c>
      <c r="L38" s="4">
        <v>1258</v>
      </c>
      <c r="M38" s="4">
        <v>198</v>
      </c>
      <c r="N38" s="4">
        <v>7.7106518282988867E-2</v>
      </c>
      <c r="O38" s="4">
        <v>2.0202020202020204E-2</v>
      </c>
      <c r="Q38" s="2">
        <v>42702</v>
      </c>
      <c r="R38" s="4">
        <v>1116</v>
      </c>
      <c r="S38" s="4">
        <v>340</v>
      </c>
      <c r="T38" s="4">
        <v>7.7956989247311828E-2</v>
      </c>
      <c r="U38" s="4">
        <v>4.1176470588235294E-2</v>
      </c>
      <c r="W38" s="2">
        <v>42702</v>
      </c>
      <c r="X38" s="4">
        <v>298</v>
      </c>
      <c r="Y38" s="4">
        <v>243</v>
      </c>
      <c r="Z38" s="4">
        <v>915</v>
      </c>
      <c r="AA38" s="4">
        <v>6.7114093959731544E-2</v>
      </c>
      <c r="AB38" s="4">
        <v>0.14814814814814814</v>
      </c>
      <c r="AC38" s="4">
        <v>4.9180327868852458E-2</v>
      </c>
      <c r="AD38" s="4"/>
      <c r="AE38" s="2">
        <v>42702</v>
      </c>
      <c r="AF38" s="4">
        <v>760</v>
      </c>
      <c r="AG38" s="4">
        <v>696</v>
      </c>
      <c r="AH38" s="4">
        <v>40</v>
      </c>
      <c r="AI38" s="4">
        <v>61</v>
      </c>
      <c r="AK38" s="2">
        <v>42702</v>
      </c>
      <c r="AL38" s="4">
        <v>338</v>
      </c>
      <c r="AM38" s="4">
        <v>1118</v>
      </c>
      <c r="AN38" s="4">
        <v>6.8047337278106509E-2</v>
      </c>
      <c r="AO38" s="4">
        <v>6.9767441860465115E-2</v>
      </c>
      <c r="AQ38" s="2">
        <v>42702</v>
      </c>
      <c r="AR38" s="4">
        <v>1060</v>
      </c>
      <c r="AS38" s="4">
        <v>396</v>
      </c>
      <c r="AT38" s="4">
        <v>7.5471698113207544E-2</v>
      </c>
      <c r="AU38" s="4">
        <v>5.3030303030303032E-2</v>
      </c>
      <c r="AW38" s="2">
        <v>42702</v>
      </c>
      <c r="AX38" s="4">
        <v>121</v>
      </c>
      <c r="AY38" s="4">
        <v>301</v>
      </c>
      <c r="AZ38" s="4">
        <v>1034</v>
      </c>
      <c r="BA38" s="4">
        <v>1.6528925619834711E-2</v>
      </c>
      <c r="BB38" s="4">
        <v>6.3122923588039864E-2</v>
      </c>
      <c r="BC38" s="4">
        <v>7.7369439071566737E-2</v>
      </c>
      <c r="BE38" s="2">
        <v>42702</v>
      </c>
      <c r="BF38" s="4">
        <v>78</v>
      </c>
      <c r="BG38" s="4">
        <v>68</v>
      </c>
      <c r="BH38" s="4">
        <v>124</v>
      </c>
      <c r="BI38" s="4">
        <v>143</v>
      </c>
      <c r="BJ38" s="4">
        <v>91</v>
      </c>
      <c r="BK38" s="4">
        <v>234</v>
      </c>
      <c r="BL38" s="4">
        <v>123</v>
      </c>
      <c r="BM38" s="4">
        <v>173</v>
      </c>
      <c r="BN38" s="4">
        <v>213</v>
      </c>
      <c r="BO38" s="4">
        <v>209</v>
      </c>
      <c r="BP38" s="4">
        <v>0</v>
      </c>
      <c r="BQ38" s="4">
        <v>0</v>
      </c>
      <c r="BR38" s="4">
        <v>2.4193548387096774E-2</v>
      </c>
      <c r="BS38" s="4">
        <v>2.097902097902098E-2</v>
      </c>
      <c r="BT38" s="4">
        <v>3.2967032967032968E-2</v>
      </c>
      <c r="BU38" s="4">
        <v>5.9829059829059832E-2</v>
      </c>
      <c r="BV38" s="4">
        <v>0.12195121951219512</v>
      </c>
      <c r="BW38" s="4">
        <v>7.5144508670520235E-2</v>
      </c>
      <c r="BX38" s="4">
        <v>8.4507042253521125E-2</v>
      </c>
      <c r="BY38" s="4">
        <v>0.15311004784688995</v>
      </c>
    </row>
    <row r="39" spans="1:77">
      <c r="A39" s="2">
        <v>42709</v>
      </c>
      <c r="B39" s="4">
        <v>265</v>
      </c>
      <c r="C39" s="4">
        <v>696</v>
      </c>
      <c r="D39" s="4">
        <v>80</v>
      </c>
      <c r="E39" s="4">
        <v>638</v>
      </c>
      <c r="F39" s="4">
        <v>6.0377358490566038E-2</v>
      </c>
      <c r="G39" s="4">
        <v>0.10919540229885058</v>
      </c>
      <c r="H39" s="4">
        <v>0.13750000000000001</v>
      </c>
      <c r="I39" s="4">
        <v>5.329153605015674E-2</v>
      </c>
      <c r="K39" s="2">
        <v>42709</v>
      </c>
      <c r="L39" s="4">
        <v>1435</v>
      </c>
      <c r="M39" s="4">
        <v>244</v>
      </c>
      <c r="N39" s="4">
        <v>9.0592334494773524E-2</v>
      </c>
      <c r="O39" s="4">
        <v>2.8688524590163935E-2</v>
      </c>
      <c r="Q39" s="2">
        <v>42709</v>
      </c>
      <c r="R39" s="4">
        <v>1247</v>
      </c>
      <c r="S39" s="4">
        <v>432</v>
      </c>
      <c r="T39" s="4">
        <v>8.8211708099438652E-2</v>
      </c>
      <c r="U39" s="4">
        <v>6.25E-2</v>
      </c>
      <c r="W39" s="2">
        <v>42709</v>
      </c>
      <c r="X39" s="4">
        <v>320</v>
      </c>
      <c r="Y39" s="4">
        <v>272</v>
      </c>
      <c r="Z39" s="4">
        <v>1087</v>
      </c>
      <c r="AA39" s="4">
        <v>8.1250000000000003E-2</v>
      </c>
      <c r="AB39" s="4">
        <v>0.20220588235294118</v>
      </c>
      <c r="AC39" s="4">
        <v>5.1517939282428704E-2</v>
      </c>
      <c r="AD39" s="4"/>
      <c r="AE39" s="2">
        <v>42709</v>
      </c>
      <c r="AF39" s="4">
        <v>922</v>
      </c>
      <c r="AG39" s="4">
        <v>757</v>
      </c>
      <c r="AH39" s="4">
        <v>53</v>
      </c>
      <c r="AI39" s="4">
        <v>84</v>
      </c>
      <c r="AK39" s="2">
        <v>42709</v>
      </c>
      <c r="AL39" s="4">
        <v>396</v>
      </c>
      <c r="AM39" s="4">
        <v>1283</v>
      </c>
      <c r="AN39" s="4">
        <v>5.3030303030303032E-2</v>
      </c>
      <c r="AO39" s="4">
        <v>9.041309431021044E-2</v>
      </c>
      <c r="AQ39" s="2">
        <v>42709</v>
      </c>
      <c r="AR39" s="4">
        <v>1257</v>
      </c>
      <c r="AS39" s="4">
        <v>422</v>
      </c>
      <c r="AT39" s="4">
        <v>8.5918854415274457E-2</v>
      </c>
      <c r="AU39" s="4">
        <v>6.8720379146919433E-2</v>
      </c>
      <c r="AW39" s="2">
        <v>42709</v>
      </c>
      <c r="AX39" s="4">
        <v>164</v>
      </c>
      <c r="AY39" s="4">
        <v>311</v>
      </c>
      <c r="AZ39" s="4">
        <v>1204</v>
      </c>
      <c r="BA39" s="4">
        <v>2.4390243902439025E-2</v>
      </c>
      <c r="BB39" s="4">
        <v>9.9678456591639875E-2</v>
      </c>
      <c r="BC39" s="4">
        <v>8.4717607973421927E-2</v>
      </c>
      <c r="BE39" s="2">
        <v>42709</v>
      </c>
      <c r="BF39" s="4">
        <v>111</v>
      </c>
      <c r="BG39" s="4">
        <v>91</v>
      </c>
      <c r="BH39" s="4">
        <v>174</v>
      </c>
      <c r="BI39" s="4">
        <v>139</v>
      </c>
      <c r="BJ39" s="4">
        <v>90</v>
      </c>
      <c r="BK39" s="4">
        <v>282</v>
      </c>
      <c r="BL39" s="4">
        <v>142</v>
      </c>
      <c r="BM39" s="4">
        <v>191</v>
      </c>
      <c r="BN39" s="4">
        <v>207</v>
      </c>
      <c r="BO39" s="4">
        <v>252</v>
      </c>
      <c r="BP39" s="4">
        <v>0</v>
      </c>
      <c r="BQ39" s="4">
        <v>3.2967032967032968E-2</v>
      </c>
      <c r="BR39" s="4">
        <v>1.1494252873563218E-2</v>
      </c>
      <c r="BS39" s="4">
        <v>2.1582733812949641E-2</v>
      </c>
      <c r="BT39" s="4">
        <v>3.3333333333333333E-2</v>
      </c>
      <c r="BU39" s="4">
        <v>7.0921985815602842E-2</v>
      </c>
      <c r="BV39" s="4">
        <v>0.11971830985915492</v>
      </c>
      <c r="BW39" s="4">
        <v>9.947643979057591E-2</v>
      </c>
      <c r="BX39" s="4">
        <v>0.10144927536231885</v>
      </c>
      <c r="BY39" s="4">
        <v>0.19444444444444445</v>
      </c>
    </row>
    <row r="40" spans="1:77">
      <c r="A40" s="2">
        <v>42716</v>
      </c>
      <c r="B40" s="4">
        <v>266</v>
      </c>
      <c r="C40" s="4">
        <v>689</v>
      </c>
      <c r="D40" s="4">
        <v>89</v>
      </c>
      <c r="E40" s="4">
        <v>595</v>
      </c>
      <c r="F40" s="4">
        <v>5.6390977443609019E-2</v>
      </c>
      <c r="G40" s="4">
        <v>8.2728592162554432E-2</v>
      </c>
      <c r="H40" s="4">
        <v>0.14606741573033707</v>
      </c>
      <c r="I40" s="4">
        <v>4.3697478991596636E-2</v>
      </c>
      <c r="K40" s="2">
        <v>42716</v>
      </c>
      <c r="L40" s="4">
        <v>1402</v>
      </c>
      <c r="M40" s="4">
        <v>237</v>
      </c>
      <c r="N40" s="4">
        <v>7.4179743223965769E-2</v>
      </c>
      <c r="O40" s="4">
        <v>2.9535864978902954E-2</v>
      </c>
      <c r="Q40" s="2">
        <v>42716</v>
      </c>
      <c r="R40" s="4">
        <v>1231</v>
      </c>
      <c r="S40" s="4">
        <v>408</v>
      </c>
      <c r="T40" s="4">
        <v>7.2298943948009745E-2</v>
      </c>
      <c r="U40" s="4">
        <v>5.3921568627450983E-2</v>
      </c>
      <c r="W40" s="2">
        <v>42716</v>
      </c>
      <c r="X40" s="4">
        <v>327</v>
      </c>
      <c r="Y40" s="4">
        <v>266</v>
      </c>
      <c r="Z40" s="4">
        <v>1046</v>
      </c>
      <c r="AA40" s="4">
        <v>4.8929663608562692E-2</v>
      </c>
      <c r="AB40" s="4">
        <v>0.16541353383458646</v>
      </c>
      <c r="AC40" s="4">
        <v>4.8757170172084127E-2</v>
      </c>
      <c r="AD40" s="4"/>
      <c r="AE40" s="2">
        <v>42716</v>
      </c>
      <c r="AF40" s="4">
        <v>838</v>
      </c>
      <c r="AG40" s="4">
        <v>801</v>
      </c>
      <c r="AH40" s="4">
        <v>36</v>
      </c>
      <c r="AI40" s="4">
        <v>75</v>
      </c>
      <c r="AK40" s="2">
        <v>42716</v>
      </c>
      <c r="AL40" s="4">
        <v>395</v>
      </c>
      <c r="AM40" s="4">
        <v>1244</v>
      </c>
      <c r="AN40" s="4">
        <v>6.5822784810126586E-2</v>
      </c>
      <c r="AO40" s="4">
        <v>6.8327974276527328E-2</v>
      </c>
      <c r="AQ40" s="2">
        <v>42716</v>
      </c>
      <c r="AR40" s="4">
        <v>1201</v>
      </c>
      <c r="AS40" s="4">
        <v>438</v>
      </c>
      <c r="AT40" s="4">
        <v>7.3272273105745217E-2</v>
      </c>
      <c r="AU40" s="4">
        <v>5.2511415525114152E-2</v>
      </c>
      <c r="AW40" s="2">
        <v>42716</v>
      </c>
      <c r="AX40" s="4">
        <v>167</v>
      </c>
      <c r="AY40" s="4">
        <v>300</v>
      </c>
      <c r="AZ40" s="4">
        <v>1172</v>
      </c>
      <c r="BA40" s="4">
        <v>1.1976047904191617E-2</v>
      </c>
      <c r="BB40" s="4">
        <v>0.08</v>
      </c>
      <c r="BC40" s="4">
        <v>7.252559726962457E-2</v>
      </c>
      <c r="BE40" s="2">
        <v>42716</v>
      </c>
      <c r="BF40" s="4">
        <v>104</v>
      </c>
      <c r="BG40" s="4">
        <v>89</v>
      </c>
      <c r="BH40" s="4">
        <v>138</v>
      </c>
      <c r="BI40" s="4">
        <v>144</v>
      </c>
      <c r="BJ40" s="4">
        <v>105</v>
      </c>
      <c r="BK40" s="4">
        <v>268</v>
      </c>
      <c r="BL40" s="4">
        <v>157</v>
      </c>
      <c r="BM40" s="4">
        <v>184</v>
      </c>
      <c r="BN40" s="4">
        <v>210</v>
      </c>
      <c r="BO40" s="4">
        <v>240</v>
      </c>
      <c r="BP40" s="4">
        <v>0</v>
      </c>
      <c r="BQ40" s="4">
        <v>0</v>
      </c>
      <c r="BR40" s="4">
        <v>4.3478260869565216E-2</v>
      </c>
      <c r="BS40" s="4">
        <v>1.3888888888888888E-2</v>
      </c>
      <c r="BT40" s="4">
        <v>3.8095238095238099E-2</v>
      </c>
      <c r="BU40" s="4">
        <v>7.0895522388059698E-2</v>
      </c>
      <c r="BV40" s="4">
        <v>8.2802547770700632E-2</v>
      </c>
      <c r="BW40" s="4">
        <v>3.8043478260869568E-2</v>
      </c>
      <c r="BX40" s="4">
        <v>6.6666666666666666E-2</v>
      </c>
      <c r="BY40" s="4">
        <v>0.19166666666666668</v>
      </c>
    </row>
    <row r="41" spans="1:77">
      <c r="A41" s="2">
        <v>42723</v>
      </c>
      <c r="B41" s="4">
        <v>307</v>
      </c>
      <c r="C41" s="4">
        <v>696</v>
      </c>
      <c r="D41" s="4">
        <v>75</v>
      </c>
      <c r="E41" s="4">
        <v>643</v>
      </c>
      <c r="F41" s="4">
        <v>7.8175895765472306E-2</v>
      </c>
      <c r="G41" s="4">
        <v>9.1954022988505746E-2</v>
      </c>
      <c r="H41" s="4">
        <v>0.18666666666666668</v>
      </c>
      <c r="I41" s="4">
        <v>4.1990668740279936E-2</v>
      </c>
      <c r="K41" s="2">
        <v>42723</v>
      </c>
      <c r="L41" s="4">
        <v>1484</v>
      </c>
      <c r="M41" s="4">
        <v>237</v>
      </c>
      <c r="N41" s="4">
        <v>7.9514824797843664E-2</v>
      </c>
      <c r="O41" s="4">
        <v>4.6413502109704644E-2</v>
      </c>
      <c r="Q41" s="2">
        <v>42723</v>
      </c>
      <c r="R41" s="4">
        <v>1255</v>
      </c>
      <c r="S41" s="4">
        <v>466</v>
      </c>
      <c r="T41" s="4">
        <v>8.844621513944223E-2</v>
      </c>
      <c r="U41" s="4">
        <v>3.8626609442060089E-2</v>
      </c>
      <c r="W41" s="2">
        <v>42723</v>
      </c>
      <c r="X41" s="4">
        <v>359</v>
      </c>
      <c r="Y41" s="4">
        <v>306</v>
      </c>
      <c r="Z41" s="4">
        <v>1056</v>
      </c>
      <c r="AA41" s="4">
        <v>7.2423398328690811E-2</v>
      </c>
      <c r="AB41" s="4">
        <v>0.17647058823529413</v>
      </c>
      <c r="AC41" s="4">
        <v>4.6401515151515152E-2</v>
      </c>
      <c r="AD41" s="4"/>
      <c r="AE41" s="2">
        <v>42723</v>
      </c>
      <c r="AF41" s="4">
        <v>937</v>
      </c>
      <c r="AG41" s="4">
        <v>784</v>
      </c>
      <c r="AH41" s="4">
        <v>54</v>
      </c>
      <c r="AI41" s="4">
        <v>75</v>
      </c>
      <c r="AK41" s="2">
        <v>42723</v>
      </c>
      <c r="AL41" s="4">
        <v>357</v>
      </c>
      <c r="AM41" s="4">
        <v>1364</v>
      </c>
      <c r="AN41" s="4">
        <v>7.2829131652661069E-2</v>
      </c>
      <c r="AO41" s="4">
        <v>7.5513196480938419E-2</v>
      </c>
      <c r="AQ41" s="2">
        <v>42723</v>
      </c>
      <c r="AR41" s="4">
        <v>1256</v>
      </c>
      <c r="AS41" s="4">
        <v>465</v>
      </c>
      <c r="AT41" s="4">
        <v>8.4394904458598721E-2</v>
      </c>
      <c r="AU41" s="4">
        <v>4.9462365591397849E-2</v>
      </c>
      <c r="AW41" s="2">
        <v>42723</v>
      </c>
      <c r="AX41" s="4">
        <v>182</v>
      </c>
      <c r="AY41" s="4">
        <v>291</v>
      </c>
      <c r="AZ41" s="4">
        <v>1248</v>
      </c>
      <c r="BA41" s="4">
        <v>5.4945054945054949E-3</v>
      </c>
      <c r="BB41" s="4">
        <v>0.10996563573883161</v>
      </c>
      <c r="BC41" s="4">
        <v>7.6923076923076927E-2</v>
      </c>
      <c r="BE41" s="2">
        <v>42723</v>
      </c>
      <c r="BF41" s="4">
        <v>106</v>
      </c>
      <c r="BG41" s="4">
        <v>112</v>
      </c>
      <c r="BH41" s="4">
        <v>163</v>
      </c>
      <c r="BI41" s="4">
        <v>155</v>
      </c>
      <c r="BJ41" s="4">
        <v>104</v>
      </c>
      <c r="BK41" s="4">
        <v>250</v>
      </c>
      <c r="BL41" s="4">
        <v>180</v>
      </c>
      <c r="BM41" s="4">
        <v>182</v>
      </c>
      <c r="BN41" s="4">
        <v>216</v>
      </c>
      <c r="BO41" s="4">
        <v>253</v>
      </c>
      <c r="BP41" s="4">
        <v>1.8867924528301886E-2</v>
      </c>
      <c r="BQ41" s="4">
        <v>0</v>
      </c>
      <c r="BR41" s="4">
        <v>4.2944785276073622E-2</v>
      </c>
      <c r="BS41" s="4">
        <v>3.2258064516129031E-2</v>
      </c>
      <c r="BT41" s="4">
        <v>3.8461538461538464E-2</v>
      </c>
      <c r="BU41" s="4">
        <v>4.3999999999999997E-2</v>
      </c>
      <c r="BV41" s="4">
        <v>7.2222222222222215E-2</v>
      </c>
      <c r="BW41" s="4">
        <v>0.11538461538461539</v>
      </c>
      <c r="BX41" s="4">
        <v>7.8703703703703706E-2</v>
      </c>
      <c r="BY41" s="4">
        <v>0.19367588932806323</v>
      </c>
    </row>
    <row r="42" spans="1:77">
      <c r="A42" s="2">
        <v>42730</v>
      </c>
      <c r="B42" s="4">
        <v>280</v>
      </c>
      <c r="C42" s="4">
        <v>784</v>
      </c>
      <c r="D42" s="4">
        <v>100</v>
      </c>
      <c r="E42" s="4">
        <v>736</v>
      </c>
      <c r="F42" s="4">
        <v>7.1428571428571425E-2</v>
      </c>
      <c r="G42" s="4">
        <v>8.0357142857142863E-2</v>
      </c>
      <c r="H42" s="4">
        <v>7.0000000000000007E-2</v>
      </c>
      <c r="I42" s="4">
        <v>3.8043478260869568E-2</v>
      </c>
      <c r="K42" s="2">
        <v>42730</v>
      </c>
      <c r="L42" s="4">
        <v>1613</v>
      </c>
      <c r="M42" s="4">
        <v>287</v>
      </c>
      <c r="N42" s="4">
        <v>6.9435833849969E-2</v>
      </c>
      <c r="O42" s="4">
        <v>2.0905923344947737E-2</v>
      </c>
      <c r="Q42" s="2">
        <v>42730</v>
      </c>
      <c r="R42" s="4">
        <v>1376</v>
      </c>
      <c r="S42" s="4">
        <v>524</v>
      </c>
      <c r="T42" s="4">
        <v>7.2674418604651167E-2</v>
      </c>
      <c r="U42" s="4">
        <v>3.4351145038167941E-2</v>
      </c>
      <c r="W42" s="2">
        <v>42730</v>
      </c>
      <c r="X42" s="4">
        <v>409</v>
      </c>
      <c r="Y42" s="4">
        <v>334</v>
      </c>
      <c r="Z42" s="4">
        <v>1157</v>
      </c>
      <c r="AA42" s="4">
        <v>5.1344743276283619E-2</v>
      </c>
      <c r="AB42" s="4">
        <v>0.15269461077844312</v>
      </c>
      <c r="AC42" s="4">
        <v>3.9757994814174587E-2</v>
      </c>
      <c r="AD42" s="4"/>
      <c r="AE42" s="2">
        <v>42730</v>
      </c>
      <c r="AF42" s="4">
        <v>913</v>
      </c>
      <c r="AG42" s="4">
        <v>987</v>
      </c>
      <c r="AH42" s="4">
        <v>44</v>
      </c>
      <c r="AI42" s="4">
        <v>74</v>
      </c>
      <c r="AK42" s="2">
        <v>42730</v>
      </c>
      <c r="AL42" s="4">
        <v>422</v>
      </c>
      <c r="AM42" s="4">
        <v>1478</v>
      </c>
      <c r="AN42" s="4">
        <v>6.398104265402843E-2</v>
      </c>
      <c r="AO42" s="4">
        <v>6.1569688768606225E-2</v>
      </c>
      <c r="AQ42" s="2">
        <v>42730</v>
      </c>
      <c r="AR42" s="4">
        <v>1399</v>
      </c>
      <c r="AS42" s="4">
        <v>501</v>
      </c>
      <c r="AT42" s="4">
        <v>6.0757684060042887E-2</v>
      </c>
      <c r="AU42" s="4">
        <v>6.5868263473053898E-2</v>
      </c>
      <c r="AW42" s="2">
        <v>42730</v>
      </c>
      <c r="AX42" s="4">
        <v>192</v>
      </c>
      <c r="AY42" s="4">
        <v>396</v>
      </c>
      <c r="AZ42" s="4">
        <v>1312</v>
      </c>
      <c r="BA42" s="4">
        <v>1.5625E-2</v>
      </c>
      <c r="BB42" s="4">
        <v>7.575757575757576E-2</v>
      </c>
      <c r="BC42" s="4">
        <v>6.4786585365853661E-2</v>
      </c>
      <c r="BE42" s="2">
        <v>42730</v>
      </c>
      <c r="BF42" s="4">
        <v>127</v>
      </c>
      <c r="BG42" s="4">
        <v>99</v>
      </c>
      <c r="BH42" s="4">
        <v>171</v>
      </c>
      <c r="BI42" s="4">
        <v>156</v>
      </c>
      <c r="BJ42" s="4">
        <v>83</v>
      </c>
      <c r="BK42" s="4">
        <v>302</v>
      </c>
      <c r="BL42" s="4">
        <v>159</v>
      </c>
      <c r="BM42" s="4">
        <v>227</v>
      </c>
      <c r="BN42" s="4">
        <v>284</v>
      </c>
      <c r="BO42" s="4">
        <v>292</v>
      </c>
      <c r="BP42" s="4">
        <v>7.874015748031496E-3</v>
      </c>
      <c r="BQ42" s="4">
        <v>2.0202020202020204E-2</v>
      </c>
      <c r="BR42" s="4">
        <v>1.1695906432748537E-2</v>
      </c>
      <c r="BS42" s="4">
        <v>2.564102564102564E-2</v>
      </c>
      <c r="BT42" s="4">
        <v>4.8192771084337352E-2</v>
      </c>
      <c r="BU42" s="4">
        <v>4.9668874172185427E-2</v>
      </c>
      <c r="BV42" s="4">
        <v>8.8050314465408799E-2</v>
      </c>
      <c r="BW42" s="4">
        <v>5.2863436123348019E-2</v>
      </c>
      <c r="BX42" s="4">
        <v>6.3380281690140844E-2</v>
      </c>
      <c r="BY42" s="4">
        <v>0.15753424657534246</v>
      </c>
    </row>
    <row r="43" spans="1:77">
      <c r="A43" s="2">
        <v>42737</v>
      </c>
      <c r="B43" s="4">
        <v>228</v>
      </c>
      <c r="C43" s="4">
        <v>583</v>
      </c>
      <c r="D43" s="4">
        <v>61</v>
      </c>
      <c r="E43" s="4">
        <v>582</v>
      </c>
      <c r="F43" s="4">
        <v>0.11842105263157894</v>
      </c>
      <c r="G43" s="4">
        <v>8.5763293310463118E-2</v>
      </c>
      <c r="H43" s="4">
        <v>0.18032786885245902</v>
      </c>
      <c r="I43" s="4">
        <v>4.8109965635738834E-2</v>
      </c>
      <c r="K43" s="2">
        <v>42737</v>
      </c>
      <c r="L43" s="4">
        <v>1220</v>
      </c>
      <c r="M43" s="4">
        <v>234</v>
      </c>
      <c r="N43" s="4">
        <v>8.3606557377049182E-2</v>
      </c>
      <c r="O43" s="4">
        <v>5.9829059829059832E-2</v>
      </c>
      <c r="Q43" s="2">
        <v>42737</v>
      </c>
      <c r="R43" s="4">
        <v>1055</v>
      </c>
      <c r="S43" s="4">
        <v>399</v>
      </c>
      <c r="T43" s="4">
        <v>8.6255924170616116E-2</v>
      </c>
      <c r="U43" s="4">
        <v>6.2656641604010022E-2</v>
      </c>
      <c r="W43" s="2">
        <v>42737</v>
      </c>
      <c r="X43" s="4">
        <v>300</v>
      </c>
      <c r="Y43" s="4">
        <v>252</v>
      </c>
      <c r="Z43" s="4">
        <v>902</v>
      </c>
      <c r="AA43" s="4">
        <v>8.3333333333333329E-2</v>
      </c>
      <c r="AB43" s="4">
        <v>0.14285714285714285</v>
      </c>
      <c r="AC43" s="4">
        <v>6.097560975609756E-2</v>
      </c>
      <c r="AD43" s="4"/>
      <c r="AE43" s="2">
        <v>42737</v>
      </c>
      <c r="AF43" s="4">
        <v>740</v>
      </c>
      <c r="AG43" s="4">
        <v>714</v>
      </c>
      <c r="AH43" s="4">
        <v>42</v>
      </c>
      <c r="AI43" s="4">
        <v>74</v>
      </c>
      <c r="AK43" s="2">
        <v>42737</v>
      </c>
      <c r="AL43" s="4">
        <v>283</v>
      </c>
      <c r="AM43" s="4">
        <v>1171</v>
      </c>
      <c r="AN43" s="4">
        <v>6.3604240282685506E-2</v>
      </c>
      <c r="AO43" s="4">
        <v>8.3689154568744664E-2</v>
      </c>
      <c r="AQ43" s="2">
        <v>42737</v>
      </c>
      <c r="AR43" s="4">
        <v>1111</v>
      </c>
      <c r="AS43" s="4">
        <v>343</v>
      </c>
      <c r="AT43" s="4">
        <v>8.3708370837083712E-2</v>
      </c>
      <c r="AU43" s="4">
        <v>6.7055393586005832E-2</v>
      </c>
      <c r="AW43" s="2">
        <v>42737</v>
      </c>
      <c r="AX43" s="4">
        <v>126</v>
      </c>
      <c r="AY43" s="4">
        <v>304</v>
      </c>
      <c r="AZ43" s="4">
        <v>1024</v>
      </c>
      <c r="BA43" s="4">
        <v>1.5873015873015872E-2</v>
      </c>
      <c r="BB43" s="4">
        <v>4.9342105263157895E-2</v>
      </c>
      <c r="BC43" s="4">
        <v>9.66796875E-2</v>
      </c>
      <c r="BE43" s="2">
        <v>42737</v>
      </c>
      <c r="BF43" s="4">
        <v>82</v>
      </c>
      <c r="BG43" s="4">
        <v>79</v>
      </c>
      <c r="BH43" s="4">
        <v>135</v>
      </c>
      <c r="BI43" s="4">
        <v>122</v>
      </c>
      <c r="BJ43" s="4">
        <v>90</v>
      </c>
      <c r="BK43" s="4">
        <v>257</v>
      </c>
      <c r="BL43" s="4">
        <v>129</v>
      </c>
      <c r="BM43" s="4">
        <v>178</v>
      </c>
      <c r="BN43" s="4">
        <v>174</v>
      </c>
      <c r="BO43" s="4">
        <v>208</v>
      </c>
      <c r="BP43" s="4">
        <v>1.2195121951219513E-2</v>
      </c>
      <c r="BQ43" s="4">
        <v>1.2658227848101266E-2</v>
      </c>
      <c r="BR43" s="4">
        <v>2.9629629629629631E-2</v>
      </c>
      <c r="BS43" s="4">
        <v>7.3770491803278687E-2</v>
      </c>
      <c r="BT43" s="4">
        <v>5.5555555555555552E-2</v>
      </c>
      <c r="BU43" s="4">
        <v>8.171206225680934E-2</v>
      </c>
      <c r="BV43" s="4">
        <v>0.13178294573643412</v>
      </c>
      <c r="BW43" s="4">
        <v>5.6179775280898875E-2</v>
      </c>
      <c r="BX43" s="4">
        <v>8.0459770114942528E-2</v>
      </c>
      <c r="BY43" s="4">
        <v>0.16346153846153846</v>
      </c>
    </row>
    <row r="44" spans="1:77">
      <c r="A44" s="2">
        <v>42744</v>
      </c>
      <c r="B44" s="4">
        <v>187</v>
      </c>
      <c r="C44" s="4">
        <v>530</v>
      </c>
      <c r="D44" s="4">
        <v>56</v>
      </c>
      <c r="E44" s="4">
        <v>495</v>
      </c>
      <c r="F44" s="4">
        <v>8.0213903743315509E-2</v>
      </c>
      <c r="G44" s="4">
        <v>0.12452830188679245</v>
      </c>
      <c r="H44" s="4">
        <v>0.16071428571428573</v>
      </c>
      <c r="I44" s="4">
        <v>4.6464646464646465E-2</v>
      </c>
      <c r="K44" s="2">
        <v>42744</v>
      </c>
      <c r="L44" s="4">
        <v>1093</v>
      </c>
      <c r="M44" s="4">
        <v>175</v>
      </c>
      <c r="N44" s="4">
        <v>9.6980786825251603E-2</v>
      </c>
      <c r="O44" s="4">
        <v>0.04</v>
      </c>
      <c r="Q44" s="2">
        <v>42744</v>
      </c>
      <c r="R44" s="4">
        <v>921</v>
      </c>
      <c r="S44" s="4">
        <v>347</v>
      </c>
      <c r="T44" s="4">
        <v>0.10423452768729642</v>
      </c>
      <c r="U44" s="4">
        <v>4.8991354466858789E-2</v>
      </c>
      <c r="W44" s="2">
        <v>42744</v>
      </c>
      <c r="X44" s="4">
        <v>272</v>
      </c>
      <c r="Y44" s="4">
        <v>256</v>
      </c>
      <c r="Z44" s="4">
        <v>740</v>
      </c>
      <c r="AA44" s="4">
        <v>6.6176470588235295E-2</v>
      </c>
      <c r="AB44" s="4">
        <v>0.1640625</v>
      </c>
      <c r="AC44" s="4">
        <v>7.1621621621621626E-2</v>
      </c>
      <c r="AD44" s="4"/>
      <c r="AE44" s="2">
        <v>42744</v>
      </c>
      <c r="AF44" s="4">
        <v>643</v>
      </c>
      <c r="AG44" s="4">
        <v>625</v>
      </c>
      <c r="AH44" s="4">
        <v>50</v>
      </c>
      <c r="AI44" s="4">
        <v>63</v>
      </c>
      <c r="AK44" s="2">
        <v>42744</v>
      </c>
      <c r="AL44" s="4">
        <v>234</v>
      </c>
      <c r="AM44" s="4">
        <v>1034</v>
      </c>
      <c r="AN44" s="4">
        <v>0.11965811965811966</v>
      </c>
      <c r="AO44" s="4">
        <v>8.2205029013539654E-2</v>
      </c>
      <c r="AQ44" s="2">
        <v>42744</v>
      </c>
      <c r="AR44" s="4">
        <v>985</v>
      </c>
      <c r="AS44" s="4">
        <v>283</v>
      </c>
      <c r="AT44" s="4">
        <v>9.847715736040609E-2</v>
      </c>
      <c r="AU44" s="4">
        <v>5.6537102473498232E-2</v>
      </c>
      <c r="AW44" s="2">
        <v>42744</v>
      </c>
      <c r="AX44" s="4">
        <v>106</v>
      </c>
      <c r="AY44" s="4">
        <v>242</v>
      </c>
      <c r="AZ44" s="4">
        <v>920</v>
      </c>
      <c r="BA44" s="4">
        <v>0</v>
      </c>
      <c r="BB44" s="4">
        <v>0.10743801652892562</v>
      </c>
      <c r="BC44" s="4">
        <v>9.4565217391304343E-2</v>
      </c>
      <c r="BE44" s="2">
        <v>42744</v>
      </c>
      <c r="BF44" s="4">
        <v>58</v>
      </c>
      <c r="BG44" s="4">
        <v>63</v>
      </c>
      <c r="BH44" s="4">
        <v>112</v>
      </c>
      <c r="BI44" s="4">
        <v>114</v>
      </c>
      <c r="BJ44" s="4">
        <v>79</v>
      </c>
      <c r="BK44" s="4">
        <v>211</v>
      </c>
      <c r="BL44" s="4">
        <v>105</v>
      </c>
      <c r="BM44" s="4">
        <v>160</v>
      </c>
      <c r="BN44" s="4">
        <v>149</v>
      </c>
      <c r="BO44" s="4">
        <v>217</v>
      </c>
      <c r="BP44" s="4">
        <v>0</v>
      </c>
      <c r="BQ44" s="4">
        <v>1.5873015873015872E-2</v>
      </c>
      <c r="BR44" s="4">
        <v>4.4642857142857144E-2</v>
      </c>
      <c r="BS44" s="4">
        <v>2.6315789473684209E-2</v>
      </c>
      <c r="BT44" s="4">
        <v>7.5949367088607597E-2</v>
      </c>
      <c r="BU44" s="4">
        <v>6.6350710900473939E-2</v>
      </c>
      <c r="BV44" s="4">
        <v>0.10476190476190476</v>
      </c>
      <c r="BW44" s="4">
        <v>0.1125</v>
      </c>
      <c r="BX44" s="4">
        <v>7.3825503355704702E-2</v>
      </c>
      <c r="BY44" s="4">
        <v>0.20276497695852536</v>
      </c>
    </row>
    <row r="45" spans="1:77">
      <c r="A45" s="2">
        <v>42751</v>
      </c>
      <c r="B45" s="4">
        <v>156</v>
      </c>
      <c r="C45" s="4">
        <v>397</v>
      </c>
      <c r="D45" s="4">
        <v>43</v>
      </c>
      <c r="E45" s="4">
        <v>391</v>
      </c>
      <c r="F45" s="4">
        <v>8.9743589743589744E-2</v>
      </c>
      <c r="G45" s="4">
        <v>8.8161209068010074E-2</v>
      </c>
      <c r="H45" s="4">
        <v>6.9767441860465115E-2</v>
      </c>
      <c r="I45" s="4">
        <v>4.3478260869565216E-2</v>
      </c>
      <c r="K45" s="2">
        <v>42751</v>
      </c>
      <c r="L45" s="4">
        <v>840</v>
      </c>
      <c r="M45" s="4">
        <v>147</v>
      </c>
      <c r="N45" s="4">
        <v>7.6190476190476197E-2</v>
      </c>
      <c r="O45" s="4">
        <v>3.4013605442176874E-2</v>
      </c>
      <c r="Q45" s="2">
        <v>42751</v>
      </c>
      <c r="R45" s="4">
        <v>714</v>
      </c>
      <c r="S45" s="4">
        <v>273</v>
      </c>
      <c r="T45" s="4">
        <v>7.42296918767507E-2</v>
      </c>
      <c r="U45" s="4">
        <v>5.8608058608058608E-2</v>
      </c>
      <c r="W45" s="2">
        <v>42751</v>
      </c>
      <c r="X45" s="4">
        <v>210</v>
      </c>
      <c r="Y45" s="4">
        <v>180</v>
      </c>
      <c r="Z45" s="4">
        <v>597</v>
      </c>
      <c r="AA45" s="4">
        <v>6.6666666666666666E-2</v>
      </c>
      <c r="AB45" s="4">
        <v>0.17222222222222222</v>
      </c>
      <c r="AC45" s="4">
        <v>4.0201005025125629E-2</v>
      </c>
      <c r="AD45" s="4"/>
      <c r="AE45" s="2">
        <v>42751</v>
      </c>
      <c r="AF45" s="4">
        <v>488</v>
      </c>
      <c r="AG45" s="4">
        <v>499</v>
      </c>
      <c r="AH45" s="4">
        <v>30</v>
      </c>
      <c r="AI45" s="4">
        <v>39</v>
      </c>
      <c r="AK45" s="2">
        <v>42751</v>
      </c>
      <c r="AL45" s="4">
        <v>185</v>
      </c>
      <c r="AM45" s="4">
        <v>802</v>
      </c>
      <c r="AN45" s="4">
        <v>7.567567567567568E-2</v>
      </c>
      <c r="AO45" s="4">
        <v>6.8578553615960103E-2</v>
      </c>
      <c r="AQ45" s="2">
        <v>42751</v>
      </c>
      <c r="AR45" s="4">
        <v>768</v>
      </c>
      <c r="AS45" s="4">
        <v>219</v>
      </c>
      <c r="AT45" s="4">
        <v>6.9010416666666671E-2</v>
      </c>
      <c r="AU45" s="4">
        <v>7.3059360730593603E-2</v>
      </c>
      <c r="AW45" s="2">
        <v>42751</v>
      </c>
      <c r="AX45" s="4">
        <v>82</v>
      </c>
      <c r="AY45" s="4">
        <v>223</v>
      </c>
      <c r="AZ45" s="4">
        <v>682</v>
      </c>
      <c r="BA45" s="4">
        <v>3.6585365853658534E-2</v>
      </c>
      <c r="BB45" s="4">
        <v>8.520179372197309E-2</v>
      </c>
      <c r="BC45" s="4">
        <v>6.89149560117302E-2</v>
      </c>
      <c r="BE45" s="2">
        <v>42751</v>
      </c>
      <c r="BF45" s="4">
        <v>41</v>
      </c>
      <c r="BG45" s="4">
        <v>48</v>
      </c>
      <c r="BH45" s="4">
        <v>87</v>
      </c>
      <c r="BI45" s="4">
        <v>95</v>
      </c>
      <c r="BJ45" s="4">
        <v>65</v>
      </c>
      <c r="BK45" s="4">
        <v>171</v>
      </c>
      <c r="BL45" s="4">
        <v>82</v>
      </c>
      <c r="BM45" s="4">
        <v>136</v>
      </c>
      <c r="BN45" s="4">
        <v>114</v>
      </c>
      <c r="BO45" s="4">
        <v>148</v>
      </c>
      <c r="BP45" s="4">
        <v>0</v>
      </c>
      <c r="BQ45" s="4">
        <v>6.25E-2</v>
      </c>
      <c r="BR45" s="4">
        <v>1.1494252873563218E-2</v>
      </c>
      <c r="BS45" s="4">
        <v>3.1578947368421054E-2</v>
      </c>
      <c r="BT45" s="4">
        <v>4.6153846153846156E-2</v>
      </c>
      <c r="BU45" s="4">
        <v>4.6783625730994149E-2</v>
      </c>
      <c r="BV45" s="4">
        <v>6.097560975609756E-2</v>
      </c>
      <c r="BW45" s="4">
        <v>7.3529411764705885E-2</v>
      </c>
      <c r="BX45" s="4">
        <v>8.771929824561403E-2</v>
      </c>
      <c r="BY45" s="4">
        <v>0.17567567567567569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code</vt:lpstr>
      <vt:lpstr>SVC</vt:lpstr>
      <vt:lpstr>SVC_lift</vt:lpstr>
      <vt:lpstr>SVC_pivot</vt:lpstr>
    </vt:vector>
  </TitlesOfParts>
  <Company>Homecredit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ganlin.gong</dc:creator>
  <cp:lastModifiedBy>jackieliang_vip@126.com</cp:lastModifiedBy>
  <dcterms:created xsi:type="dcterms:W3CDTF">2010-06-24T01:39:09Z</dcterms:created>
  <dcterms:modified xsi:type="dcterms:W3CDTF">2019-05-24T07:59:00Z</dcterms:modified>
</cp:coreProperties>
</file>